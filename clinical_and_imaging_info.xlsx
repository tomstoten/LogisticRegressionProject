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MAMA-MIA\"/>
    </mc:Choice>
  </mc:AlternateContent>
  <xr:revisionPtr revIDLastSave="0" documentId="13_ncr:1_{825661B3-700A-4FE0-983F-57AF829A6F24}" xr6:coauthVersionLast="47" xr6:coauthVersionMax="47" xr10:uidLastSave="{00000000-0000-0000-0000-000000000000}"/>
  <bookViews>
    <workbookView xWindow="-120" yWindow="-120" windowWidth="29040" windowHeight="15720" xr2:uid="{00000000-000D-0000-FFFF-FFFF00000000}"/>
  </bookViews>
  <sheets>
    <sheet name="dataset_info" sheetId="1" r:id="rId1"/>
    <sheet name="analysis" sheetId="3" r:id="rId2"/>
    <sheet name="legend" sheetId="2" r:id="rId3"/>
  </sheets>
  <definedNames>
    <definedName name="_xlchart.v1.0" hidden="1">dataset_info!$V$1</definedName>
    <definedName name="_xlchart.v1.1" hidden="1">dataset_info!$V$2:$V$1507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09" i="1" l="1"/>
  <c r="F11" i="3"/>
  <c r="E11" i="3"/>
  <c r="D11" i="3"/>
  <c r="C11" i="3"/>
  <c r="B11" i="3"/>
  <c r="E2" i="3"/>
  <c r="B2" i="3"/>
  <c r="G8" i="3"/>
  <c r="H8" i="3" s="1"/>
  <c r="B8" i="3"/>
  <c r="F8" i="3" a="1"/>
  <c r="F8" i="3" s="1"/>
  <c r="E8" i="3" a="1"/>
  <c r="E8" i="3" s="1"/>
  <c r="D8" i="3" a="1"/>
  <c r="D8" i="3" s="1"/>
  <c r="C8" i="3" a="1"/>
  <c r="C8" i="3" s="1"/>
  <c r="D5" i="3" a="1"/>
  <c r="D5" i="3" s="1"/>
  <c r="E5" i="3" s="1"/>
  <c r="B5" i="3"/>
  <c r="C5" i="3" a="1"/>
  <c r="C5" i="3" s="1"/>
  <c r="C2" i="3"/>
  <c r="D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<sst xmlns="http://schemas.openxmlformats.org/spreadsheetml/2006/main" count="21617" uniqueCount="5598">
  <si>
    <t>patient_id</t>
  </si>
  <si>
    <t>dataset</t>
  </si>
  <si>
    <t>bilateral_breast_cancer</t>
  </si>
  <si>
    <t>multifocal_cancer</t>
  </si>
  <si>
    <t>nac_agent</t>
  </si>
  <si>
    <t>endocrine_therapy</t>
  </si>
  <si>
    <t>anti_her2_neu_therapy</t>
  </si>
  <si>
    <t>pcr</t>
  </si>
  <si>
    <t>mastectomy_post_nac</t>
  </si>
  <si>
    <t>days_to_follow_up</t>
  </si>
  <si>
    <t>days_to_recurrence</t>
  </si>
  <si>
    <t>days_to_metastasis</t>
  </si>
  <si>
    <t>days_to_death</t>
  </si>
  <si>
    <t>hr</t>
  </si>
  <si>
    <t>er</t>
  </si>
  <si>
    <t>pr</t>
  </si>
  <si>
    <t>her2</t>
  </si>
  <si>
    <t>mammaprint</t>
  </si>
  <si>
    <t>oncotype_score</t>
  </si>
  <si>
    <t>nottingham_grade</t>
  </si>
  <si>
    <t>tumor_subtype</t>
  </si>
  <si>
    <t>age</t>
  </si>
  <si>
    <t>menopause</t>
  </si>
  <si>
    <t>ethnicity</t>
  </si>
  <si>
    <t>has_implant</t>
  </si>
  <si>
    <t>weight</t>
  </si>
  <si>
    <t>patient_size</t>
  </si>
  <si>
    <t>bmi_group</t>
  </si>
  <si>
    <t>breast_density</t>
  </si>
  <si>
    <t>view</t>
  </si>
  <si>
    <t>bilateral_mri</t>
  </si>
  <si>
    <t>num_phases</t>
  </si>
  <si>
    <t>fat_suppressed</t>
  </si>
  <si>
    <t>field_strength</t>
  </si>
  <si>
    <t>image_rows</t>
  </si>
  <si>
    <t>image_columns</t>
  </si>
  <si>
    <t>num_slices</t>
  </si>
  <si>
    <t>pixel_spacing</t>
  </si>
  <si>
    <t>slice_thickness</t>
  </si>
  <si>
    <t>site</t>
  </si>
  <si>
    <t>manufacturer</t>
  </si>
  <si>
    <t>scanner_model</t>
  </si>
  <si>
    <t>high_bit</t>
  </si>
  <si>
    <t>window_center</t>
  </si>
  <si>
    <t>window_width</t>
  </si>
  <si>
    <t>echo_time</t>
  </si>
  <si>
    <t>repetition_time</t>
  </si>
  <si>
    <t>acquisition_times</t>
  </si>
  <si>
    <t>acquisition_date</t>
  </si>
  <si>
    <t>tcia_series_uid</t>
  </si>
  <si>
    <t>DUKE_001</t>
  </si>
  <si>
    <t>DUKE</t>
  </si>
  <si>
    <t>intermediate</t>
  </si>
  <si>
    <t>her2_pure</t>
  </si>
  <si>
    <t>pre</t>
  </si>
  <si>
    <t>african american</t>
  </si>
  <si>
    <t>obesity_class_2</t>
  </si>
  <si>
    <t>axial</t>
  </si>
  <si>
    <t>[0.80357140302658, 0.80357140302658]</t>
  </si>
  <si>
    <t>SIEMENS</t>
  </si>
  <si>
    <t>Avanto</t>
  </si>
  <si>
    <t>[0, 584, 714, 846, 977]</t>
  </si>
  <si>
    <t>1.3.6.1.4.1.14519.5.2.1.185777849803665244536713316058283493877</t>
  </si>
  <si>
    <t>DUKE_002</t>
  </si>
  <si>
    <t>high</t>
  </si>
  <si>
    <t>triple_negative</t>
  </si>
  <si>
    <t>[0.5859, 0.5859]</t>
  </si>
  <si>
    <t>GE</t>
  </si>
  <si>
    <t>Signa HDxt</t>
  </si>
  <si>
    <t>[0, 165, 288, 411]</t>
  </si>
  <si>
    <t>1.3.6.1.4.1.14519.5.2.1.292087950444413314643924739363083325442</t>
  </si>
  <si>
    <t>DUKE_005</t>
  </si>
  <si>
    <t>her2_enriched</t>
  </si>
  <si>
    <t>hispanic</t>
  </si>
  <si>
    <t>normal</t>
  </si>
  <si>
    <t>[0.78125, 0.78125]</t>
  </si>
  <si>
    <t>[0, 183, 289, 398]</t>
  </si>
  <si>
    <t>1.3.6.1.4.1.14519.5.2.1.308267282790822635275517329397281651993</t>
  </si>
  <si>
    <t>DUKE_009</t>
  </si>
  <si>
    <t>post</t>
  </si>
  <si>
    <t>caucasian</t>
  </si>
  <si>
    <t>[0.6641, 0.6641]</t>
  </si>
  <si>
    <t>[0, 199, 314, 429]</t>
  </si>
  <si>
    <t>1.3.6.1.4.1.14519.5.2.1.195599593590134921565234265546312466184</t>
  </si>
  <si>
    <t>DUKE_010</t>
  </si>
  <si>
    <t>[0, 156, 255, 355]</t>
  </si>
  <si>
    <t>1.3.6.1.4.1.14519.5.2.1.139066171032552599962813047852732821046</t>
  </si>
  <si>
    <t>DUKE_012</t>
  </si>
  <si>
    <t>[0.7422, 0.7422]</t>
  </si>
  <si>
    <t xml:space="preserve">Optima MR450w </t>
  </si>
  <si>
    <t>[0, 185, 305, 425]</t>
  </si>
  <si>
    <t>1.3.6.1.4.1.14519.5.2.1.29690579104517430202999923277168936221</t>
  </si>
  <si>
    <t>DUKE_019</t>
  </si>
  <si>
    <t>luminal</t>
  </si>
  <si>
    <t>overweight</t>
  </si>
  <si>
    <t>[1.0625, 1.0625]</t>
  </si>
  <si>
    <t>[0, 277, 395, 512]</t>
  </si>
  <si>
    <t>1.3.6.1.4.1.14519.5.2.1.29840080323274044917609393923117431278</t>
  </si>
  <si>
    <t>DUKE_021</t>
  </si>
  <si>
    <t>[0, 176, 291, 406]</t>
  </si>
  <si>
    <t>1.3.6.1.4.1.14519.5.2.1.284279810676391467352803707565165173046</t>
  </si>
  <si>
    <t>DUKE_022</t>
  </si>
  <si>
    <t>c</t>
  </si>
  <si>
    <t>[0.73660713434219, 0.73660713434219]</t>
  </si>
  <si>
    <t>[0, 762, 892, 1018, 1147]</t>
  </si>
  <si>
    <t>1.3.6.1.4.1.14519.5.2.1.69670824244476046203828147718377984832</t>
  </si>
  <si>
    <t>DUKE_028</t>
  </si>
  <si>
    <t xml:space="preserve">Skyra </t>
  </si>
  <si>
    <t>[0, 190, 289, 388]</t>
  </si>
  <si>
    <t>1.3.6.1.4.1.14519.5.2.1.320596235836817677689318971087443086949</t>
  </si>
  <si>
    <t>DUKE_032</t>
  </si>
  <si>
    <t>asian</t>
  </si>
  <si>
    <t>d</t>
  </si>
  <si>
    <t>[0.6055, 0.6055]</t>
  </si>
  <si>
    <t xml:space="preserve">SIGNA HDx </t>
  </si>
  <si>
    <t>[0, 255, 371, 487, 603]</t>
  </si>
  <si>
    <t>1.3.6.1.4.1.14519.5.2.1.142556628749506471715658430177460848775</t>
  </si>
  <si>
    <t>DUKE_034</t>
  </si>
  <si>
    <t>obesity_class_1</t>
  </si>
  <si>
    <t>[0.7031, 0.7031]</t>
  </si>
  <si>
    <t>[0, 172, 265, 357, 450]</t>
  </si>
  <si>
    <t>1.3.6.1.4.1.14519.5.2.1.165419398503501068868667981377889644471</t>
  </si>
  <si>
    <t>DUKE_040</t>
  </si>
  <si>
    <t>[0.75892859697342, 0.75892859697342]</t>
  </si>
  <si>
    <t xml:space="preserve">TrioTim </t>
  </si>
  <si>
    <t>[0, 210, 327, 434, 539]</t>
  </si>
  <si>
    <t>1.3.6.1.4.1.14519.5.2.1.326715859685480256527395450683442312123</t>
  </si>
  <si>
    <t>DUKE_041</t>
  </si>
  <si>
    <t>[0.6836, 0.6836]</t>
  </si>
  <si>
    <t>[0, 314, 668, 778, 888]</t>
  </si>
  <si>
    <t>1.3.6.1.4.1.14519.5.2.1.236293724990342289056773559709687460093</t>
  </si>
  <si>
    <t>DUKE_043</t>
  </si>
  <si>
    <t>[0, 648, 850, 982, 1118]</t>
  </si>
  <si>
    <t>1.3.6.1.4.1.14519.5.2.1.6793813290723618656258406154497169878</t>
  </si>
  <si>
    <t>DUKE_044</t>
  </si>
  <si>
    <t>[0, 191, 291, 391, 491]</t>
  </si>
  <si>
    <t>1.3.6.1.4.1.14519.5.2.1.139830005215649431703224664916087614564</t>
  </si>
  <si>
    <t>DUKE_045</t>
  </si>
  <si>
    <t>[0, 146, 261, 376]</t>
  </si>
  <si>
    <t>1.3.6.1.4.1.14519.5.2.1.301440525687899953712635567929052817508</t>
  </si>
  <si>
    <t>DUKE_046</t>
  </si>
  <si>
    <t>[0.83705359697342, 0.83705359697342]</t>
  </si>
  <si>
    <t>[0, 204, 334, 456]</t>
  </si>
  <si>
    <t>1.3.6.1.4.1.14519.5.2.1.35071805945810659801827406527930186176</t>
  </si>
  <si>
    <t>DUKE_048</t>
  </si>
  <si>
    <t>[0, 177, 295, 411]</t>
  </si>
  <si>
    <t>1.3.6.1.4.1.14519.5.2.1.14969191741802921952501527627204705242</t>
  </si>
  <si>
    <t>DUKE_051</t>
  </si>
  <si>
    <t>[0, 238, 356, 473]</t>
  </si>
  <si>
    <t>1.3.6.1.4.1.14519.5.2.1.56794322020151755238976088550992192797</t>
  </si>
  <si>
    <t>DUKE_055</t>
  </si>
  <si>
    <t>hawaian</t>
  </si>
  <si>
    <t>b</t>
  </si>
  <si>
    <t>[0.6445, 0.6445]</t>
  </si>
  <si>
    <t>[0, 326, 447, 568, 689]</t>
  </si>
  <si>
    <t>1.3.6.1.4.1.14519.5.2.1.19637182322127812713997353423084608824</t>
  </si>
  <si>
    <t>DUKE_057</t>
  </si>
  <si>
    <t>[0, 136, 211, 285]</t>
  </si>
  <si>
    <t>1.3.6.1.4.1.14519.5.2.1.87678102268025627030497449879227437755</t>
  </si>
  <si>
    <t>DUKE_059</t>
  </si>
  <si>
    <t>[0, 182, 299, 416]</t>
  </si>
  <si>
    <t>1.3.6.1.4.1.14519.5.2.1.154064829117936049483903250937179540958</t>
  </si>
  <si>
    <t>DUKE_060</t>
  </si>
  <si>
    <t>[0, 263, 482, 604, 726]</t>
  </si>
  <si>
    <t>1.3.6.1.4.1.14519.5.2.1.179938739598958943568048593082124063967</t>
  </si>
  <si>
    <t>DUKE_061</t>
  </si>
  <si>
    <t>[0, 268, 385, 502]</t>
  </si>
  <si>
    <t>1.3.6.1.4.1.14519.5.2.1.108872398847262229983257156206321964740</t>
  </si>
  <si>
    <t>DUKE_064</t>
  </si>
  <si>
    <t>[0, 208, 402, 536, 665]</t>
  </si>
  <si>
    <t>1.3.6.1.4.1.14519.5.2.1.147955914978633063127428256313532881801</t>
  </si>
  <si>
    <t>DUKE_069</t>
  </si>
  <si>
    <t>[0, 277, 398, 519, 640]</t>
  </si>
  <si>
    <t>1.3.6.1.4.1.14519.5.2.1.163217082269636582489284908405853808874</t>
  </si>
  <si>
    <t>DUKE_071</t>
  </si>
  <si>
    <t>[0, 922, 1036, 1150]</t>
  </si>
  <si>
    <t>1.3.6.1.4.1.14519.5.2.1.318477618058194737038846033112793175876</t>
  </si>
  <si>
    <t>DUKE_077</t>
  </si>
  <si>
    <t>[0, 139, 351, 467, 583]</t>
  </si>
  <si>
    <t>1.3.6.1.4.1.14519.5.2.1.164065338920500492667606880117873369290</t>
  </si>
  <si>
    <t>DUKE_082</t>
  </si>
  <si>
    <t>[0, 189, 316, 442]</t>
  </si>
  <si>
    <t>1.3.6.1.4.1.14519.5.2.1.203505445198377129570893210428900718180</t>
  </si>
  <si>
    <t>DUKE_086</t>
  </si>
  <si>
    <t>[0, 226, 326, 426]</t>
  </si>
  <si>
    <t>1.3.6.1.4.1.14519.5.2.1.238735150432802860027977259854459327592</t>
  </si>
  <si>
    <t>DUKE_090</t>
  </si>
  <si>
    <t>[0, 154, 274, 395]</t>
  </si>
  <si>
    <t>1.3.6.1.4.1.14519.5.2.1.194651386297649379035931320896715949363</t>
  </si>
  <si>
    <t>DUKE_091</t>
  </si>
  <si>
    <t>[0, 621, 745, 868, 993]</t>
  </si>
  <si>
    <t>1.3.6.1.4.1.14519.5.2.1.275257635870315432477619402942964187802</t>
  </si>
  <si>
    <t>DUKE_097</t>
  </si>
  <si>
    <t>[0, 212, 311, 411]</t>
  </si>
  <si>
    <t>1.3.6.1.4.1.14519.5.2.1.129967585192783878980707247369022773138</t>
  </si>
  <si>
    <t>DUKE_099</t>
  </si>
  <si>
    <t>[0.625, 0.625]</t>
  </si>
  <si>
    <t>[0, 173, 278, 383, 488]</t>
  </si>
  <si>
    <t>1.3.6.1.4.1.14519.5.2.1.186695500940488501618389117544955236837</t>
  </si>
  <si>
    <t>DUKE_101</t>
  </si>
  <si>
    <t>[0.69196426868439, 0.69196426868439]</t>
  </si>
  <si>
    <t>[0, 214, 349, 479, 610]</t>
  </si>
  <si>
    <t>1.3.6.1.4.1.14519.5.2.1.68763652285344731591907514089625240751</t>
  </si>
  <si>
    <t>DUKE_103</t>
  </si>
  <si>
    <t>[0, 157, 254]</t>
  </si>
  <si>
    <t>1.3.6.1.4.1.14519.5.2.1.322399265116643135620910336253787514497</t>
  </si>
  <si>
    <t>DUKE_104</t>
  </si>
  <si>
    <t>[0, 211, 331, 449]</t>
  </si>
  <si>
    <t>1.3.6.1.4.1.14519.5.2.1.224701010678361534685145255527557683258</t>
  </si>
  <si>
    <t>DUKE_105</t>
  </si>
  <si>
    <t>[0, 249, 357, 465, 573]</t>
  </si>
  <si>
    <t>1.3.6.1.4.1.14519.5.2.1.163656381399884188057039150101799337730</t>
  </si>
  <si>
    <t>DUKE_107</t>
  </si>
  <si>
    <t>a</t>
  </si>
  <si>
    <t>[0.7617, 0.7617]</t>
  </si>
  <si>
    <t>[0, 228, 349, 470, 591]</t>
  </si>
  <si>
    <t>1.3.6.1.4.1.14519.5.2.1.231033412235707795811509606682702677256</t>
  </si>
  <si>
    <t>DUKE_114</t>
  </si>
  <si>
    <t>[0, 214, 326, 438]</t>
  </si>
  <si>
    <t>1.3.6.1.4.1.14519.5.2.1.144688254078604001896200551902427916650</t>
  </si>
  <si>
    <t>DUKE_115</t>
  </si>
  <si>
    <t>[0, 226, 515, 633, 752]</t>
  </si>
  <si>
    <t>1.3.6.1.4.1.14519.5.2.1.340281588639257463653203448665061040092</t>
  </si>
  <si>
    <t>DUKE_116</t>
  </si>
  <si>
    <t>[0, 193, 310, 428]</t>
  </si>
  <si>
    <t>1.3.6.1.4.1.14519.5.2.1.62632896969177710628151297916596988609</t>
  </si>
  <si>
    <t>DUKE_117</t>
  </si>
  <si>
    <t>[0, 225, 340, 455]</t>
  </si>
  <si>
    <t>1.3.6.1.4.1.14519.5.2.1.92238329831531955012837359452542934014</t>
  </si>
  <si>
    <t>DUKE_119</t>
  </si>
  <si>
    <t>[0.71428573131561, 0.71428573131561]</t>
  </si>
  <si>
    <t>[0, 191, 323, 454, 584]</t>
  </si>
  <si>
    <t>1.3.6.1.4.1.14519.5.2.1.111937128056649108511518338364367447820</t>
  </si>
  <si>
    <t>DUKE_120</t>
  </si>
  <si>
    <t>[0, 94, 189, 283, 378]</t>
  </si>
  <si>
    <t>1.3.6.1.4.1.14519.5.2.1.182581940488565993251476651992238460998</t>
  </si>
  <si>
    <t>DUKE_123</t>
  </si>
  <si>
    <t>[0, 267, 371, 475, 579]</t>
  </si>
  <si>
    <t>1.3.6.1.4.1.14519.5.2.1.172774954414760136471394137130900048691</t>
  </si>
  <si>
    <t>DUKE_129</t>
  </si>
  <si>
    <t>[0.7227, 0.7227]</t>
  </si>
  <si>
    <t>[0, 325, 441, 558, 675]</t>
  </si>
  <si>
    <t>1.3.6.1.4.1.14519.5.2.1.303583086421599595983189543716600377921</t>
  </si>
  <si>
    <t>DUKE_132</t>
  </si>
  <si>
    <t>[0, 259, 368, 478]</t>
  </si>
  <si>
    <t>1.3.6.1.4.1.14519.5.2.1.317328950034908617429760377804293341759</t>
  </si>
  <si>
    <t>DUKE_134</t>
  </si>
  <si>
    <t>underweight</t>
  </si>
  <si>
    <t>[0, 187, 285, 382, 480]</t>
  </si>
  <si>
    <t>1.3.6.1.4.1.14519.5.2.1.306998095277635660521251829796226794493</t>
  </si>
  <si>
    <t>DUKE_136</t>
  </si>
  <si>
    <t>[0, 402, 512, 623, 734]</t>
  </si>
  <si>
    <t>1.3.6.1.4.1.14519.5.2.1.45694767015469845222113453330973285138</t>
  </si>
  <si>
    <t>DUKE_137</t>
  </si>
  <si>
    <t>[0, 249, 353, 457]</t>
  </si>
  <si>
    <t>1.3.6.1.4.1.14519.5.2.1.208890852399088188666594421228972697405</t>
  </si>
  <si>
    <t>DUKE_141</t>
  </si>
  <si>
    <t>[0, 195, 317, 441]</t>
  </si>
  <si>
    <t>1.3.6.1.4.1.14519.5.2.1.218195565656269637109212508864947338049</t>
  </si>
  <si>
    <t>DUKE_142</t>
  </si>
  <si>
    <t>[0, 213, 331, 461]</t>
  </si>
  <si>
    <t>1.3.6.1.4.1.14519.5.2.1.30422836382945420699403683165949607265</t>
  </si>
  <si>
    <t>DUKE_144</t>
  </si>
  <si>
    <t>[0, 226, 319, 418]</t>
  </si>
  <si>
    <t>1.3.6.1.4.1.14519.5.2.1.233946797815033599254336555370685171159</t>
  </si>
  <si>
    <t>DUKE_148</t>
  </si>
  <si>
    <t>[0, 228, 470, 566, 661]</t>
  </si>
  <si>
    <t>1.3.6.1.4.1.14519.5.2.1.204442016473648285815452319524182478869</t>
  </si>
  <si>
    <t>DUKE_150</t>
  </si>
  <si>
    <t>obesity_class_3</t>
  </si>
  <si>
    <t>[0, 311, 414, 517, 621]</t>
  </si>
  <si>
    <t>1.3.6.1.4.1.14519.5.2.1.205906296068094118386904123875316340519</t>
  </si>
  <si>
    <t>DUKE_156</t>
  </si>
  <si>
    <t>[0, 246, 354, 460]</t>
  </si>
  <si>
    <t>1.3.6.1.4.1.14519.5.2.1.172405015740907016018151094390039387682</t>
  </si>
  <si>
    <t>DUKE_157</t>
  </si>
  <si>
    <t>[0.66964286565781, 0.66964286565781]</t>
  </si>
  <si>
    <t>[0, 197, 320, 441]</t>
  </si>
  <si>
    <t>1.3.6.1.4.1.14519.5.2.1.330770955853978181336998009608243468531</t>
  </si>
  <si>
    <t>DUKE_160</t>
  </si>
  <si>
    <t>[0, 191, 295, 400, 505]</t>
  </si>
  <si>
    <t>1.3.6.1.4.1.14519.5.2.1.33017146239362933179342050144656252518</t>
  </si>
  <si>
    <t>DUKE_163</t>
  </si>
  <si>
    <t>[0, 173, 273, 373, 473]</t>
  </si>
  <si>
    <t>1.3.6.1.4.1.14519.5.2.1.241450418438042568811262056161522294263</t>
  </si>
  <si>
    <t>DUKE_167</t>
  </si>
  <si>
    <t>[0, 211, 324, 438]</t>
  </si>
  <si>
    <t>1.3.6.1.4.1.14519.5.2.1.236837486821997189185672983982766514147</t>
  </si>
  <si>
    <t>DUKE_168</t>
  </si>
  <si>
    <t>low</t>
  </si>
  <si>
    <t>[0, 195, 294, 393]</t>
  </si>
  <si>
    <t>1.3.6.1.4.1.14519.5.2.1.291382855231439421451442153044387607163</t>
  </si>
  <si>
    <t>DUKE_176</t>
  </si>
  <si>
    <t>[1.1875, 1.1875]</t>
  </si>
  <si>
    <t>[0, 343, 460, 577, 694]</t>
  </si>
  <si>
    <t>1.3.6.1.4.1.14519.5.2.1.201210793494871077243051896979379421549</t>
  </si>
  <si>
    <t>DUKE_177</t>
  </si>
  <si>
    <t>[0, 196, 324, 451]</t>
  </si>
  <si>
    <t>1.3.6.1.4.1.14519.5.2.1.12945640210608818476625042103219911059</t>
  </si>
  <si>
    <t>DUKE_178</t>
  </si>
  <si>
    <t>[0, 174, 293, 413]</t>
  </si>
  <si>
    <t>1.3.6.1.4.1.14519.5.2.1.312491236698669087871882341223795625326</t>
  </si>
  <si>
    <t>DUKE_180</t>
  </si>
  <si>
    <t>[0, 231, 332, 434]</t>
  </si>
  <si>
    <t>1.3.6.1.4.1.14519.5.2.1.21672992786536032496616921846581401687</t>
  </si>
  <si>
    <t>DUKE_183</t>
  </si>
  <si>
    <t>[0, 218, 334, 451]</t>
  </si>
  <si>
    <t>1.3.6.1.4.1.14519.5.2.1.22410305440378811495032652211348298235</t>
  </si>
  <si>
    <t>DUKE_185</t>
  </si>
  <si>
    <t>[0, 205, 327, 448]</t>
  </si>
  <si>
    <t>1.3.6.1.4.1.14519.5.2.1.292045240095949750593928043375792614139</t>
  </si>
  <si>
    <t>DUKE_189</t>
  </si>
  <si>
    <t>[0, 172, 294, 415, 538]</t>
  </si>
  <si>
    <t>1.3.6.1.4.1.14519.5.2.1.20875149656052265881526887926659191126</t>
  </si>
  <si>
    <t>DUKE_192</t>
  </si>
  <si>
    <t>[0, 167, 283, 400]</t>
  </si>
  <si>
    <t>1.3.6.1.4.1.14519.5.2.1.25784005146707670869027729251722855147</t>
  </si>
  <si>
    <t>DUKE_198</t>
  </si>
  <si>
    <t>[0, 220, 328, 437, 546]</t>
  </si>
  <si>
    <t>1.3.6.1.4.1.14519.5.2.1.81899484196759950759184978771309549847</t>
  </si>
  <si>
    <t>DUKE_202</t>
  </si>
  <si>
    <t>multiple race</t>
  </si>
  <si>
    <t>[0, 206, 322, 438]</t>
  </si>
  <si>
    <t>1.3.6.1.4.1.14519.5.2.1.297860422407480108042425645286403072273</t>
  </si>
  <si>
    <t>DUKE_205</t>
  </si>
  <si>
    <t>[0, 154, 252, 350]</t>
  </si>
  <si>
    <t>1.3.6.1.4.1.14519.5.2.1.329487786742995911604194911079391974895</t>
  </si>
  <si>
    <t>DUKE_211</t>
  </si>
  <si>
    <t>[0, 230, 365, 495, 634]</t>
  </si>
  <si>
    <t>1.3.6.1.4.1.14519.5.2.1.79810510168272448843193932941599234107</t>
  </si>
  <si>
    <t>DUKE_217</t>
  </si>
  <si>
    <t>[0.5469, 0.5469]</t>
  </si>
  <si>
    <t>[0, 209, 330, 450, 571]</t>
  </si>
  <si>
    <t>1.3.6.1.4.1.14519.5.2.1.212128607048870032902541405073501949218</t>
  </si>
  <si>
    <t>DUKE_218</t>
  </si>
  <si>
    <t>[0, 232, 342, 453, 564]</t>
  </si>
  <si>
    <t>1.3.6.1.4.1.14519.5.2.1.309906015838844355787095324254717579612</t>
  </si>
  <si>
    <t>DUKE_225</t>
  </si>
  <si>
    <t>[0, 175, 263, 351]</t>
  </si>
  <si>
    <t>1.3.6.1.4.1.14519.5.2.1.211490593160643598918604744115409217771</t>
  </si>
  <si>
    <t>DUKE_228</t>
  </si>
  <si>
    <t>[0, 286, 402, 519, 636]</t>
  </si>
  <si>
    <t>1.3.6.1.4.1.14519.5.2.1.328094998047028703201829092756184430396</t>
  </si>
  <si>
    <t>DUKE_233</t>
  </si>
  <si>
    <t>[0, 285, 387, 489]</t>
  </si>
  <si>
    <t>1.3.6.1.4.1.14519.5.2.1.116779255153240368392733689552235809530</t>
  </si>
  <si>
    <t>DUKE_234</t>
  </si>
  <si>
    <t>[0, 199, 313, 428]</t>
  </si>
  <si>
    <t>1.3.6.1.4.1.14519.5.2.1.82176796859131840203430765533160604699</t>
  </si>
  <si>
    <t>DUKE_236</t>
  </si>
  <si>
    <t>[0.7813, 0.7813]</t>
  </si>
  <si>
    <t>[0, 218, 330, 443, 555]</t>
  </si>
  <si>
    <t>1.3.6.1.4.1.14519.5.2.1.91599848432161563367989240717679119316</t>
  </si>
  <si>
    <t>DUKE_237</t>
  </si>
  <si>
    <t>[1.125, 1.125]</t>
  </si>
  <si>
    <t>[0, 430, 536, 641]</t>
  </si>
  <si>
    <t>1.3.6.1.4.1.14519.5.2.1.172758076997023179749596977338201356524</t>
  </si>
  <si>
    <t>DUKE_239</t>
  </si>
  <si>
    <t>[0, 125, 217, 308]</t>
  </si>
  <si>
    <t>1.3.6.1.4.1.14519.5.2.1.247101384133509238487423235953785692555</t>
  </si>
  <si>
    <t>DUKE_240</t>
  </si>
  <si>
    <t>[0, 262, 384, 506]</t>
  </si>
  <si>
    <t>1.3.6.1.4.1.14519.5.2.1.75938463868024577655986715965598755290</t>
  </si>
  <si>
    <t>DUKE_244</t>
  </si>
  <si>
    <t>[0, 224, 447, 565, 683]</t>
  </si>
  <si>
    <t>1.3.6.1.4.1.14519.5.2.1.176516648890241340717463237507082751510</t>
  </si>
  <si>
    <t>DUKE_250</t>
  </si>
  <si>
    <t>[0, 228, 329, 429]</t>
  </si>
  <si>
    <t>1.3.6.1.4.1.14519.5.2.1.138404954960724388473256462940545200314</t>
  </si>
  <si>
    <t>DUKE_253</t>
  </si>
  <si>
    <t>[0, 267, 393]</t>
  </si>
  <si>
    <t>1.3.6.1.4.1.14519.5.2.1.260388185743807325358976349236628103667</t>
  </si>
  <si>
    <t>DUKE_255</t>
  </si>
  <si>
    <t>[0, 227, 336, 445]</t>
  </si>
  <si>
    <t>1.3.6.1.4.1.14519.5.2.1.145085049597466534586870180226741653740</t>
  </si>
  <si>
    <t>DUKE_256</t>
  </si>
  <si>
    <t>[0, 175, 291, 406]</t>
  </si>
  <si>
    <t>1.3.6.1.4.1.14519.5.2.1.22785181646593543415615544034524467461</t>
  </si>
  <si>
    <t>DUKE_258</t>
  </si>
  <si>
    <t>[0, 197, 310]</t>
  </si>
  <si>
    <t>1.3.6.1.4.1.14519.5.2.1.144349610778212057330894021679371663753</t>
  </si>
  <si>
    <t>DUKE_260</t>
  </si>
  <si>
    <t>[0, 268, 480, 601, 722]</t>
  </si>
  <si>
    <t>1.3.6.1.4.1.14519.5.2.1.318859907524893476634591682853790005563</t>
  </si>
  <si>
    <t>DUKE_265</t>
  </si>
  <si>
    <t>[0.84821426868439, 0.84821426868439]</t>
  </si>
  <si>
    <t>[0, 197, 323, 453, 580]</t>
  </si>
  <si>
    <t>1.3.6.1.4.1.14519.5.2.1.247997092016832788287515149540846558802</t>
  </si>
  <si>
    <t>DUKE_268</t>
  </si>
  <si>
    <t>[0, 166, 275, 386]</t>
  </si>
  <si>
    <t>1.3.6.1.4.1.14519.5.2.1.153445145500766785984136657415150996880</t>
  </si>
  <si>
    <t>DUKE_269</t>
  </si>
  <si>
    <t>[0, 208, 484, 600, 716]</t>
  </si>
  <si>
    <t>1.3.6.1.4.1.14519.5.2.1.106063489627276490429955942665928610551</t>
  </si>
  <si>
    <t>DUKE_271</t>
  </si>
  <si>
    <t>[0, 227, 344, 461, 578]</t>
  </si>
  <si>
    <t>1.3.6.1.4.1.14519.5.2.1.92585950943946230860528045024410430306</t>
  </si>
  <si>
    <t>DUKE_275</t>
  </si>
  <si>
    <t>[0, 183, 308, 435]</t>
  </si>
  <si>
    <t>1.3.6.1.4.1.14519.5.2.1.108972083601851257014955851270294632119</t>
  </si>
  <si>
    <t>DUKE_282</t>
  </si>
  <si>
    <t>[0, 191, 310]</t>
  </si>
  <si>
    <t>1.3.6.1.4.1.14519.5.2.1.280998101542298919515223221903200922840</t>
  </si>
  <si>
    <t>DUKE_283</t>
  </si>
  <si>
    <t>[0, 148, 250, 352]</t>
  </si>
  <si>
    <t>1.3.6.1.4.1.14519.5.2.1.334013800229810485096048569013949302984</t>
  </si>
  <si>
    <t>DUKE_285</t>
  </si>
  <si>
    <t>[0, 205, 319, 434]</t>
  </si>
  <si>
    <t>1.3.6.1.4.1.14519.5.2.1.283204593717081362914960037442170173507</t>
  </si>
  <si>
    <t>DUKE_287</t>
  </si>
  <si>
    <t>[0, 155, 266, 378]</t>
  </si>
  <si>
    <t>1.3.6.1.4.1.14519.5.2.1.140556234034873311244886421756292270899</t>
  </si>
  <si>
    <t>DUKE_290</t>
  </si>
  <si>
    <t>[0, 193, 301, 408]</t>
  </si>
  <si>
    <t>1.3.6.1.4.1.14519.5.2.1.267640447817464507333621087116066943594</t>
  </si>
  <si>
    <t>DUKE_293</t>
  </si>
  <si>
    <t>[0, 189, 315, 432]</t>
  </si>
  <si>
    <t>1.3.6.1.4.1.14519.5.2.1.128417271386947360158097619397585211417</t>
  </si>
  <si>
    <t>DUKE_298</t>
  </si>
  <si>
    <t>[0.8008, 0.8008]</t>
  </si>
  <si>
    <t>[0, 193, 311, 430]</t>
  </si>
  <si>
    <t>1.3.6.1.4.1.14519.5.2.1.303396399464074947265278598847418939572</t>
  </si>
  <si>
    <t>DUKE_301</t>
  </si>
  <si>
    <t>[0, 227, 330, 434, 537]</t>
  </si>
  <si>
    <t>1.3.6.1.4.1.14519.5.2.1.212975563040957995369788684902278862608</t>
  </si>
  <si>
    <t>DUKE_303</t>
  </si>
  <si>
    <t>native american</t>
  </si>
  <si>
    <t>[0, 255, 362, 470, 577]</t>
  </si>
  <si>
    <t>1.3.6.1.4.1.14519.5.2.1.320055712882465903948457775629454005157</t>
  </si>
  <si>
    <t>DUKE_304</t>
  </si>
  <si>
    <t>[0, 187, 308, 431, 553]</t>
  </si>
  <si>
    <t>1.3.6.1.4.1.14519.5.2.1.218109054655311975468169371746789803316</t>
  </si>
  <si>
    <t>DUKE_306</t>
  </si>
  <si>
    <t>[0, 277, 382, 487, 592]</t>
  </si>
  <si>
    <t>1.3.6.1.4.1.14519.5.2.1.285339512401335160783699545566594587181</t>
  </si>
  <si>
    <t>DUKE_307</t>
  </si>
  <si>
    <t>[0.87053573131561, 0.87053573131561]</t>
  </si>
  <si>
    <t>[0, 239, 341, 443]</t>
  </si>
  <si>
    <t>1.3.6.1.4.1.14519.5.2.1.141207542752823952447199976377942166073</t>
  </si>
  <si>
    <t>DUKE_313</t>
  </si>
  <si>
    <t>[0, 233, 349, 465]</t>
  </si>
  <si>
    <t>1.3.6.1.4.1.14519.5.2.1.34876837991573941583607603796611997340</t>
  </si>
  <si>
    <t>DUKE_317</t>
  </si>
  <si>
    <t>[0, 238, 354, 469]</t>
  </si>
  <si>
    <t>1.3.6.1.4.1.14519.5.2.1.192074387714156532727441119880305274027</t>
  </si>
  <si>
    <t>DUKE_321</t>
  </si>
  <si>
    <t>[1.25, 1.25]</t>
  </si>
  <si>
    <t>[0, 205, 313, 418, 523]</t>
  </si>
  <si>
    <t>1.3.6.1.4.1.14519.5.2.1.238906870799790477179076969776433993068</t>
  </si>
  <si>
    <t>DUKE_323</t>
  </si>
  <si>
    <t>[0, 315, 431, 547]</t>
  </si>
  <si>
    <t>1.3.6.1.4.1.14519.5.2.1.247846530167447213855196579945412144788</t>
  </si>
  <si>
    <t>DUKE_328</t>
  </si>
  <si>
    <t>[0, 210, 323, 435, 547]</t>
  </si>
  <si>
    <t>1.3.6.1.4.1.14519.5.2.1.151186351705792215558222208324517103114</t>
  </si>
  <si>
    <t>DUKE_333</t>
  </si>
  <si>
    <t>[0, 204, 309, 415, 520]</t>
  </si>
  <si>
    <t>1.3.6.1.4.1.14519.5.2.1.36611093450912914135897380974423304736</t>
  </si>
  <si>
    <t>DUKE_335</t>
  </si>
  <si>
    <t>[1.0, 1.0]</t>
  </si>
  <si>
    <t>[0, 184, 290, 396, 501]</t>
  </si>
  <si>
    <t>1.3.6.1.4.1.14519.5.2.1.278759164649152392414926753818135437400</t>
  </si>
  <si>
    <t>DUKE_338</t>
  </si>
  <si>
    <t>[0, 443, 553, 662, 771]</t>
  </si>
  <si>
    <t>1.3.6.1.4.1.14519.5.2.1.276399132808195739946393768234339323290</t>
  </si>
  <si>
    <t>DUKE_345</t>
  </si>
  <si>
    <t>[0, 321, 443, 564, 685]</t>
  </si>
  <si>
    <t>1.3.6.1.4.1.14519.5.2.1.1508012474249333711068867413928380255</t>
  </si>
  <si>
    <t>DUKE_346</t>
  </si>
  <si>
    <t>[0, 200, 317, 434]</t>
  </si>
  <si>
    <t>1.3.6.1.4.1.14519.5.2.1.287024181072285057065081800377399854131</t>
  </si>
  <si>
    <t>DUKE_350</t>
  </si>
  <si>
    <t>[0, 195, 316, 437]</t>
  </si>
  <si>
    <t>1.3.6.1.4.1.14519.5.2.1.203369395115799963242440496686961103142</t>
  </si>
  <si>
    <t>DUKE_353</t>
  </si>
  <si>
    <t>[0, 169, 286, 403]</t>
  </si>
  <si>
    <t>1.3.6.1.4.1.14519.5.2.1.240783218964285585144518493754714618078</t>
  </si>
  <si>
    <t>DUKE_356</t>
  </si>
  <si>
    <t>[0, 187, 294, 412, 519]</t>
  </si>
  <si>
    <t>1.3.6.1.4.1.14519.5.2.1.39360130684562432836321352820471659779</t>
  </si>
  <si>
    <t>DUKE_360</t>
  </si>
  <si>
    <t>[0, 350, 457, 565, 672]</t>
  </si>
  <si>
    <t>1.3.6.1.4.1.14519.5.2.1.256495852168998645741716099103099020583</t>
  </si>
  <si>
    <t>DUKE_363</t>
  </si>
  <si>
    <t>[1.03125, 1.03125]</t>
  </si>
  <si>
    <t>[0, 283, 401, 518]</t>
  </si>
  <si>
    <t>1.3.6.1.4.1.14519.5.2.1.216529981578718553409960785082391273693</t>
  </si>
  <si>
    <t>DUKE_368</t>
  </si>
  <si>
    <t>[0, 192, 294, 393]</t>
  </si>
  <si>
    <t>1.3.6.1.4.1.14519.5.2.1.243838239322768435740279669757753805406</t>
  </si>
  <si>
    <t>DUKE_377</t>
  </si>
  <si>
    <t>[0, 178, 295, 411]</t>
  </si>
  <si>
    <t>1.3.6.1.4.1.14519.5.2.1.211262172139132917840622794786080235368</t>
  </si>
  <si>
    <t>DUKE_378</t>
  </si>
  <si>
    <t>[0, 167, 281, 395, 510]</t>
  </si>
  <si>
    <t>1.3.6.1.4.1.14519.5.2.1.140246771591081641829923635686304070850</t>
  </si>
  <si>
    <t>DUKE_383</t>
  </si>
  <si>
    <t>[0.5664, 0.5664]</t>
  </si>
  <si>
    <t>[0, 250, 554, 671, 787]</t>
  </si>
  <si>
    <t>1.3.6.1.4.1.14519.5.2.1.186597560449951529244600801091527510102</t>
  </si>
  <si>
    <t>DUKE_385</t>
  </si>
  <si>
    <t>[0.89285713434219, 0.89285713434219]</t>
  </si>
  <si>
    <t>[0, 259, 374, 491]</t>
  </si>
  <si>
    <t>1.3.6.1.4.1.14519.5.2.1.313882521217394003257013568861174646848</t>
  </si>
  <si>
    <t>DUKE_386</t>
  </si>
  <si>
    <t>[0, 203, 330, 455, 579]</t>
  </si>
  <si>
    <t>1.3.6.1.4.1.14519.5.2.1.289098420686312893486438405482931760876</t>
  </si>
  <si>
    <t>DUKE_387</t>
  </si>
  <si>
    <t>[0, 607, 750, 879, 1005]</t>
  </si>
  <si>
    <t>1.3.6.1.4.1.14519.5.2.1.98885679326492803891810649808789287075</t>
  </si>
  <si>
    <t>DUKE_395</t>
  </si>
  <si>
    <t>[0, 165, 281, 398]</t>
  </si>
  <si>
    <t>1.3.6.1.4.1.14519.5.2.1.258104756267376687417928327464469719541</t>
  </si>
  <si>
    <t>DUKE_397</t>
  </si>
  <si>
    <t>[0, 193, 301, 410]</t>
  </si>
  <si>
    <t>1.3.6.1.4.1.14519.5.2.1.6587821888354665894755468601611568423</t>
  </si>
  <si>
    <t>DUKE_398</t>
  </si>
  <si>
    <t>[0, 204, 301, 398]</t>
  </si>
  <si>
    <t>1.3.6.1.4.1.14519.5.2.1.248788049381462212638900017104647510527</t>
  </si>
  <si>
    <t>DUKE_399</t>
  </si>
  <si>
    <t>[0, 189, 292, 395, 498]</t>
  </si>
  <si>
    <t>1.3.6.1.4.1.14519.5.2.1.47601728473472556488831403863299651411</t>
  </si>
  <si>
    <t>DUKE_400</t>
  </si>
  <si>
    <t>[0, 183, 502, 611, 721]</t>
  </si>
  <si>
    <t>1.3.6.1.4.1.14519.5.2.1.95134999470176877069896874121131303912</t>
  </si>
  <si>
    <t>DUKE_406</t>
  </si>
  <si>
    <t>[0, 230, 324, 466, 560]</t>
  </si>
  <si>
    <t>1.3.6.1.4.1.14519.5.2.1.81586808172485914746800674877453265799</t>
  </si>
  <si>
    <t>DUKE_407</t>
  </si>
  <si>
    <t>[0, 165, 283, 402]</t>
  </si>
  <si>
    <t>1.3.6.1.4.1.14519.5.2.1.306683721340352397975229129840798707303</t>
  </si>
  <si>
    <t>DUKE_408</t>
  </si>
  <si>
    <t>[0, 286, 401, 517, 633]</t>
  </si>
  <si>
    <t>1.3.6.1.4.1.14519.5.2.1.277065583811482071180927952813419189127</t>
  </si>
  <si>
    <t>DUKE_412</t>
  </si>
  <si>
    <t>[0, 203, 319, 436]</t>
  </si>
  <si>
    <t>1.3.6.1.4.1.14519.5.2.1.309017012762165814847496329170931158160</t>
  </si>
  <si>
    <t>DUKE_414</t>
  </si>
  <si>
    <t>[0, 193, 302, 412]</t>
  </si>
  <si>
    <t>1.3.6.1.4.1.14519.5.2.1.64569804557086137075796448479921544278</t>
  </si>
  <si>
    <t>DUKE_420</t>
  </si>
  <si>
    <t>[0, 179, 296, 414]</t>
  </si>
  <si>
    <t>1.3.6.1.4.1.14519.5.2.1.272808363525945528082266065242155652124</t>
  </si>
  <si>
    <t>DUKE_424</t>
  </si>
  <si>
    <t>[0, 217, 328, 439, 549]</t>
  </si>
  <si>
    <t>1.3.6.1.4.1.14519.5.2.1.301876379764856117395544665494496997392</t>
  </si>
  <si>
    <t>DUKE_428</t>
  </si>
  <si>
    <t>[0, 213, 323, 430]</t>
  </si>
  <si>
    <t>1.3.6.1.4.1.14519.5.2.1.34433442423359551624633810576538618561</t>
  </si>
  <si>
    <t>DUKE_429</t>
  </si>
  <si>
    <t>[0, 204, 310, 416]</t>
  </si>
  <si>
    <t>1.3.6.1.4.1.14519.5.2.1.273158003574809923311068415140329350708</t>
  </si>
  <si>
    <t>DUKE_431</t>
  </si>
  <si>
    <t>[0, 207, 325, 442, 559]</t>
  </si>
  <si>
    <t>1.3.6.1.4.1.14519.5.2.1.84881881745231613591476904934195036969</t>
  </si>
  <si>
    <t>DUKE_435</t>
  </si>
  <si>
    <t>[0, 328, 436, 545, 654]</t>
  </si>
  <si>
    <t>1.3.6.1.4.1.14519.5.2.1.117955199932743970273117230424428034621</t>
  </si>
  <si>
    <t>DUKE_437</t>
  </si>
  <si>
    <t>[0, 198, 315, 432]</t>
  </si>
  <si>
    <t>1.3.6.1.4.1.14519.5.2.1.77669993964519795100825700607126995696</t>
  </si>
  <si>
    <t>DUKE_438</t>
  </si>
  <si>
    <t>[0, 168, 290, 413]</t>
  </si>
  <si>
    <t>1.3.6.1.4.1.14519.5.2.1.32268047157932202566720499072536763939</t>
  </si>
  <si>
    <t>DUKE_441</t>
  </si>
  <si>
    <t>[0, 258, 358, 459, 559]</t>
  </si>
  <si>
    <t>1.3.6.1.4.1.14519.5.2.1.193420320508028541347871793943272113503</t>
  </si>
  <si>
    <t>DUKE_444</t>
  </si>
  <si>
    <t>[0, 200, 315, 429]</t>
  </si>
  <si>
    <t>1.3.6.1.4.1.14519.5.2.1.327823939068998502036463267300602755973</t>
  </si>
  <si>
    <t>DUKE_454</t>
  </si>
  <si>
    <t>[0, 222, 341, 465]</t>
  </si>
  <si>
    <t>1.3.6.1.4.1.14519.5.2.1.294649750503562535731773141938052803088</t>
  </si>
  <si>
    <t>DUKE_457</t>
  </si>
  <si>
    <t>[0, 229, 346, 463, 580]</t>
  </si>
  <si>
    <t>1.3.6.1.4.1.14519.5.2.1.157200311684853617749019792038768951393</t>
  </si>
  <si>
    <t>DUKE_464</t>
  </si>
  <si>
    <t>[0, 182, 319, 452, 585]</t>
  </si>
  <si>
    <t>1.3.6.1.4.1.14519.5.2.1.283848725643292501715823828541172430811</t>
  </si>
  <si>
    <t>DUKE_465</t>
  </si>
  <si>
    <t>[0, 196, 316, 436]</t>
  </si>
  <si>
    <t>1.3.6.1.4.1.14519.5.2.1.165408965554765914165680766580096824131</t>
  </si>
  <si>
    <t>DUKE_468</t>
  </si>
  <si>
    <t>[0, 160, 265, 370]</t>
  </si>
  <si>
    <t>1.3.6.1.4.1.14519.5.2.1.195933683259293645737423517199796608100</t>
  </si>
  <si>
    <t>DUKE_470</t>
  </si>
  <si>
    <t>[0, 162, 259, 357, 454]</t>
  </si>
  <si>
    <t>1.3.6.1.4.1.14519.5.2.1.328505137429001423890959387590445152937</t>
  </si>
  <si>
    <t>DUKE_474</t>
  </si>
  <si>
    <t>[0, 231, 355, 478]</t>
  </si>
  <si>
    <t>1.3.6.1.4.1.14519.5.2.1.141700995832110152987902833202421213761</t>
  </si>
  <si>
    <t>DUKE_480</t>
  </si>
  <si>
    <t>[0, 193, 309, 425]</t>
  </si>
  <si>
    <t>1.3.6.1.4.1.14519.5.2.1.16429330937200360154042501895333179145</t>
  </si>
  <si>
    <t>DUKE_482</t>
  </si>
  <si>
    <t>[0, 262, 361, 460]</t>
  </si>
  <si>
    <t>1.3.6.1.4.1.14519.5.2.1.116333924540667102225549402695027402700</t>
  </si>
  <si>
    <t>DUKE_486</t>
  </si>
  <si>
    <t>[0, 182, 291, 400, 509]</t>
  </si>
  <si>
    <t>1.3.6.1.4.1.14519.5.2.1.8115251275154034376930129336363054638</t>
  </si>
  <si>
    <t>DUKE_489</t>
  </si>
  <si>
    <t>[0, 188, 312, 437]</t>
  </si>
  <si>
    <t>1.3.6.1.4.1.14519.5.2.1.148353071749568983071296727445193707956</t>
  </si>
  <si>
    <t>DUKE_491</t>
  </si>
  <si>
    <t>[0, 148, 271, 393]</t>
  </si>
  <si>
    <t>1.3.6.1.4.1.14519.5.2.1.34535281378624645185580596308529082016</t>
  </si>
  <si>
    <t>DUKE_501</t>
  </si>
  <si>
    <t>[0, 192, 308, 424]</t>
  </si>
  <si>
    <t>1.3.6.1.4.1.14519.5.2.1.156294307713854039236997521346301884354</t>
  </si>
  <si>
    <t>DUKE_506</t>
  </si>
  <si>
    <t>[0, 206, 317, 428, 538]</t>
  </si>
  <si>
    <t>1.3.6.1.4.1.14519.5.2.1.274610027268536476810338444459766647450</t>
  </si>
  <si>
    <t>DUKE_507</t>
  </si>
  <si>
    <t>[0, 330, 439, 548, 657]</t>
  </si>
  <si>
    <t>1.3.6.1.4.1.14519.5.2.1.227958074115057760223378286615750997398</t>
  </si>
  <si>
    <t>DUKE_508</t>
  </si>
  <si>
    <t>[0, 159, 275, 391]</t>
  </si>
  <si>
    <t>1.3.6.1.4.1.14519.5.2.1.287434660786253071042051801830923069576</t>
  </si>
  <si>
    <t>DUKE_512</t>
  </si>
  <si>
    <t>[0, 225, 342, 459]</t>
  </si>
  <si>
    <t>1.3.6.1.4.1.14519.5.2.1.190781951499437360331467190961926868514</t>
  </si>
  <si>
    <t>DUKE_514</t>
  </si>
  <si>
    <t>[0, 164, 281, 397]</t>
  </si>
  <si>
    <t>1.3.6.1.4.1.14519.5.2.1.245115474342858440565474951502131434524</t>
  </si>
  <si>
    <t>DUKE_517</t>
  </si>
  <si>
    <t>[0, 255, 353, 450, 548]</t>
  </si>
  <si>
    <t>1.3.6.1.4.1.14519.5.2.1.30688300717636023190284129466990747112</t>
  </si>
  <si>
    <t>DUKE_521</t>
  </si>
  <si>
    <t>[0, 168, 286, 403]</t>
  </si>
  <si>
    <t>1.3.6.1.4.1.14519.5.2.1.189915970227447556102852509699457057790</t>
  </si>
  <si>
    <t>DUKE_525</t>
  </si>
  <si>
    <t>[0, 175, 289, 402]</t>
  </si>
  <si>
    <t>1.3.6.1.4.1.14519.5.2.1.242443888929030533881873878606473464818</t>
  </si>
  <si>
    <t>DUKE_527</t>
  </si>
  <si>
    <t>[0, 200, 364, 486]</t>
  </si>
  <si>
    <t>1.3.6.1.4.1.14519.5.2.1.57744844243324897042933264952980717727</t>
  </si>
  <si>
    <t>DUKE_530</t>
  </si>
  <si>
    <t>1.3.6.1.4.1.14519.5.2.1.118657742176361981909152761665581432878</t>
  </si>
  <si>
    <t>DUKE_534</t>
  </si>
  <si>
    <t>[0, 180, 296, 414]</t>
  </si>
  <si>
    <t>1.3.6.1.4.1.14519.5.2.1.6856791159269827129685883474057987107</t>
  </si>
  <si>
    <t>DUKE_535</t>
  </si>
  <si>
    <t>[0, 168, 263, 358]</t>
  </si>
  <si>
    <t>1.3.6.1.4.1.14519.5.2.1.311745359264107480504020605129493473112</t>
  </si>
  <si>
    <t>DUKE_539</t>
  </si>
  <si>
    <t>1.3.6.1.4.1.14519.5.2.1.73358732193356281648466712825081137075</t>
  </si>
  <si>
    <t>DUKE_541</t>
  </si>
  <si>
    <t>[0, 300, 434, 565, 696]</t>
  </si>
  <si>
    <t>1.3.6.1.4.1.14519.5.2.1.85054149701206136697043041337184399497</t>
  </si>
  <si>
    <t>DUKE_543</t>
  </si>
  <si>
    <t>[0, 251, 373, 495]</t>
  </si>
  <si>
    <t>1.3.6.1.4.1.14519.5.2.1.290823054977733434615714346813902960293</t>
  </si>
  <si>
    <t>DUKE_545</t>
  </si>
  <si>
    <t>[0, 228, 358, 483, 607]</t>
  </si>
  <si>
    <t>1.3.6.1.4.1.14519.5.2.1.97921766532914941567671442644043772591</t>
  </si>
  <si>
    <t>DUKE_546</t>
  </si>
  <si>
    <t>[0, 194, 281, 367]</t>
  </si>
  <si>
    <t>1.3.6.1.4.1.14519.5.2.1.323785665586567664803668398743293435470</t>
  </si>
  <si>
    <t>DUKE_552</t>
  </si>
  <si>
    <t>SIGNA EXCITE</t>
  </si>
  <si>
    <t>[0, 261, 455, 573, 964]</t>
  </si>
  <si>
    <t>1.3.6.1.4.1.14519.5.2.1.194823005214886161706422700524964392967</t>
  </si>
  <si>
    <t>DUKE_558</t>
  </si>
  <si>
    <t>[0, 261, 370, 479]</t>
  </si>
  <si>
    <t>1.3.6.1.4.1.14519.5.2.1.200375493017387737473588404340839307767</t>
  </si>
  <si>
    <t>DUKE_559</t>
  </si>
  <si>
    <t>[0, 171, 299, 425]</t>
  </si>
  <si>
    <t>1.3.6.1.4.1.14519.5.2.1.258722239768179491542164321385684663237</t>
  </si>
  <si>
    <t>DUKE_560</t>
  </si>
  <si>
    <t>[0, 271, 365, 460, 555]</t>
  </si>
  <si>
    <t>1.3.6.1.4.1.14519.5.2.1.16156734879306151132419063997678472938</t>
  </si>
  <si>
    <t>DUKE_562</t>
  </si>
  <si>
    <t>[0, 296, 419, 546]</t>
  </si>
  <si>
    <t>1.3.6.1.4.1.14519.5.2.1.65491776902283854788452452832612372538</t>
  </si>
  <si>
    <t>DUKE_567</t>
  </si>
  <si>
    <t>[0, 174, 286, 399]</t>
  </si>
  <si>
    <t>1.3.6.1.4.1.14519.5.2.1.65711729618015956834632357887614825359</t>
  </si>
  <si>
    <t>DUKE_568</t>
  </si>
  <si>
    <t>[0, 336, 459, 584, 708]</t>
  </si>
  <si>
    <t>1.3.6.1.4.1.14519.5.2.1.265078099181707709236311293524414151141</t>
  </si>
  <si>
    <t>DUKE_573</t>
  </si>
  <si>
    <t>[0, 166, 281, 396]</t>
  </si>
  <si>
    <t>1.3.6.1.4.1.14519.5.2.1.15541836630250057307691313185806228100</t>
  </si>
  <si>
    <t>DUKE_577</t>
  </si>
  <si>
    <t>[0, 245, 355, 466]</t>
  </si>
  <si>
    <t>1.3.6.1.4.1.14519.5.2.1.25783910927053731109677408903775497555</t>
  </si>
  <si>
    <t>DUKE_585</t>
  </si>
  <si>
    <t>[0, 213, 326, 439, 552]</t>
  </si>
  <si>
    <t>1.3.6.1.4.1.14519.5.2.1.271175230698035768132956820131281414932</t>
  </si>
  <si>
    <t>DUKE_590</t>
  </si>
  <si>
    <t>[0, 770, 916, 1028, 1151]</t>
  </si>
  <si>
    <t>1.3.6.1.4.1.14519.5.2.1.248836543142582937840047047785805579601</t>
  </si>
  <si>
    <t>DUKE_592</t>
  </si>
  <si>
    <t>[0, 437, 541, 644, 748]</t>
  </si>
  <si>
    <t>1.3.6.1.4.1.14519.5.2.1.63959032305875491638220446561457108126</t>
  </si>
  <si>
    <t>DUKE_595</t>
  </si>
  <si>
    <t>[0, 251, 356, 463]</t>
  </si>
  <si>
    <t>1.3.6.1.4.1.14519.5.2.1.186439455194053573201157723932171706398</t>
  </si>
  <si>
    <t>DUKE_597</t>
  </si>
  <si>
    <t>[0, 464, 585, 706, 827]</t>
  </si>
  <si>
    <t>1.3.6.1.4.1.14519.5.2.1.261759313282411292911068597016155756081</t>
  </si>
  <si>
    <t>DUKE_605</t>
  </si>
  <si>
    <t>[0, 210, 336, 461]</t>
  </si>
  <si>
    <t>1.3.6.1.4.1.14519.5.2.1.97386972716071543463616537833131244394</t>
  </si>
  <si>
    <t>DUKE_607</t>
  </si>
  <si>
    <t>[0, 185, 292, 397]</t>
  </si>
  <si>
    <t>1.3.6.1.4.1.14519.5.2.1.201833084044812614377426410770863852418</t>
  </si>
  <si>
    <t>DUKE_609</t>
  </si>
  <si>
    <t>[0, 301, 408, 515, 623]</t>
  </si>
  <si>
    <t>1.3.6.1.4.1.14519.5.2.1.13267366762456395538751419193169645591</t>
  </si>
  <si>
    <t>DUKE_610</t>
  </si>
  <si>
    <t>[0, 492, 670, 798, 927]</t>
  </si>
  <si>
    <t>1.3.6.1.4.1.14519.5.2.1.68107268530454791824813505202239038611</t>
  </si>
  <si>
    <t>DUKE_612</t>
  </si>
  <si>
    <t>[0, 227, 351, 476]</t>
  </si>
  <si>
    <t>1.3.6.1.4.1.14519.5.2.1.113942054861919174160675795181975798486</t>
  </si>
  <si>
    <t>DUKE_614</t>
  </si>
  <si>
    <t>[0, 197, 305, 412]</t>
  </si>
  <si>
    <t>1.3.6.1.4.1.14519.5.2.1.59536132558261494863315698043799618305</t>
  </si>
  <si>
    <t>DUKE_615</t>
  </si>
  <si>
    <t>[0, 220, 338, 455]</t>
  </si>
  <si>
    <t>1.3.6.1.4.1.14519.5.2.1.41245991964745421789647910640704099519</t>
  </si>
  <si>
    <t>DUKE_616</t>
  </si>
  <si>
    <t>[0, 198, 316, 435, 554]</t>
  </si>
  <si>
    <t>1.3.6.1.4.1.14519.5.2.1.298691999922047280766658032439816247146</t>
  </si>
  <si>
    <t>DUKE_618</t>
  </si>
  <si>
    <t>[0, 208, 393, 514, 635]</t>
  </si>
  <si>
    <t>1.3.6.1.4.1.14519.5.2.1.180625065555901332785393535388319964811</t>
  </si>
  <si>
    <t>DUKE_623</t>
  </si>
  <si>
    <t>[0, 176, 295, 415, 534]</t>
  </si>
  <si>
    <t>1.3.6.1.4.1.14519.5.2.1.285260020089602884273109914822435006072</t>
  </si>
  <si>
    <t>DUKE_633</t>
  </si>
  <si>
    <t>[0, 202, 325, 447]</t>
  </si>
  <si>
    <t>1.3.6.1.4.1.14519.5.2.1.193064919422034663660765969900113701285</t>
  </si>
  <si>
    <t>DUKE_636</t>
  </si>
  <si>
    <t>[0, 219, 322, 426, 529]</t>
  </si>
  <si>
    <t>1.3.6.1.4.1.14519.5.2.1.282796868066108574464430787500966086119</t>
  </si>
  <si>
    <t>DUKE_640</t>
  </si>
  <si>
    <t>[0, 227, 331, 436, 541]</t>
  </si>
  <si>
    <t>1.3.6.1.4.1.14519.5.2.1.81898060706017563039779370161624533089</t>
  </si>
  <si>
    <t>DUKE_641</t>
  </si>
  <si>
    <t>[0, 232, 356, 480]</t>
  </si>
  <si>
    <t>1.3.6.1.4.1.14519.5.2.1.8448937995828140448247053052119605613</t>
  </si>
  <si>
    <t>DUKE_642</t>
  </si>
  <si>
    <t>[0, 181, 297, 412]</t>
  </si>
  <si>
    <t>1.3.6.1.4.1.14519.5.2.1.125631134892948457761763001899343610563</t>
  </si>
  <si>
    <t>DUKE_645</t>
  </si>
  <si>
    <t>[0, 293, 415, 536]</t>
  </si>
  <si>
    <t>1.3.6.1.4.1.14519.5.2.1.70969430646484899849880135756782918029</t>
  </si>
  <si>
    <t>DUKE_650</t>
  </si>
  <si>
    <t>[0, 351, 471, 590, 710]</t>
  </si>
  <si>
    <t>1.3.6.1.4.1.14519.5.2.1.20506433975828382954161015480551971963</t>
  </si>
  <si>
    <t>DUKE_651</t>
  </si>
  <si>
    <t>[0, 208, 325, 442, 559]</t>
  </si>
  <si>
    <t>1.3.6.1.4.1.14519.5.2.1.97266470815302815936255268685159846450</t>
  </si>
  <si>
    <t>DUKE_652</t>
  </si>
  <si>
    <t>[0, 743, 979, 1121, 1252]</t>
  </si>
  <si>
    <t>1.3.6.1.4.1.14519.5.2.1.123908790853936358477208292315811712945</t>
  </si>
  <si>
    <t>DUKE_656</t>
  </si>
  <si>
    <t>[0, 156, 274, 391]</t>
  </si>
  <si>
    <t>1.3.6.1.4.1.14519.5.2.1.255998470021683050465097322552489997510</t>
  </si>
  <si>
    <t>DUKE_660</t>
  </si>
  <si>
    <t>[0, 195, 314, 433]</t>
  </si>
  <si>
    <t>1.3.6.1.4.1.14519.5.2.1.4178230263020068472387462758994349545</t>
  </si>
  <si>
    <t>DUKE_662</t>
  </si>
  <si>
    <t>[0, 237, 343, 450]</t>
  </si>
  <si>
    <t>1.3.6.1.4.1.14519.5.2.1.232698165742022763832501713917888570995</t>
  </si>
  <si>
    <t>DUKE_663</t>
  </si>
  <si>
    <t>[0, 182, 280, 378]</t>
  </si>
  <si>
    <t>1.3.6.1.4.1.14519.5.2.1.312874327269644238023756290393314318390</t>
  </si>
  <si>
    <t>DUKE_666</t>
  </si>
  <si>
    <t>[0, 188, 304, 421, 537]</t>
  </si>
  <si>
    <t>1.3.6.1.4.1.14519.5.2.1.194369310573453176920615762234172228158</t>
  </si>
  <si>
    <t>DUKE_670</t>
  </si>
  <si>
    <t>[0.5273, 0.5273]</t>
  </si>
  <si>
    <t>[0, 286, 412, 539, 666]</t>
  </si>
  <si>
    <t>1.3.6.1.4.1.14519.5.2.1.229430933835196343204720244813898716877</t>
  </si>
  <si>
    <t>DUKE_672</t>
  </si>
  <si>
    <t>[0, 157, 249, 342, 435]</t>
  </si>
  <si>
    <t>1.3.6.1.4.1.14519.5.2.1.282088660062990595330434466415876629459</t>
  </si>
  <si>
    <t>DUKE_677</t>
  </si>
  <si>
    <t>[0, 156, 274, 393, 511]</t>
  </si>
  <si>
    <t>1.3.6.1.4.1.14519.5.2.1.25538352912470071484248476149564146085</t>
  </si>
  <si>
    <t>DUKE_679</t>
  </si>
  <si>
    <t>[0, 466, 590, 714]</t>
  </si>
  <si>
    <t>1.3.6.1.4.1.14519.5.2.1.43094291275139538805984896339443326166</t>
  </si>
  <si>
    <t>DUKE_681</t>
  </si>
  <si>
    <t>[0, 189, 319, 447, 575]</t>
  </si>
  <si>
    <t>1.3.6.1.4.1.14519.5.2.1.83278429602180651460269499189988927799</t>
  </si>
  <si>
    <t>DUKE_684</t>
  </si>
  <si>
    <t>[0, 190, 313, 437]</t>
  </si>
  <si>
    <t>1.3.6.1.4.1.14519.5.2.1.147818337570906325754388015792233959973</t>
  </si>
  <si>
    <t>DUKE_685</t>
  </si>
  <si>
    <t>[0, 154, 253, 353]</t>
  </si>
  <si>
    <t>1.3.6.1.4.1.14519.5.2.1.90877907456994059595471304077170695173</t>
  </si>
  <si>
    <t>DUKE_686</t>
  </si>
  <si>
    <t>[0, 229, 555, 669, 782]</t>
  </si>
  <si>
    <t>1.3.6.1.4.1.14519.5.2.1.310919515195955012806517659863941601684</t>
  </si>
  <si>
    <t>DUKE_687</t>
  </si>
  <si>
    <t>[0, 188, 304, 419]</t>
  </si>
  <si>
    <t>1.3.6.1.4.1.14519.5.2.1.113950084064496072783368601018291572992</t>
  </si>
  <si>
    <t>DUKE_688</t>
  </si>
  <si>
    <t>[0, 193, 306, 419]</t>
  </si>
  <si>
    <t>1.3.6.1.4.1.14519.5.2.1.59293441138486356955845414099175270397</t>
  </si>
  <si>
    <t>DUKE_691</t>
  </si>
  <si>
    <t>[0, 236, 421, 521, 621]</t>
  </si>
  <si>
    <t>1.3.6.1.4.1.14519.5.2.1.268204873881097197252922837716484391830</t>
  </si>
  <si>
    <t>DUKE_693</t>
  </si>
  <si>
    <t>[0, 197, 313, 429]</t>
  </si>
  <si>
    <t>1.3.6.1.4.1.14519.5.2.1.168758819152179634240680894132415377211</t>
  </si>
  <si>
    <t>DUKE_694</t>
  </si>
  <si>
    <t>[0, 181, 298, 414]</t>
  </si>
  <si>
    <t>1.3.6.1.4.1.14519.5.2.1.193861872180133913350062392118676104600</t>
  </si>
  <si>
    <t>DUKE_697</t>
  </si>
  <si>
    <t>[0.82589286565781, 0.82589286565781]</t>
  </si>
  <si>
    <t>[0, 199, 321, 445]</t>
  </si>
  <si>
    <t>1.3.6.1.4.1.14519.5.2.1.16841144720022564165282662421710593583</t>
  </si>
  <si>
    <t>DUKE_710</t>
  </si>
  <si>
    <t>[0, 276, 400, 522, 646]</t>
  </si>
  <si>
    <t>1.3.6.1.4.1.14519.5.2.1.149188332530167674102357079392787552829</t>
  </si>
  <si>
    <t>DUKE_717</t>
  </si>
  <si>
    <t>[0, 213, 360, 499, 637]</t>
  </si>
  <si>
    <t>1.3.6.1.4.1.14519.5.2.1.335681729874395074129226826793206756042</t>
  </si>
  <si>
    <t>DUKE_718</t>
  </si>
  <si>
    <t>[0, 237, 359, 481]</t>
  </si>
  <si>
    <t>1.3.6.1.4.1.14519.5.2.1.310595206185907370966999381556848000993</t>
  </si>
  <si>
    <t>DUKE_723</t>
  </si>
  <si>
    <t>[0, 226, 516, 616, 716]</t>
  </si>
  <si>
    <t>1.3.6.1.4.1.14519.5.2.1.85371371861337552809160794609414957096</t>
  </si>
  <si>
    <t>DUKE_724</t>
  </si>
  <si>
    <t>[0, 191, 309, 425]</t>
  </si>
  <si>
    <t>1.3.6.1.4.1.14519.5.2.1.75979130087311931355732666422782624520</t>
  </si>
  <si>
    <t>DUKE_725</t>
  </si>
  <si>
    <t>[0, 176, 282, 387]</t>
  </si>
  <si>
    <t>1.3.6.1.4.1.14519.5.2.1.321719004854889782887250759500632061166</t>
  </si>
  <si>
    <t>DUKE_735</t>
  </si>
  <si>
    <t>[0, 236, 369, 477, 868]</t>
  </si>
  <si>
    <t>1.3.6.1.4.1.14519.5.2.1.339508724343056571555819721389944213778</t>
  </si>
  <si>
    <t>DUKE_746</t>
  </si>
  <si>
    <t>[0, 330, 446, 562, 678]</t>
  </si>
  <si>
    <t>1.3.6.1.4.1.14519.5.2.1.292775381374088885240280014761095497238</t>
  </si>
  <si>
    <t>DUKE_751</t>
  </si>
  <si>
    <t>[0, 177, 292, 407]</t>
  </si>
  <si>
    <t>1.3.6.1.4.1.14519.5.2.1.187672632773517620964214865218581666679</t>
  </si>
  <si>
    <t>DUKE_754</t>
  </si>
  <si>
    <t>[0, 285, 408, 530]</t>
  </si>
  <si>
    <t>1.3.6.1.4.1.14519.5.2.1.290642021165836416978607911121770911163</t>
  </si>
  <si>
    <t>DUKE_757</t>
  </si>
  <si>
    <t>[0, 160, 276, 393]</t>
  </si>
  <si>
    <t>1.3.6.1.4.1.14519.5.2.1.312408530650972568742093272907732656542</t>
  </si>
  <si>
    <t>DUKE_758</t>
  </si>
  <si>
    <t>[0, 391, 493, 595, 696]</t>
  </si>
  <si>
    <t>1.3.6.1.4.1.14519.5.2.1.175561661313500970429060942214068403448</t>
  </si>
  <si>
    <t>DUKE_762</t>
  </si>
  <si>
    <t>[0, 542, 658, 773, 889]</t>
  </si>
  <si>
    <t>1.3.6.1.4.1.14519.5.2.1.152752842064657111146799735354037025771</t>
  </si>
  <si>
    <t>DUKE_765</t>
  </si>
  <si>
    <t>[0, 168, 285, 402]</t>
  </si>
  <si>
    <t>1.3.6.1.4.1.14519.5.2.1.123915775738516199084829132190318335117</t>
  </si>
  <si>
    <t>DUKE_774</t>
  </si>
  <si>
    <t>[0, 171, 294, 417]</t>
  </si>
  <si>
    <t>1.3.6.1.4.1.14519.5.2.1.157940765918787497920557284690081185889</t>
  </si>
  <si>
    <t>DUKE_775</t>
  </si>
  <si>
    <t>[0, 177, 265, 354, 442]</t>
  </si>
  <si>
    <t>1.3.6.1.4.1.14519.5.2.1.141188610879537402389766714461619069448</t>
  </si>
  <si>
    <t>DUKE_776</t>
  </si>
  <si>
    <t>[0, 208, 333, 459]</t>
  </si>
  <si>
    <t>1.3.6.1.4.1.14519.5.2.1.142807453050109434715157973694341688645</t>
  </si>
  <si>
    <t>DUKE_778</t>
  </si>
  <si>
    <t>[0.98214286565781, 0.98214286565781]</t>
  </si>
  <si>
    <t>[0, 234, 335, 435]</t>
  </si>
  <si>
    <t>1.3.6.1.4.1.14519.5.2.1.234633673410978645553909522080573160446</t>
  </si>
  <si>
    <t>DUKE_780</t>
  </si>
  <si>
    <t>[0, 276, 376, 475]</t>
  </si>
  <si>
    <t>1.3.6.1.4.1.14519.5.2.1.77537699408724020181917130538481555485</t>
  </si>
  <si>
    <t>DUKE_789</t>
  </si>
  <si>
    <t>[0, 312, 426, 541, 656]</t>
  </si>
  <si>
    <t>1.3.6.1.4.1.14519.5.2.1.124661199888151097745873138887802957928</t>
  </si>
  <si>
    <t>DUKE_790</t>
  </si>
  <si>
    <t>[0, 212, 499, 600, 700]</t>
  </si>
  <si>
    <t>1.3.6.1.4.1.14519.5.2.1.97995466511378926543346195881481457512</t>
  </si>
  <si>
    <t>DUKE_792</t>
  </si>
  <si>
    <t>[0, 163, 281, 398]</t>
  </si>
  <si>
    <t>1.3.6.1.4.1.14519.5.2.1.3321228350458922951232048170745664929</t>
  </si>
  <si>
    <t>DUKE_797</t>
  </si>
  <si>
    <t>[0, 399, 516, 633, 756]</t>
  </si>
  <si>
    <t>1.3.6.1.4.1.14519.5.2.1.235140599267838981060873665505377229236</t>
  </si>
  <si>
    <t>DUKE_799</t>
  </si>
  <si>
    <t>[0, 172, 293, 414]</t>
  </si>
  <si>
    <t>1.3.6.1.4.1.14519.5.2.1.181947620431758730726544399702636757285</t>
  </si>
  <si>
    <t>DUKE_804</t>
  </si>
  <si>
    <t>[0, 216, 326, 436, 546]</t>
  </si>
  <si>
    <t>1.3.6.1.4.1.14519.5.2.1.316275994573626696769273761166920866472</t>
  </si>
  <si>
    <t>DUKE_805</t>
  </si>
  <si>
    <t>[0, 175, 281, 386, 491]</t>
  </si>
  <si>
    <t>1.3.6.1.4.1.14519.5.2.1.6939423544458199031456085320480366558</t>
  </si>
  <si>
    <t>DUKE_809</t>
  </si>
  <si>
    <t>[0, 221, 318, 415]</t>
  </si>
  <si>
    <t>1.3.6.1.4.1.14519.5.2.1.260946053597140466848354332517548270987</t>
  </si>
  <si>
    <t>DUKE_812</t>
  </si>
  <si>
    <t>[0, 206, 316, 426, 535]</t>
  </si>
  <si>
    <t>1.3.6.1.4.1.14519.5.2.1.124835690335794935942608489850740095472</t>
  </si>
  <si>
    <t>DUKE_816</t>
  </si>
  <si>
    <t>[0, 336, 456, 576, 696]</t>
  </si>
  <si>
    <t>1.3.6.1.4.1.14519.5.2.1.52411222650616217928243866636232865266</t>
  </si>
  <si>
    <t>DUKE_817</t>
  </si>
  <si>
    <t>[0, 187, 309, 432]</t>
  </si>
  <si>
    <t>1.3.6.1.4.1.14519.5.2.1.185331428907545927504245708960507941069</t>
  </si>
  <si>
    <t>DUKE_822</t>
  </si>
  <si>
    <t>[0, 210, 327, 443]</t>
  </si>
  <si>
    <t>1.3.6.1.4.1.14519.5.2.1.157355959581092388343386811835350884951</t>
  </si>
  <si>
    <t>DUKE_830</t>
  </si>
  <si>
    <t>[0, 165, 282, 398]</t>
  </si>
  <si>
    <t>1.3.6.1.4.1.14519.5.2.1.14978800151886212299665009709340450594</t>
  </si>
  <si>
    <t>DUKE_831</t>
  </si>
  <si>
    <t>[0, 200, 315, 430]</t>
  </si>
  <si>
    <t>1.3.6.1.4.1.14519.5.2.1.184477607793718537850301414211917799174</t>
  </si>
  <si>
    <t>DUKE_832</t>
  </si>
  <si>
    <t>[0, 214, 545, 671, 796]</t>
  </si>
  <si>
    <t>1.3.6.1.4.1.14519.5.2.1.166423618038868734328284829484220921155</t>
  </si>
  <si>
    <t>DUKE_833</t>
  </si>
  <si>
    <t>[0, 172, 276, 379]</t>
  </si>
  <si>
    <t>1.3.6.1.4.1.14519.5.2.1.200842733178553148203440538448929387865</t>
  </si>
  <si>
    <t>DUKE_834</t>
  </si>
  <si>
    <t>[0, 323, 431, 538, 646]</t>
  </si>
  <si>
    <t>1.3.6.1.4.1.14519.5.2.1.74479981516231667069851916423047437142</t>
  </si>
  <si>
    <t>DUKE_836</t>
  </si>
  <si>
    <t>[0, 210, 326, 443, 559]</t>
  </si>
  <si>
    <t>1.3.6.1.4.1.14519.5.2.1.276113677234346654520719615153159748091</t>
  </si>
  <si>
    <t>DUKE_839</t>
  </si>
  <si>
    <t>[0, 148, 251, 354]</t>
  </si>
  <si>
    <t>1.3.6.1.4.1.14519.5.2.1.9684280718471546386116770979598199112</t>
  </si>
  <si>
    <t>DUKE_847</t>
  </si>
  <si>
    <t>[0, 230, 354, 478, 601]</t>
  </si>
  <si>
    <t>1.3.6.1.4.1.14519.5.2.1.283152866771218781722900764092706459181</t>
  </si>
  <si>
    <t>DUKE_850</t>
  </si>
  <si>
    <t>[0, 247, 374, 493]</t>
  </si>
  <si>
    <t>1.3.6.1.4.1.14519.5.2.1.40284530330129333037496109659865729338</t>
  </si>
  <si>
    <t>DUKE_860</t>
  </si>
  <si>
    <t>[0, 286, 396, 506, 616]</t>
  </si>
  <si>
    <t>1.3.6.1.4.1.14519.5.2.1.287761744685070211901653106568489167472</t>
  </si>
  <si>
    <t>DUKE_865</t>
  </si>
  <si>
    <t>[0, 222, 337, 451, 566]</t>
  </si>
  <si>
    <t>1.3.6.1.4.1.14519.5.2.1.216995305498644700319347334994465291723</t>
  </si>
  <si>
    <t>DUKE_869</t>
  </si>
  <si>
    <t>[0, 501, 606, 711, 817]</t>
  </si>
  <si>
    <t>1.3.6.1.4.1.14519.5.2.1.129945993818809849784215266833992315527</t>
  </si>
  <si>
    <t>DUKE_873</t>
  </si>
  <si>
    <t>[0, 198, 311, 423]</t>
  </si>
  <si>
    <t>1.3.6.1.4.1.14519.5.2.1.179644731486996107590510767096394856876</t>
  </si>
  <si>
    <t>DUKE_874</t>
  </si>
  <si>
    <t>[0, 211, 332, 452]</t>
  </si>
  <si>
    <t>1.3.6.1.4.1.14519.5.2.1.105335217658931582884939403138858026820</t>
  </si>
  <si>
    <t>DUKE_879</t>
  </si>
  <si>
    <t>[0, 220, 343, 466, 588]</t>
  </si>
  <si>
    <t>1.3.6.1.4.1.14519.5.2.1.338707056664839151231229909051658940985</t>
  </si>
  <si>
    <t>DUKE_882</t>
  </si>
  <si>
    <t>[0, 490, 645, 814, 955]</t>
  </si>
  <si>
    <t>1.3.6.1.4.1.14519.5.2.1.325746524105093210482451421132094477019</t>
  </si>
  <si>
    <t>DUKE_883</t>
  </si>
  <si>
    <t>[0, 636, 760, 882, 1006]</t>
  </si>
  <si>
    <t>1.3.6.1.4.1.14519.5.2.1.23829400464763143447622926255225080825</t>
  </si>
  <si>
    <t>DUKE_884</t>
  </si>
  <si>
    <t>[0, 304, 594, 687, 779]</t>
  </si>
  <si>
    <t>1.3.6.1.4.1.14519.5.2.1.305993029221762842705487690319836380516</t>
  </si>
  <si>
    <t>DUKE_885</t>
  </si>
  <si>
    <t>[0, 185, 300, 416]</t>
  </si>
  <si>
    <t>1.3.6.1.4.1.14519.5.2.1.300442164407000509057128548965423327344</t>
  </si>
  <si>
    <t>DUKE_886</t>
  </si>
  <si>
    <t>[0, 363, 465, 569]</t>
  </si>
  <si>
    <t>1.3.6.1.4.1.14519.5.2.1.324520267637860064391940021779595430492</t>
  </si>
  <si>
    <t>DUKE_891</t>
  </si>
  <si>
    <t>[0, 280, 402, 523]</t>
  </si>
  <si>
    <t>1.3.6.1.4.1.14519.5.2.1.285944325379171709552284579449687374914</t>
  </si>
  <si>
    <t>DUKE_899</t>
  </si>
  <si>
    <t>[0, 308, 424, 541, 658]</t>
  </si>
  <si>
    <t>1.3.6.1.4.1.14519.5.2.1.22683742546109566192143332974484104042</t>
  </si>
  <si>
    <t>DUKE_907</t>
  </si>
  <si>
    <t>american indian</t>
  </si>
  <si>
    <t>[0, 224, 347, 469, 592]</t>
  </si>
  <si>
    <t>1.3.6.1.4.1.14519.5.2.1.103604197188639719304886596486653242856</t>
  </si>
  <si>
    <t>DUKE_914</t>
  </si>
  <si>
    <t>[0, 283, 388, 494]</t>
  </si>
  <si>
    <t>1.3.6.1.4.1.14519.5.2.1.198760715933920724589331659724368334518</t>
  </si>
  <si>
    <t>DUKE_915</t>
  </si>
  <si>
    <t>[0, 173, 270, 368]</t>
  </si>
  <si>
    <t>1.3.6.1.4.1.14519.5.2.1.155620996866766546785404319684225791496</t>
  </si>
  <si>
    <t>DUKE_916</t>
  </si>
  <si>
    <t>[0, 340, 461, 583]</t>
  </si>
  <si>
    <t>1.3.6.1.4.1.14519.5.2.1.93847694259323370393534148406118809328</t>
  </si>
  <si>
    <t>DUKE_917</t>
  </si>
  <si>
    <t>[0, 292, 408, 523]</t>
  </si>
  <si>
    <t>1.3.6.1.4.1.14519.5.2.1.143268824005171030777541259805246448221</t>
  </si>
  <si>
    <t>ISPY1_1001</t>
  </si>
  <si>
    <t>ISPY1</t>
  </si>
  <si>
    <t>sagittal</t>
  </si>
  <si>
    <t>AAI</t>
  </si>
  <si>
    <t xml:space="preserve">GENESIS_SIGNA </t>
  </si>
  <si>
    <t>[0, 378, 707]</t>
  </si>
  <si>
    <t>1984/10/13</t>
  </si>
  <si>
    <t>1.3.6.1.4.1.14519.5.2.1.7695.1700.334491271566855314830260417024</t>
  </si>
  <si>
    <t>ISPY1_1002</t>
  </si>
  <si>
    <t>[0, 423, 768]</t>
  </si>
  <si>
    <t>1984/11/02</t>
  </si>
  <si>
    <t>1.3.6.1.4.1.14519.5.2.1.7695.1700.200978610610642152304681086604</t>
  </si>
  <si>
    <t>ISPY1_1003</t>
  </si>
  <si>
    <t>[0, 371, 693]</t>
  </si>
  <si>
    <t>1984/11/22</t>
  </si>
  <si>
    <t>1.3.6.1.4.1.14519.5.2.1.7695.1700.217966338988546791542147267475</t>
  </si>
  <si>
    <t>ISPY1_1004</t>
  </si>
  <si>
    <t>[0.703125, 0.703125]</t>
  </si>
  <si>
    <t>AAB</t>
  </si>
  <si>
    <t>[0, 410, 819]</t>
  </si>
  <si>
    <t>1984/12/05</t>
  </si>
  <si>
    <t>1.3.6.1.4.1.14519.5.2.1.7695.1700.228597508795509915957044689330</t>
  </si>
  <si>
    <t>ISPY1_1005</t>
  </si>
  <si>
    <t>[0, 351, 702]</t>
  </si>
  <si>
    <t>1984/12/23</t>
  </si>
  <si>
    <t>1.3.6.1.4.1.14519.5.2.1.7695.1700.112512091674522544167508033512</t>
  </si>
  <si>
    <t>ISPY1_1007</t>
  </si>
  <si>
    <t>AAH</t>
  </si>
  <si>
    <t xml:space="preserve">MAGNETOM VISION </t>
  </si>
  <si>
    <t>[0, 556, 979]</t>
  </si>
  <si>
    <t>1985/02/16</t>
  </si>
  <si>
    <t>1.3.6.1.4.1.14519.5.2.1.7695.1700.111339445456846259752805176567</t>
  </si>
  <si>
    <t>ISPY1_1008</t>
  </si>
  <si>
    <t>[0, 434, 727]</t>
  </si>
  <si>
    <t>1985/02/15</t>
  </si>
  <si>
    <t>1.3.6.1.4.1.14519.5.2.1.7695.1700.794609689168154619959937569728</t>
  </si>
  <si>
    <t>ISPY1_1009</t>
  </si>
  <si>
    <t>[0, 382, 776]</t>
  </si>
  <si>
    <t>1985/03/16</t>
  </si>
  <si>
    <t>1.3.6.1.4.1.14519.5.2.1.7695.1700.471625799765630092122359693714</t>
  </si>
  <si>
    <t>ISPY1_1010</t>
  </si>
  <si>
    <t>[0.859375, 0.859375]</t>
  </si>
  <si>
    <t>[0, 419, 764]</t>
  </si>
  <si>
    <t>1985/03/23</t>
  </si>
  <si>
    <t>1.3.6.1.4.1.14519.5.2.1.7695.1700.628895020540790581692320486277</t>
  </si>
  <si>
    <t>ISPY1_1011</t>
  </si>
  <si>
    <t>[0.820312, 0.820312]</t>
  </si>
  <si>
    <t>[0, 427, 732]</t>
  </si>
  <si>
    <t>1985/03/29</t>
  </si>
  <si>
    <t>1.3.6.1.4.1.14519.5.2.1.7695.1700.723789670166802742696587106947</t>
  </si>
  <si>
    <t>ISPY1_1012</t>
  </si>
  <si>
    <t>[0, 380, 727]</t>
  </si>
  <si>
    <t>1985/03/30</t>
  </si>
  <si>
    <t>1.3.6.1.4.1.14519.5.2.1.7695.1700.135796154808190999296545278795</t>
  </si>
  <si>
    <t>ISPY1_1013</t>
  </si>
  <si>
    <t>[0, 346, 687]</t>
  </si>
  <si>
    <t>1985/04/11</t>
  </si>
  <si>
    <t>1.3.6.1.4.1.14519.5.2.1.7695.1700.131563990359220001515452333123</t>
  </si>
  <si>
    <t>ISPY1_1015</t>
  </si>
  <si>
    <t>[0, 404, 757]</t>
  </si>
  <si>
    <t>1985/04/19</t>
  </si>
  <si>
    <t>1.3.6.1.4.1.14519.5.2.1.7695.1700.432501215825270156556802110142</t>
  </si>
  <si>
    <t>ISPY1_1016</t>
  </si>
  <si>
    <t>[0, 372, 711, 1441]</t>
  </si>
  <si>
    <t>1985/04/25</t>
  </si>
  <si>
    <t>1.3.6.1.4.1.14519.5.2.1.7695.1700.345096259978672163347035052408</t>
  </si>
  <si>
    <t>ISPY1_1017</t>
  </si>
  <si>
    <t>[0, 385, 690]</t>
  </si>
  <si>
    <t>1985/05/10</t>
  </si>
  <si>
    <t>1.3.6.1.4.1.14519.5.2.1.7695.1700.119509346714367604160637269490</t>
  </si>
  <si>
    <t>ISPY1_1021</t>
  </si>
  <si>
    <t>[0, 424, 779]</t>
  </si>
  <si>
    <t>1985/06/01</t>
  </si>
  <si>
    <t>1.3.6.1.4.1.14519.5.2.1.7695.1700.310982276895610340293389092520</t>
  </si>
  <si>
    <t>ISPY1_1025</t>
  </si>
  <si>
    <t>[0, 399, 747]</t>
  </si>
  <si>
    <t>1985/06/08</t>
  </si>
  <si>
    <t>1.3.6.1.4.1.14519.5.2.1.7695.1700.154435595294612732140495384195</t>
  </si>
  <si>
    <t>ISPY1_1027</t>
  </si>
  <si>
    <t>AAE</t>
  </si>
  <si>
    <t>[0, 323, 562]</t>
  </si>
  <si>
    <t>1985/06/30</t>
  </si>
  <si>
    <t>1.3.6.1.4.1.14519.5.2.1.7695.1700.411608927405801186425917200252</t>
  </si>
  <si>
    <t>ISPY1_1029</t>
  </si>
  <si>
    <t>[0, 337, 679]</t>
  </si>
  <si>
    <t>1985/06/22</t>
  </si>
  <si>
    <t>1.3.6.1.4.1.14519.5.2.1.7695.1700.775050283869524293688227111179</t>
  </si>
  <si>
    <t>ISPY1_1030</t>
  </si>
  <si>
    <t>[0, 434, 731]</t>
  </si>
  <si>
    <t>1985/07/20</t>
  </si>
  <si>
    <t>1.3.6.1.4.1.14519.5.2.1.7695.1700.184128934071735308736690121805</t>
  </si>
  <si>
    <t>ISPY1_1031</t>
  </si>
  <si>
    <t>[0, 376, 725]</t>
  </si>
  <si>
    <t>1985/07/13</t>
  </si>
  <si>
    <t>1.3.6.1.4.1.14519.5.2.1.7695.1700.231126640163188755160774142186</t>
  </si>
  <si>
    <t>ISPY1_1032</t>
  </si>
  <si>
    <t>[0, 436, 791]</t>
  </si>
  <si>
    <t>1985/07/25</t>
  </si>
  <si>
    <t>1.3.6.1.4.1.14519.5.2.1.7695.1700.922720171377625332664550712681</t>
  </si>
  <si>
    <t>ISPY1_1034</t>
  </si>
  <si>
    <t>[0, 569, 978, 1598]</t>
  </si>
  <si>
    <t>1985/08/11</t>
  </si>
  <si>
    <t>1.3.6.1.4.1.14519.5.2.1.7695.1700.136431361700953362008258248357</t>
  </si>
  <si>
    <t>ISPY1_1035</t>
  </si>
  <si>
    <t>AAD</t>
  </si>
  <si>
    <t>[0, 477, 734, 997]</t>
  </si>
  <si>
    <t>1985/09/14</t>
  </si>
  <si>
    <t>1.3.6.1.4.1.14519.5.2.1.7695.1700.231687799188130069221186426218</t>
  </si>
  <si>
    <t>ISPY1_1036</t>
  </si>
  <si>
    <t>[0, 335, 646]</t>
  </si>
  <si>
    <t>1985/09/22</t>
  </si>
  <si>
    <t>1.3.6.1.4.1.14519.5.2.1.7695.1700.158605260080456889561783546382</t>
  </si>
  <si>
    <t>ISPY1_1037</t>
  </si>
  <si>
    <t>[0, 278, 503, 729]</t>
  </si>
  <si>
    <t>1985/09/29</t>
  </si>
  <si>
    <t>1.3.6.1.4.1.14519.5.2.1.7695.1700.471040182000110568841503240482</t>
  </si>
  <si>
    <t>ISPY1_1038</t>
  </si>
  <si>
    <t>[0, 299, 598, 897]</t>
  </si>
  <si>
    <t>1985/10/03</t>
  </si>
  <si>
    <t>1.3.6.1.4.1.14519.5.2.1.7695.1700.293426579089386888650227897917</t>
  </si>
  <si>
    <t>ISPY1_1040</t>
  </si>
  <si>
    <t>AAF</t>
  </si>
  <si>
    <t>[0, 516, 536]</t>
  </si>
  <si>
    <t>1985/11/02</t>
  </si>
  <si>
    <t>1.3.6.1.4.1.14519.5.2.1.7695.1700.230321071705106107150570285895</t>
  </si>
  <si>
    <t>ISPY1_1041</t>
  </si>
  <si>
    <t>[0, 367, 713]</t>
  </si>
  <si>
    <t>1985/11/06</t>
  </si>
  <si>
    <t>1.3.6.1.4.1.14519.5.2.1.7695.1700.334680376380845296416824459800</t>
  </si>
  <si>
    <t>ISPY1_1042</t>
  </si>
  <si>
    <t>Sonata</t>
  </si>
  <si>
    <t>[0, 529, 811, 1710]</t>
  </si>
  <si>
    <t>1.3.6.1.4.1.14519.5.2.1.7695.1700.265579737850152660066144551780</t>
  </si>
  <si>
    <t>ISPY1_1049</t>
  </si>
  <si>
    <t>[0.703125, 0.703127]</t>
  </si>
  <si>
    <t>[0, 320, 595]</t>
  </si>
  <si>
    <t>1986/01/03</t>
  </si>
  <si>
    <t>1.3.6.1.4.1.14519.5.2.1.7695.1700.114463422224474315782655140040</t>
  </si>
  <si>
    <t>ISPY1_1051</t>
  </si>
  <si>
    <t>[0, 371, 707]</t>
  </si>
  <si>
    <t>1986/01/02</t>
  </si>
  <si>
    <t>1.3.6.1.4.1.14519.5.2.1.7695.1700.158167564956224446228560236140</t>
  </si>
  <si>
    <t>ISPY1_1053</t>
  </si>
  <si>
    <t>MAGNETOM VISION plus</t>
  </si>
  <si>
    <t>[0, 448, 482]</t>
  </si>
  <si>
    <t>1986/01/15</t>
  </si>
  <si>
    <t>1.3.6.1.4.1.14519.5.2.1.7695.1700.199820616937262044339760349416</t>
  </si>
  <si>
    <t>ISPY1_1054</t>
  </si>
  <si>
    <t>[0, 304, 552]</t>
  </si>
  <si>
    <t>1986/01/23</t>
  </si>
  <si>
    <t>1.3.6.1.4.1.14519.5.2.1.7695.1700.264809538775679369532440929035</t>
  </si>
  <si>
    <t>ISPY1_1056</t>
  </si>
  <si>
    <t>[0, 361, 691]</t>
  </si>
  <si>
    <t>1986/01/30</t>
  </si>
  <si>
    <t>1.3.6.1.4.1.14519.5.2.1.7695.1700.334762602244816207751329838103</t>
  </si>
  <si>
    <t>ISPY1_1058</t>
  </si>
  <si>
    <t>[0.703125, 0.703126]</t>
  </si>
  <si>
    <t>[0, 328, 592]</t>
  </si>
  <si>
    <t>1986/02/15</t>
  </si>
  <si>
    <t>1.3.6.1.4.1.14519.5.2.1.7695.1700.196065157782481435859773971047</t>
  </si>
  <si>
    <t>ISPY1_1060</t>
  </si>
  <si>
    <t>AAG</t>
  </si>
  <si>
    <t>Philips</t>
  </si>
  <si>
    <t xml:space="preserve">Gyroscan Intera </t>
  </si>
  <si>
    <t>1986/03/06</t>
  </si>
  <si>
    <t>1.3.6.1.4.1.14519.5.2.1.7695.1700.112617537903545042428007480451</t>
  </si>
  <si>
    <t>ISPY1_1061</t>
  </si>
  <si>
    <t>[0, 435, 741]</t>
  </si>
  <si>
    <t>1986/03/07</t>
  </si>
  <si>
    <t>1.3.6.1.4.1.14519.5.2.1.7695.1700.160565748415181759979708814432</t>
  </si>
  <si>
    <t>ISPY1_1062</t>
  </si>
  <si>
    <t>[0, 405, 733]</t>
  </si>
  <si>
    <t>1.3.6.1.4.1.14519.5.2.1.7695.1700.101292280201286037436081459649</t>
  </si>
  <si>
    <t>ISPY1_1064</t>
  </si>
  <si>
    <t>[0, 370, 670]</t>
  </si>
  <si>
    <t>1986/03/15</t>
  </si>
  <si>
    <t>1.3.6.1.4.1.14519.5.2.1.7695.1700.333094786994119311769294742473</t>
  </si>
  <si>
    <t>ISPY1_1065</t>
  </si>
  <si>
    <t>[0, 444, 605, 766, 928, 1090]</t>
  </si>
  <si>
    <t>1986/03/20</t>
  </si>
  <si>
    <t>1.3.6.1.4.1.14519.5.2.1.7695.1700.229372893121895247930511976954</t>
  </si>
  <si>
    <t>ISPY1_1066</t>
  </si>
  <si>
    <t>[0, 307, 550]</t>
  </si>
  <si>
    <t>1986/03/22</t>
  </si>
  <si>
    <t>1.3.6.1.4.1.14519.5.2.1.7695.1700.199866764469849531880860744212</t>
  </si>
  <si>
    <t>ISPY1_1067</t>
  </si>
  <si>
    <t>[0, 398, 796]</t>
  </si>
  <si>
    <t>1.3.6.1.4.1.14519.5.2.1.7695.1700.145088642824331710440003359462</t>
  </si>
  <si>
    <t>ISPY1_1069</t>
  </si>
  <si>
    <t>[0, 307, 598]</t>
  </si>
  <si>
    <t>1986/04/18</t>
  </si>
  <si>
    <t>1.3.6.1.4.1.14519.5.2.1.7695.1700.255817221459019506867431648479</t>
  </si>
  <si>
    <t>ISPY1_1070</t>
  </si>
  <si>
    <t>[0, 452, 755]</t>
  </si>
  <si>
    <t>1986/04/24</t>
  </si>
  <si>
    <t>1.3.6.1.4.1.14519.5.2.1.7695.1700.272941971913419001007209401742</t>
  </si>
  <si>
    <t>ISPY1_1072</t>
  </si>
  <si>
    <t>[0, 473, 506]</t>
  </si>
  <si>
    <t>1986/04/28</t>
  </si>
  <si>
    <t>1.3.6.1.4.1.14519.5.2.1.7695.1700.323474791527343563974433011874</t>
  </si>
  <si>
    <t>ISPY1_1073</t>
  </si>
  <si>
    <t>[0.703125, 0.703123]</t>
  </si>
  <si>
    <t>[0, 332, 567]</t>
  </si>
  <si>
    <t>1986/05/01</t>
  </si>
  <si>
    <t>1.3.6.1.4.1.14519.5.2.1.7695.1700.357091000598458463700130531864</t>
  </si>
  <si>
    <t>ISPY1_1074</t>
  </si>
  <si>
    <t>[0, 345, 643]</t>
  </si>
  <si>
    <t>1986/05/17</t>
  </si>
  <si>
    <t>1.3.6.1.4.1.14519.5.2.1.7695.1700.290930766883442529423752569648</t>
  </si>
  <si>
    <t>ISPY1_1075</t>
  </si>
  <si>
    <t>[0, 442, 761]</t>
  </si>
  <si>
    <t>1986/05/23</t>
  </si>
  <si>
    <t>1.3.6.1.4.1.14519.5.2.1.7695.1700.286090820620330856220512600868</t>
  </si>
  <si>
    <t>ISPY1_1077</t>
  </si>
  <si>
    <t>[0, 328, 648]</t>
  </si>
  <si>
    <t>1986/05/29</t>
  </si>
  <si>
    <t>1.3.6.1.4.1.14519.5.2.1.7695.1700.282953440681021525999516976814</t>
  </si>
  <si>
    <t>ISPY1_1078</t>
  </si>
  <si>
    <t>hawaiian/pacific islander</t>
  </si>
  <si>
    <t>[0, 469, 775]</t>
  </si>
  <si>
    <t>1986/05/25</t>
  </si>
  <si>
    <t>1.3.6.1.4.1.14519.5.2.1.7695.1700.330747033152885047434326658751</t>
  </si>
  <si>
    <t>ISPY1_1082</t>
  </si>
  <si>
    <t>[0, 516, 549]</t>
  </si>
  <si>
    <t>1986/06/19</t>
  </si>
  <si>
    <t>1.3.6.1.4.1.14519.5.2.1.7695.1700.238065510810740388086274717142</t>
  </si>
  <si>
    <t>ISPY1_1083</t>
  </si>
  <si>
    <t>[0, 308, 550]</t>
  </si>
  <si>
    <t>1986/06/23</t>
  </si>
  <si>
    <t>1.3.6.1.4.1.14519.5.2.1.7695.1700.206535643342487660175201634034</t>
  </si>
  <si>
    <t>ISPY1_1084</t>
  </si>
  <si>
    <t>[0, 27, 300, 571]</t>
  </si>
  <si>
    <t>1986/06/24</t>
  </si>
  <si>
    <t>1.3.6.1.4.1.14519.5.2.1.7695.1700.513736167166169643768738449083</t>
  </si>
  <si>
    <t>ISPY1_1087</t>
  </si>
  <si>
    <t>[0, 310, 592]</t>
  </si>
  <si>
    <t>1986/07/20</t>
  </si>
  <si>
    <t>1.3.6.1.4.1.14519.5.2.1.7695.1700.245123247280428193219279941864</t>
  </si>
  <si>
    <t>ISPY1_1088</t>
  </si>
  <si>
    <t>[0, 466, 783]</t>
  </si>
  <si>
    <t>1986/08/01</t>
  </si>
  <si>
    <t>1.3.6.1.4.1.14519.5.2.1.7695.1700.284641076219984766218952736499</t>
  </si>
  <si>
    <t>ISPY1_1089</t>
  </si>
  <si>
    <t>1986/09/08</t>
  </si>
  <si>
    <t>1.3.6.1.4.1.14519.5.2.1.7695.1700.329133051225828069808815405509</t>
  </si>
  <si>
    <t>ISPY1_1090</t>
  </si>
  <si>
    <t>[0, 562, 596]</t>
  </si>
  <si>
    <t>1986/08/22</t>
  </si>
  <si>
    <t>1.3.6.1.4.1.14519.5.2.1.7695.1700.778870937205823394498946940483</t>
  </si>
  <si>
    <t>ISPY1_1094</t>
  </si>
  <si>
    <t>[0, 360, 691]</t>
  </si>
  <si>
    <t>1986/09/05</t>
  </si>
  <si>
    <t>1.3.6.1.4.1.14519.5.2.1.7695.1700.337760373183231997217020633574</t>
  </si>
  <si>
    <t>ISPY1_1096</t>
  </si>
  <si>
    <t>[0, 713, 1030]</t>
  </si>
  <si>
    <t>1986/09/13</t>
  </si>
  <si>
    <t>1.3.6.1.4.1.14519.5.2.1.7695.1700.151432181551952925052604144987</t>
  </si>
  <si>
    <t>ISPY1_1097</t>
  </si>
  <si>
    <t>[0, 417, 712]</t>
  </si>
  <si>
    <t>1.3.6.1.4.1.14519.5.2.1.7695.1700.239992398085450539868353325268</t>
  </si>
  <si>
    <t>ISPY1_1098</t>
  </si>
  <si>
    <t>1986/09/19</t>
  </si>
  <si>
    <t>1.3.6.1.4.1.14519.5.2.1.7695.1700.179421902361743959678818979795</t>
  </si>
  <si>
    <t>ISPY1_1099</t>
  </si>
  <si>
    <t>[0, 456, 767]</t>
  </si>
  <si>
    <t>1986/09/12</t>
  </si>
  <si>
    <t>1.3.6.1.4.1.14519.5.2.1.7695.1700.213462325359469755577407645202</t>
  </si>
  <si>
    <t>ISPY1_1100</t>
  </si>
  <si>
    <t>[0, 434, 793]</t>
  </si>
  <si>
    <t>1.3.6.1.4.1.14519.5.2.1.7695.1700.148377741990293015781063885497</t>
  </si>
  <si>
    <t>ISPY1_1101</t>
  </si>
  <si>
    <t>[0, 467, 778]</t>
  </si>
  <si>
    <t>1986/09/28</t>
  </si>
  <si>
    <t>1.3.6.1.4.1.14519.5.2.1.7695.1700.265615742264509182668608092720</t>
  </si>
  <si>
    <t>ISPY1_1102</t>
  </si>
  <si>
    <t>[0, 505, 837]</t>
  </si>
  <si>
    <t>1986/10/06</t>
  </si>
  <si>
    <t>1.3.6.1.4.1.14519.5.2.1.7695.1700.847101189659983970111962246138</t>
  </si>
  <si>
    <t>ISPY1_1103</t>
  </si>
  <si>
    <t>[0.390625, 0.390625]</t>
  </si>
  <si>
    <t>[0, 609, 781]</t>
  </si>
  <si>
    <t>1986/09/24</t>
  </si>
  <si>
    <t>1.3.6.1.4.1.14519.5.2.1.7695.1700.301471865404623090448851217144</t>
  </si>
  <si>
    <t>ISPY1_1104</t>
  </si>
  <si>
    <t>1986/10/09</t>
  </si>
  <si>
    <t>1.3.6.1.4.1.14519.5.2.1.7695.1700.165562380281770966967492346429</t>
  </si>
  <si>
    <t>ISPY1_1106</t>
  </si>
  <si>
    <t>1.3.6.1.4.1.14519.5.2.1.7695.1700.169366518771039601823333765745</t>
  </si>
  <si>
    <t>ISPY1_1107</t>
  </si>
  <si>
    <t>[0, 323, 582]</t>
  </si>
  <si>
    <t>1986/10/19</t>
  </si>
  <si>
    <t>1.3.6.1.4.1.14519.5.2.1.7695.1700.321377291764100283447191341401</t>
  </si>
  <si>
    <t>ISPY1_1112</t>
  </si>
  <si>
    <t>[0, 317, 575]</t>
  </si>
  <si>
    <t>1986/10/31</t>
  </si>
  <si>
    <t>1.3.6.1.4.1.14519.5.2.1.7695.1700.212825411363985988111087394983</t>
  </si>
  <si>
    <t>ISPY1_1114</t>
  </si>
  <si>
    <t>[0, 641, 813]</t>
  </si>
  <si>
    <t>1.3.6.1.4.1.14519.5.2.1.7695.1700.125699943124494729392166628080</t>
  </si>
  <si>
    <t>ISPY1_1117</t>
  </si>
  <si>
    <t>[0, 385, 702]</t>
  </si>
  <si>
    <t>1986/11/08</t>
  </si>
  <si>
    <t>1.3.6.1.4.1.14519.5.2.1.7695.1700.128453896373525332522646767010</t>
  </si>
  <si>
    <t>ISPY1_1122</t>
  </si>
  <si>
    <t>[0, 317, 588]</t>
  </si>
  <si>
    <t>1986/11/30</t>
  </si>
  <si>
    <t>1.3.6.1.4.1.14519.5.2.1.7695.1700.139530923146511112816511064856</t>
  </si>
  <si>
    <t>ISPY1_1123</t>
  </si>
  <si>
    <t>[0, 266, 504]</t>
  </si>
  <si>
    <t>1986/12/05</t>
  </si>
  <si>
    <t>1.3.6.1.4.1.14519.5.2.1.7695.1700.266843866664762678192344628539</t>
  </si>
  <si>
    <t>ISPY1_1124</t>
  </si>
  <si>
    <t>Intera</t>
  </si>
  <si>
    <t>1986/12/11</t>
  </si>
  <si>
    <t>1.3.6.1.4.1.14519.5.2.1.7695.1700.122673880464686628051847045718</t>
  </si>
  <si>
    <t>ISPY1_1125</t>
  </si>
  <si>
    <t>1986/12/12</t>
  </si>
  <si>
    <t>1.3.6.1.4.1.14519.5.2.1.7695.1700.782971675227647380000620087585</t>
  </si>
  <si>
    <t>ISPY1_1127</t>
  </si>
  <si>
    <t>[0, 367, 743]</t>
  </si>
  <si>
    <t>1986/12/14</t>
  </si>
  <si>
    <t>1.3.6.1.4.1.14519.5.2.1.7695.1700.458562467666921510692627415711</t>
  </si>
  <si>
    <t>ISPY1_1128</t>
  </si>
  <si>
    <t>[0, 385, 724]</t>
  </si>
  <si>
    <t>1.3.6.1.4.1.14519.5.2.1.7695.1700.153118239290774109071783184800</t>
  </si>
  <si>
    <t>ISPY1_1129</t>
  </si>
  <si>
    <t>1986/12/25</t>
  </si>
  <si>
    <t>1.3.6.1.4.1.14519.5.2.1.7695.1700.240559032361954142758495267918</t>
  </si>
  <si>
    <t>ISPY1_1130</t>
  </si>
  <si>
    <t>[0, 292, 598]</t>
  </si>
  <si>
    <t>1987/01/01</t>
  </si>
  <si>
    <t>1.3.6.1.4.1.14519.5.2.1.7695.1700.312160271033360500466430723378</t>
  </si>
  <si>
    <t>ISPY1_1132</t>
  </si>
  <si>
    <t>[0, 357, 672]</t>
  </si>
  <si>
    <t>1987/01/16</t>
  </si>
  <si>
    <t>1.3.6.1.4.1.14519.5.2.1.7695.1700.254409606668984222829147462155</t>
  </si>
  <si>
    <t>ISPY1_1134</t>
  </si>
  <si>
    <t>[0, 407, 725]</t>
  </si>
  <si>
    <t>1987/01/14</t>
  </si>
  <si>
    <t>1.3.6.1.4.1.14519.5.2.1.7695.1700.202330656998774093090285791281</t>
  </si>
  <si>
    <t>ISPY1_1135</t>
  </si>
  <si>
    <t>[0, 374, 682]</t>
  </si>
  <si>
    <t>1987/01/29</t>
  </si>
  <si>
    <t>1.3.6.1.4.1.14519.5.2.1.7695.1700.272174635739856529306376267065</t>
  </si>
  <si>
    <t>ISPY1_1136</t>
  </si>
  <si>
    <t>[0, 314, 585]</t>
  </si>
  <si>
    <t>1987/02/13</t>
  </si>
  <si>
    <t>1.3.6.1.4.1.14519.5.2.1.7695.1700.592706289659805179267022261166</t>
  </si>
  <si>
    <t>ISPY1_1137</t>
  </si>
  <si>
    <t>[0, 422, 797]</t>
  </si>
  <si>
    <t>1987/02/11</t>
  </si>
  <si>
    <t>1.3.6.1.4.1.14519.5.2.1.7695.1700.175496408919148272863742747365</t>
  </si>
  <si>
    <t>ISPY1_1139</t>
  </si>
  <si>
    <t>[0, 336, 634]</t>
  </si>
  <si>
    <t>1987/02/15</t>
  </si>
  <si>
    <t>1.3.6.1.4.1.14519.5.2.1.7695.1700.814944046857429490131713222400</t>
  </si>
  <si>
    <t>ISPY1_1140</t>
  </si>
  <si>
    <t>[0, 383, 712]</t>
  </si>
  <si>
    <t>1987/02/21</t>
  </si>
  <si>
    <t>1.3.6.1.4.1.14519.5.2.1.7695.1700.991775669312071802696024032694</t>
  </si>
  <si>
    <t>ISPY1_1141</t>
  </si>
  <si>
    <t>[0, 398, 431]</t>
  </si>
  <si>
    <t>1987/02/08</t>
  </si>
  <si>
    <t>1.3.6.1.4.1.14519.5.2.1.7695.1700.154596639137488432926589832914</t>
  </si>
  <si>
    <t>ISPY1_1142</t>
  </si>
  <si>
    <t>[0, 342, 638]</t>
  </si>
  <si>
    <t>1987/03/09</t>
  </si>
  <si>
    <t>1.3.6.1.4.1.14519.5.2.1.7695.1700.248760057562876542606966521861</t>
  </si>
  <si>
    <t>ISPY1_1144</t>
  </si>
  <si>
    <t>[0, 412, 730]</t>
  </si>
  <si>
    <t>1987/03/26</t>
  </si>
  <si>
    <t>1.3.6.1.4.1.14519.5.2.1.7695.1700.189779172493482239846619187793</t>
  </si>
  <si>
    <t>ISPY1_1145</t>
  </si>
  <si>
    <t>[0, 434, 742]</t>
  </si>
  <si>
    <t>1987/04/05</t>
  </si>
  <si>
    <t>1.3.6.1.4.1.14519.5.2.1.7695.1700.224401206539273451328509895085</t>
  </si>
  <si>
    <t>ISPY1_1146</t>
  </si>
  <si>
    <t>[0, 309, 683]</t>
  </si>
  <si>
    <t>1987/04/18</t>
  </si>
  <si>
    <t>1.3.6.1.4.1.14519.5.2.1.7695.1700.256839770630303016855870491905</t>
  </si>
  <si>
    <t>ISPY1_1147</t>
  </si>
  <si>
    <t>[0, 393, 699]</t>
  </si>
  <si>
    <t>1987/04/09</t>
  </si>
  <si>
    <t>1.3.6.1.4.1.14519.5.2.1.7695.1700.416178620411741625426411215932</t>
  </si>
  <si>
    <t>ISPY1_1148</t>
  </si>
  <si>
    <t>[0, 386, 682, 1271]</t>
  </si>
  <si>
    <t>1987/05/09</t>
  </si>
  <si>
    <t>1.3.6.1.4.1.14519.5.2.1.7695.1700.242007893193292948560767239107</t>
  </si>
  <si>
    <t>ISPY1_1149</t>
  </si>
  <si>
    <t>[0, 423, 720]</t>
  </si>
  <si>
    <t>1987/05/10</t>
  </si>
  <si>
    <t>1.3.6.1.4.1.14519.5.2.1.7695.1700.173494347030113594285055381036</t>
  </si>
  <si>
    <t>ISPY1_1150</t>
  </si>
  <si>
    <t>[0, 329, 630]</t>
  </si>
  <si>
    <t>1987/05/14</t>
  </si>
  <si>
    <t>1.3.6.1.4.1.14519.5.2.1.7695.1700.601957682561758085736713710382</t>
  </si>
  <si>
    <t>ISPY1_1151</t>
  </si>
  <si>
    <t>[0, 322, 618]</t>
  </si>
  <si>
    <t>1987/05/15</t>
  </si>
  <si>
    <t>1.3.6.1.4.1.14519.5.2.1.7695.1700.424881532751541243924941350643</t>
  </si>
  <si>
    <t>ISPY1_1152</t>
  </si>
  <si>
    <t>[0.9375, 0.9375]</t>
  </si>
  <si>
    <t>[0, 364, 698]</t>
  </si>
  <si>
    <t>1.3.6.1.4.1.14519.5.2.1.7695.1700.995322970462407618911466537486</t>
  </si>
  <si>
    <t>ISPY1_1155</t>
  </si>
  <si>
    <t>[0, 353, 648]</t>
  </si>
  <si>
    <t>1987/05/23</t>
  </si>
  <si>
    <t>1.3.6.1.4.1.14519.5.2.1.7695.1700.333484512659011126508509006480</t>
  </si>
  <si>
    <t>ISPY1_1156</t>
  </si>
  <si>
    <t>[0, 630, 802]</t>
  </si>
  <si>
    <t>1987/05/24</t>
  </si>
  <si>
    <t>1.3.6.1.4.1.14519.5.2.1.7695.1700.204220729483092360531464815250</t>
  </si>
  <si>
    <t>ISPY1_1157</t>
  </si>
  <si>
    <t>[0.976562, 0.976562]</t>
  </si>
  <si>
    <t>[0, 397, 736]</t>
  </si>
  <si>
    <t>1987/05/22</t>
  </si>
  <si>
    <t>1.3.6.1.4.1.14519.5.2.1.7695.1700.244449122403775217180477825193</t>
  </si>
  <si>
    <t>ISPY1_1158</t>
  </si>
  <si>
    <t>[1.09375, 1.09375]</t>
  </si>
  <si>
    <t>[0, 383, 699]</t>
  </si>
  <si>
    <t>1.3.6.1.4.1.14519.5.2.1.7695.1700.418513140064762570454570251447</t>
  </si>
  <si>
    <t>ISPY1_1159</t>
  </si>
  <si>
    <t>[0, 334, 632]</t>
  </si>
  <si>
    <t>1987/05/31</t>
  </si>
  <si>
    <t>1.3.6.1.4.1.14519.5.2.1.7695.1700.151206821978454852777557874690</t>
  </si>
  <si>
    <t>ISPY1_1160</t>
  </si>
  <si>
    <t>AAC</t>
  </si>
  <si>
    <t>[0, 121, 368, 495]</t>
  </si>
  <si>
    <t>1987/05/16</t>
  </si>
  <si>
    <t>1.3.6.1.4.1.14519.5.2.1.7695.1700.300532273226197682089562357048</t>
  </si>
  <si>
    <t>ISPY1_1161</t>
  </si>
  <si>
    <t>[0, 339, 638, 879]</t>
  </si>
  <si>
    <t>1987/06/13</t>
  </si>
  <si>
    <t>1.3.6.1.4.1.14519.5.2.1.7695.1700.641077247274927806246916358599</t>
  </si>
  <si>
    <t>ISPY1_1163</t>
  </si>
  <si>
    <t>[0, 279, 520]</t>
  </si>
  <si>
    <t>1987/07/12</t>
  </si>
  <si>
    <t>1.3.6.1.4.1.14519.5.2.1.7695.1700.175283820372330840199174328565</t>
  </si>
  <si>
    <t>ISPY1_1164</t>
  </si>
  <si>
    <t>[0, 356, 663]</t>
  </si>
  <si>
    <t>1987/06/12</t>
  </si>
  <si>
    <t>1.3.6.1.4.1.14519.5.2.1.7695.1700.168550087215219824655426381757</t>
  </si>
  <si>
    <t>ISPY1_1165</t>
  </si>
  <si>
    <t>1987/07/18</t>
  </si>
  <si>
    <t>1.3.6.1.4.1.14519.5.2.1.7695.1700.204997059652029804184146020334</t>
  </si>
  <si>
    <t>ISPY1_1166</t>
  </si>
  <si>
    <t>[0, 148, 360]</t>
  </si>
  <si>
    <t>1987/07/13</t>
  </si>
  <si>
    <t>1.3.6.1.4.1.14519.5.2.1.7695.1700.944903407652464274512056329341</t>
  </si>
  <si>
    <t>ISPY1_1167</t>
  </si>
  <si>
    <t>[0, 122, 338, 460]</t>
  </si>
  <si>
    <t>1987/07/26</t>
  </si>
  <si>
    <t>1.3.6.1.4.1.14519.5.2.1.7695.1700.802424742983003150460953241687</t>
  </si>
  <si>
    <t>ISPY1_1168</t>
  </si>
  <si>
    <t>[0, 497, 747]</t>
  </si>
  <si>
    <t>1987/08/10</t>
  </si>
  <si>
    <t>1.3.6.1.4.1.14519.5.2.1.7695.1700.200892389682105974273914096193</t>
  </si>
  <si>
    <t>ISPY1_1169</t>
  </si>
  <si>
    <t>[0, 591, 763]</t>
  </si>
  <si>
    <t>1987/08/30</t>
  </si>
  <si>
    <t>1.3.6.1.4.1.14519.5.2.1.7695.1700.962566557019167857423863634603</t>
  </si>
  <si>
    <t>ISPY1_1171</t>
  </si>
  <si>
    <t>[0, 391, 700]</t>
  </si>
  <si>
    <t>1987/08/16</t>
  </si>
  <si>
    <t>1.3.6.1.4.1.14519.5.2.1.7695.1700.173851239557272189964652933264</t>
  </si>
  <si>
    <t>ISPY1_1172</t>
  </si>
  <si>
    <t>[0, 313, 606]</t>
  </si>
  <si>
    <t>1987/09/07</t>
  </si>
  <si>
    <t>1.3.6.1.4.1.14519.5.2.1.7695.1700.317731226987145189592756693303</t>
  </si>
  <si>
    <t>ISPY1_1173</t>
  </si>
  <si>
    <t>1.3.6.1.4.1.14519.5.2.1.7695.1700.298777514451715757986100101375</t>
  </si>
  <si>
    <t>ISPY1_1174</t>
  </si>
  <si>
    <t>[0, 310, 601]</t>
  </si>
  <si>
    <t>1987/09/26</t>
  </si>
  <si>
    <t>1.3.6.1.4.1.14519.5.2.1.7695.1700.166017344815630496989884656146</t>
  </si>
  <si>
    <t>ISPY1_1175</t>
  </si>
  <si>
    <t>[0, 355, 651]</t>
  </si>
  <si>
    <t>1987/09/17</t>
  </si>
  <si>
    <t>1.3.6.1.4.1.14519.5.2.1.7695.1700.239813978917491050305004898504</t>
  </si>
  <si>
    <t>ISPY1_1176</t>
  </si>
  <si>
    <t>[0, 282, 535]</t>
  </si>
  <si>
    <t>1987/09/25</t>
  </si>
  <si>
    <t>1.3.6.1.4.1.14519.5.2.1.7695.1700.294400592220491188376958273276</t>
  </si>
  <si>
    <t>ISPY1_1177</t>
  </si>
  <si>
    <t>[0, 303, 631]</t>
  </si>
  <si>
    <t>1.3.6.1.4.1.14519.5.2.1.7695.1700.425318092599973549938764958545</t>
  </si>
  <si>
    <t>ISPY1_1179</t>
  </si>
  <si>
    <t>[0, 558, 730]</t>
  </si>
  <si>
    <t>1987/10/12</t>
  </si>
  <si>
    <t>1.3.6.1.4.1.14519.5.2.1.7695.1700.339026486985914197235733393797</t>
  </si>
  <si>
    <t>ISPY1_1180</t>
  </si>
  <si>
    <t>[0, 252, 424, 448]</t>
  </si>
  <si>
    <t>1987/09/28</t>
  </si>
  <si>
    <t>1.3.6.1.4.1.14519.5.2.1.7695.1700.121150397724627491287620596254</t>
  </si>
  <si>
    <t>ISPY1_1181</t>
  </si>
  <si>
    <t>[0, 375, 672]</t>
  </si>
  <si>
    <t>1987/10/31</t>
  </si>
  <si>
    <t>1.3.6.1.4.1.14519.5.2.1.7695.1700.402301171448555549568696283086</t>
  </si>
  <si>
    <t>ISPY1_1182</t>
  </si>
  <si>
    <t>[0, 157, 365, 484, 605, 726]</t>
  </si>
  <si>
    <t>1987/10/25</t>
  </si>
  <si>
    <t>1.3.6.1.4.1.14519.5.2.1.7695.1700.292009692118024017779097664149</t>
  </si>
  <si>
    <t>ISPY1_1183</t>
  </si>
  <si>
    <t>[0, 567, 739]</t>
  </si>
  <si>
    <t>1987/11/08</t>
  </si>
  <si>
    <t>1.3.6.1.4.1.14519.5.2.1.7695.1700.128468488884005334244771464285</t>
  </si>
  <si>
    <t>ISPY1_1184</t>
  </si>
  <si>
    <t>1987/11/07</t>
  </si>
  <si>
    <t>1.3.6.1.4.1.14519.5.2.1.7695.1700.179569840367489044050866220566</t>
  </si>
  <si>
    <t>ISPY1_1185</t>
  </si>
  <si>
    <t>[0.898438, 0.898438]</t>
  </si>
  <si>
    <t>[0, 450, 772]</t>
  </si>
  <si>
    <t>1987/11/12</t>
  </si>
  <si>
    <t>1.3.6.1.4.1.14519.5.2.1.7695.1700.436572018669967494006734599651</t>
  </si>
  <si>
    <t>ISPY1_1187</t>
  </si>
  <si>
    <t>[0, 487, 521]</t>
  </si>
  <si>
    <t>1987/11/19</t>
  </si>
  <si>
    <t>1.3.6.1.4.1.14519.5.2.1.7695.1700.287817068709211446624824980573</t>
  </si>
  <si>
    <t>ISPY1_1188</t>
  </si>
  <si>
    <t>[0, 298, 550, 773]</t>
  </si>
  <si>
    <t>1987/11/22</t>
  </si>
  <si>
    <t>1.3.6.1.4.1.14519.5.2.1.7695.1700.120473872532904336487403118365</t>
  </si>
  <si>
    <t>ISPY1_1189</t>
  </si>
  <si>
    <t>[0, 477, 781]</t>
  </si>
  <si>
    <t>1.3.6.1.4.1.14519.5.2.1.7695.1700.337684541400077102072707800970</t>
  </si>
  <si>
    <t>ISPY1_1191</t>
  </si>
  <si>
    <t>[0, 292, 593]</t>
  </si>
  <si>
    <t>1987/12/10</t>
  </si>
  <si>
    <t>1.3.6.1.4.1.14519.5.2.1.7695.1700.270384030135680460129928826991</t>
  </si>
  <si>
    <t>ISPY1_1192</t>
  </si>
  <si>
    <t>[0, 280, 579]</t>
  </si>
  <si>
    <t>1987/12/02</t>
  </si>
  <si>
    <t>1.3.6.1.4.1.14519.5.2.1.7695.1700.253866832541414438471563067115</t>
  </si>
  <si>
    <t>ISPY1_1193</t>
  </si>
  <si>
    <t>[0, 358, 654]</t>
  </si>
  <si>
    <t>1987/12/05</t>
  </si>
  <si>
    <t>1.3.6.1.4.1.14519.5.2.1.7695.1700.769982536350357575411535756368</t>
  </si>
  <si>
    <t>ISPY1_1194</t>
  </si>
  <si>
    <t>AAA</t>
  </si>
  <si>
    <t>[0, 501, 1032]</t>
  </si>
  <si>
    <t>1987/12/06</t>
  </si>
  <si>
    <t>1.3.6.1.4.1.14519.5.2.1.7695.1700.320416875962419617046069967610</t>
  </si>
  <si>
    <t>ISPY1_1196</t>
  </si>
  <si>
    <t>[0, 323, 585, 852]</t>
  </si>
  <si>
    <t>1987/12/17</t>
  </si>
  <si>
    <t>1.3.6.1.4.1.14519.5.2.1.7695.1700.326717014467608280417076322970</t>
  </si>
  <si>
    <t>ISPY1_1197</t>
  </si>
  <si>
    <t>[0, 383, 700]</t>
  </si>
  <si>
    <t>1987/12/25</t>
  </si>
  <si>
    <t>1.3.6.1.4.1.14519.5.2.1.7695.1700.253534795371404583106965119144</t>
  </si>
  <si>
    <t>ISPY1_1198</t>
  </si>
  <si>
    <t>[0, 301, 615]</t>
  </si>
  <si>
    <t>1988/01/08</t>
  </si>
  <si>
    <t>1.3.6.1.4.1.14519.5.2.1.7695.1700.157315466072189685991908772094</t>
  </si>
  <si>
    <t>ISPY1_1199</t>
  </si>
  <si>
    <t>[0, 430, 726]</t>
  </si>
  <si>
    <t>1987/12/30</t>
  </si>
  <si>
    <t>1.3.6.1.4.1.14519.5.2.1.7695.1700.300900122815512465477852516167</t>
  </si>
  <si>
    <t>ISPY1_1201</t>
  </si>
  <si>
    <t>[0, 606, 778]</t>
  </si>
  <si>
    <t>1988/01/01</t>
  </si>
  <si>
    <t>1.3.6.1.4.1.14519.5.2.1.7695.1700.699547133379671942872721056812</t>
  </si>
  <si>
    <t>ISPY1_1202</t>
  </si>
  <si>
    <t>[0, 654, 826]</t>
  </si>
  <si>
    <t>1988/01/03</t>
  </si>
  <si>
    <t>1.3.6.1.4.1.14519.5.2.1.7695.1700.176883099525063548448733156980</t>
  </si>
  <si>
    <t>ISPY1_1203</t>
  </si>
  <si>
    <t>[0, 359, 661]</t>
  </si>
  <si>
    <t>1988/01/07</t>
  </si>
  <si>
    <t>1.3.6.1.4.1.14519.5.2.1.7695.1700.158602954824937318777601662118</t>
  </si>
  <si>
    <t>ISPY1_1204</t>
  </si>
  <si>
    <t>[1.05469, 1.05469]</t>
  </si>
  <si>
    <t>[0, 299, 547]</t>
  </si>
  <si>
    <t>1.3.6.1.4.1.14519.5.2.1.7695.1700.274897537154198064084966377951</t>
  </si>
  <si>
    <t>ISPY1_1207</t>
  </si>
  <si>
    <t>[0, 406, 747]</t>
  </si>
  <si>
    <t>1987/12/20</t>
  </si>
  <si>
    <t>1.3.6.1.4.1.14519.5.2.1.7695.1700.139982700183193594298056693753</t>
  </si>
  <si>
    <t>ISPY1_1208</t>
  </si>
  <si>
    <t>[0, 335, 631]</t>
  </si>
  <si>
    <t>1988/01/23</t>
  </si>
  <si>
    <t>1.3.6.1.4.1.14519.5.2.1.7695.1700.841465872512401465933938128680</t>
  </si>
  <si>
    <t>ISPY1_1209</t>
  </si>
  <si>
    <t>[0, 349, 683]</t>
  </si>
  <si>
    <t>1988/02/13</t>
  </si>
  <si>
    <t>1.3.6.1.4.1.14519.5.2.1.7695.1700.584776979131233369424887287054</t>
  </si>
  <si>
    <t>ISPY1_1210</t>
  </si>
  <si>
    <t>[0, 334, 630]</t>
  </si>
  <si>
    <t>1988/02/10</t>
  </si>
  <si>
    <t>1.3.6.1.4.1.14519.5.2.1.7695.1700.543698747251677733998437846481</t>
  </si>
  <si>
    <t>ISPY1_1212</t>
  </si>
  <si>
    <t>1988/02/20</t>
  </si>
  <si>
    <t>1.3.6.1.4.1.14519.5.2.1.7695.1700.369699910332306320280411093760</t>
  </si>
  <si>
    <t>ISPY1_1215</t>
  </si>
  <si>
    <t>1988/03/03</t>
  </si>
  <si>
    <t>1.3.6.1.4.1.14519.5.2.1.7695.1700.283430861571672891774974665143</t>
  </si>
  <si>
    <t>ISPY1_1216</t>
  </si>
  <si>
    <t>[1.17188, 1.17188]</t>
  </si>
  <si>
    <t>[0, 385, 712]</t>
  </si>
  <si>
    <t>1988/02/25</t>
  </si>
  <si>
    <t>1.3.6.1.4.1.14519.5.2.1.7695.1700.805636408695529908803681530903</t>
  </si>
  <si>
    <t>ISPY1_1217</t>
  </si>
  <si>
    <t>[0, 262, 585]</t>
  </si>
  <si>
    <t>1988/03/21</t>
  </si>
  <si>
    <t>1.3.6.1.4.1.14519.5.2.1.7695.1700.719730652681484898148162612614</t>
  </si>
  <si>
    <t>ISPY1_1218</t>
  </si>
  <si>
    <t>[0, 487, 659]</t>
  </si>
  <si>
    <t>1988/03/24</t>
  </si>
  <si>
    <t>1.3.6.1.4.1.14519.5.2.1.7695.1700.747647831755148516956970022457</t>
  </si>
  <si>
    <t>ISPY1_1219</t>
  </si>
  <si>
    <t>[0, 376, 671]</t>
  </si>
  <si>
    <t>1988/05/08</t>
  </si>
  <si>
    <t>1.3.6.1.4.1.14519.5.2.1.7695.1700.718323225581898793373846094948</t>
  </si>
  <si>
    <t>ISPY1_1220</t>
  </si>
  <si>
    <t>[0, 304, 623]</t>
  </si>
  <si>
    <t>1988/04/03</t>
  </si>
  <si>
    <t>1.3.6.1.4.1.14519.5.2.1.7695.1700.249275959363333352528547322339</t>
  </si>
  <si>
    <t>ISPY1_1221</t>
  </si>
  <si>
    <t>[0, 328, 627]</t>
  </si>
  <si>
    <t>1988/04/16</t>
  </si>
  <si>
    <t>1.3.6.1.4.1.14519.5.2.1.7695.1700.189131549976370242837022162148</t>
  </si>
  <si>
    <t>ISPY1_1222</t>
  </si>
  <si>
    <t>[0, 440, 834]</t>
  </si>
  <si>
    <t>1.3.6.1.4.1.14519.5.2.1.7695.1700.928598444365934831877564094931</t>
  </si>
  <si>
    <t>ISPY1_1223</t>
  </si>
  <si>
    <t>[0, 303, 612]</t>
  </si>
  <si>
    <t>1.3.6.1.4.1.14519.5.2.1.7695.1700.100535423622667785050587735272</t>
  </si>
  <si>
    <t>ISPY1_1224</t>
  </si>
  <si>
    <t>[0, 527, 714]</t>
  </si>
  <si>
    <t>1988/05/01</t>
  </si>
  <si>
    <t>1.3.6.1.4.1.14519.5.2.1.7695.1700.325221832144095627003077722510</t>
  </si>
  <si>
    <t>ISPY1_1225</t>
  </si>
  <si>
    <t>[0, 335, 634]</t>
  </si>
  <si>
    <t>1988/04/25</t>
  </si>
  <si>
    <t>1.3.6.1.4.1.14519.5.2.1.7695.1700.213018505858057675650293615234</t>
  </si>
  <si>
    <t>ISPY1_1226</t>
  </si>
  <si>
    <t>[0, 423, 801]</t>
  </si>
  <si>
    <t>1988/05/06</t>
  </si>
  <si>
    <t>1.3.6.1.4.1.14519.5.2.1.7695.1700.203890400181744241941937769968</t>
  </si>
  <si>
    <t>ISPY1_1227</t>
  </si>
  <si>
    <t>[0, 291, 556]</t>
  </si>
  <si>
    <t>1.3.6.1.4.1.14519.5.2.1.7695.1700.107691682556075690804177593207</t>
  </si>
  <si>
    <t>ISPY1_1228</t>
  </si>
  <si>
    <t>[0, 388, 786]</t>
  </si>
  <si>
    <t>1988/05/23</t>
  </si>
  <si>
    <t>1.3.6.1.4.1.14519.5.2.1.7695.1700.501241175039018625161741223790</t>
  </si>
  <si>
    <t>ISPY1_1229</t>
  </si>
  <si>
    <t>[0, 312, 761]</t>
  </si>
  <si>
    <t>1988/05/27</t>
  </si>
  <si>
    <t>1.3.6.1.4.1.14519.5.2.1.7695.1700.213386086392020893090130333671</t>
  </si>
  <si>
    <t>ISPY1_1230</t>
  </si>
  <si>
    <t>[0, 518, 730]</t>
  </si>
  <si>
    <t>1988/06/04</t>
  </si>
  <si>
    <t>1.3.6.1.4.1.14519.5.2.1.7695.1700.600979672019337317879782959033</t>
  </si>
  <si>
    <t>ISPY1_1231</t>
  </si>
  <si>
    <t>[0, 362, 610]</t>
  </si>
  <si>
    <t>1988/06/03</t>
  </si>
  <si>
    <t>1.3.6.1.4.1.14519.5.2.1.7695.1700.163391302672196905677342610233</t>
  </si>
  <si>
    <t>ISPY1_1233</t>
  </si>
  <si>
    <t>[0, 458, 630]</t>
  </si>
  <si>
    <t>1988/06/18</t>
  </si>
  <si>
    <t>1.3.6.1.4.1.14519.5.2.1.7695.1700.173366364757775711159640567860</t>
  </si>
  <si>
    <t>ISPY1_1234</t>
  </si>
  <si>
    <t>[0, 264, 576]</t>
  </si>
  <si>
    <t>1988/06/05</t>
  </si>
  <si>
    <t>1.3.6.1.4.1.14519.5.2.1.7695.1700.436811252240578374662038963163</t>
  </si>
  <si>
    <t>ISPY1_1235</t>
  </si>
  <si>
    <t>[0, 915, 1086]</t>
  </si>
  <si>
    <t>1988/06/10</t>
  </si>
  <si>
    <t>1.3.6.1.4.1.14519.5.2.1.7695.1700.198326749498962821913285977822</t>
  </si>
  <si>
    <t>ISPY1_1236</t>
  </si>
  <si>
    <t>[0, 449, 621]</t>
  </si>
  <si>
    <t>1988/06/20</t>
  </si>
  <si>
    <t>1.3.6.1.4.1.14519.5.2.1.7695.1700.169463709530780373153166178888</t>
  </si>
  <si>
    <t>ISPY1_1237</t>
  </si>
  <si>
    <t>[0, 503, 675]</t>
  </si>
  <si>
    <t>1988/06/24</t>
  </si>
  <si>
    <t>1.3.6.1.4.1.14519.5.2.1.7695.1700.107095170178900640437642950750</t>
  </si>
  <si>
    <t>ISPY1_1238</t>
  </si>
  <si>
    <t>[0, 338, 621]</t>
  </si>
  <si>
    <t>1.3.6.1.4.1.14519.5.2.1.7695.1700.204307940914157827151153937973</t>
  </si>
  <si>
    <t>ISPY1_1239</t>
  </si>
  <si>
    <t>[0, 316, 659]</t>
  </si>
  <si>
    <t>1988/07/01</t>
  </si>
  <si>
    <t>1.3.6.1.4.1.14519.5.2.1.7695.1700.278225353778571398316907372943</t>
  </si>
  <si>
    <t>ISPY2_100899</t>
  </si>
  <si>
    <t>ISPY2</t>
  </si>
  <si>
    <t>Paclitaxel + Ganitumab</t>
  </si>
  <si>
    <t>AAO</t>
  </si>
  <si>
    <t>[0, 132, 223, 315, 406, 498]</t>
  </si>
  <si>
    <t>2002/10/26</t>
  </si>
  <si>
    <t>1.3.6.1.4.1.14519.5.2.1.206199927301215764245278347773827952523</t>
  </si>
  <si>
    <t>ISPY2_102011</t>
  </si>
  <si>
    <t>Paclitaxel + Ganetespib</t>
  </si>
  <si>
    <t>luminal_a</t>
  </si>
  <si>
    <t>pre (&lt;6 months since LMP AND no prior bilateral ovariectomy AND not on estrogen replacement)</t>
  </si>
  <si>
    <t>[0, 113, 203, 292, 381, 471]</t>
  </si>
  <si>
    <t>2003/08/27</t>
  </si>
  <si>
    <t>1.3.6.1.4.1.14519.5.2.1.129936041874189953422487290836197232338</t>
  </si>
  <si>
    <t>ISPY2_102212</t>
  </si>
  <si>
    <t>Paclitaxel + MK-2206</t>
  </si>
  <si>
    <t>[0, 178, 265, 352, 439, 526]</t>
  </si>
  <si>
    <t>2002/04/04</t>
  </si>
  <si>
    <t>1.3.6.1.4.1.14519.5.2.1.7695.4164.462196183375763820633174072379</t>
  </si>
  <si>
    <t>ISPY2_103693</t>
  </si>
  <si>
    <t>Paclitaxel + Pembrolizumab</t>
  </si>
  <si>
    <t>[0, 132, 228, 323, 418, 513]</t>
  </si>
  <si>
    <t>2004/04/01</t>
  </si>
  <si>
    <t>1.3.6.1.4.1.14519.5.2.1.322397381412468533871737967362366214413</t>
  </si>
  <si>
    <t>ISPY2_103939</t>
  </si>
  <si>
    <t>Paclitaxel</t>
  </si>
  <si>
    <t>peri (6-12 months since LMP AND no prior bilateral ovariectomy AND not on estrogen replacement)</t>
  </si>
  <si>
    <t>AAX</t>
  </si>
  <si>
    <t>[0, 133, 226, 320, 414, 507]</t>
  </si>
  <si>
    <t>2003/03/19</t>
  </si>
  <si>
    <t>1.3.6.1.4.1.14519.5.2.1.7695.4164.959716469549483591297942921996</t>
  </si>
  <si>
    <t>ISPY2_104268</t>
  </si>
  <si>
    <t>[0, 154, 239, 324, 408, 493]</t>
  </si>
  <si>
    <t>2001/09/15</t>
  </si>
  <si>
    <t>1.3.6.1.4.1.14519.5.2.1.7695.4164.187370000012455966168925993791</t>
  </si>
  <si>
    <t>ISPY2_104384</t>
  </si>
  <si>
    <t>american indian/alaskan native</t>
  </si>
  <si>
    <t>[0, 178, 265, 352, 438, 525]</t>
  </si>
  <si>
    <t>2004/08/28</t>
  </si>
  <si>
    <t>1.3.6.1.4.1.14519.5.2.1.128018521477249062271153415823846943064</t>
  </si>
  <si>
    <t>ISPY2_105286</t>
  </si>
  <si>
    <t>[0.9895833135, 0.9895833135]</t>
  </si>
  <si>
    <t>AAJ</t>
  </si>
  <si>
    <t>[0, 140, 236, 330, 424, 519]</t>
  </si>
  <si>
    <t>2001/12/31</t>
  </si>
  <si>
    <t>1.3.6.1.4.1.14519.5.2.1.102330074777011808324933686690309189311</t>
  </si>
  <si>
    <t>ISPY2_105513</t>
  </si>
  <si>
    <t>Paclitaxel + AMG 386</t>
  </si>
  <si>
    <t>pre (&lt; 6 months since LMP AND no prior bilateral ovariectomy AND not on estrogen replacement)</t>
  </si>
  <si>
    <t>[0.8854166865, 0.8854166865]</t>
  </si>
  <si>
    <t>AAR</t>
  </si>
  <si>
    <t xml:space="preserve">SymphonyTim </t>
  </si>
  <si>
    <t>[0, 97, 194, 291, 388, 486]</t>
  </si>
  <si>
    <t>2001/04/04</t>
  </si>
  <si>
    <t>1.3.6.1.4.1.14519.5.2.1.286422492761368939857345400153334659034</t>
  </si>
  <si>
    <t>ISPY2_107700</t>
  </si>
  <si>
    <t>Paclitaxel + MK-2206 + Trastuzumab</t>
  </si>
  <si>
    <t>luminal_b</t>
  </si>
  <si>
    <t>[0, 195, 282, 369, 456, 543]</t>
  </si>
  <si>
    <t>2001/03/15</t>
  </si>
  <si>
    <t>1.3.6.1.4.1.14519.5.2.1.7695.4164.992714331786719402519701448631</t>
  </si>
  <si>
    <t>ISPY2_108939</t>
  </si>
  <si>
    <t>Paclitaxel + Neratinib</t>
  </si>
  <si>
    <t>AAW</t>
  </si>
  <si>
    <t>[0, 121, 212, 302, 393, 483]</t>
  </si>
  <si>
    <t>2000/04/12</t>
  </si>
  <si>
    <t>1.3.6.1.4.1.14519.5.2.1.17389177797995189466233975839358507548</t>
  </si>
  <si>
    <t>ISPY2_108969</t>
  </si>
  <si>
    <t>[0, 218, 303, 387, 471, 556]</t>
  </si>
  <si>
    <t>2000/12/29</t>
  </si>
  <si>
    <t>1.3.6.1.4.1.14519.5.2.1.7695.4164.233654403955349825596772722667</t>
  </si>
  <si>
    <t>ISPY2_109623</t>
  </si>
  <si>
    <t>[0, 196, 283, 370, 458, 545]</t>
  </si>
  <si>
    <t>2003/05/15</t>
  </si>
  <si>
    <t>1.3.6.1.4.1.14519.5.2.1.30589191528784965178712482559908568519</t>
  </si>
  <si>
    <t>ISPY2_109874</t>
  </si>
  <si>
    <t>[0, 145, 243, 341, 440, 538]</t>
  </si>
  <si>
    <t>2001/10/20</t>
  </si>
  <si>
    <t>1.3.6.1.4.1.14519.5.2.1.37252620476044829442742668342450076771</t>
  </si>
  <si>
    <t>ISPY2_109980</t>
  </si>
  <si>
    <t>[0, 154, 239, 324, 409, 494]</t>
  </si>
  <si>
    <t>1999/07/28</t>
  </si>
  <si>
    <t>1.3.6.1.4.1.14519.5.2.1.110664430323429901468966842093985481401</t>
  </si>
  <si>
    <t>ISPY2_111004</t>
  </si>
  <si>
    <t>[0, 207, 293, 379, 465, 551]</t>
  </si>
  <si>
    <t>2004/06/03</t>
  </si>
  <si>
    <t>1.3.6.1.4.1.14519.5.2.1.244510096707850221335103862628648275452</t>
  </si>
  <si>
    <t>ISPY2_111038</t>
  </si>
  <si>
    <t>[0.879629612, 0.879629612]</t>
  </si>
  <si>
    <t xml:space="preserve">Achieva </t>
  </si>
  <si>
    <t>[0, 107, 194, 282, 370, 458]</t>
  </si>
  <si>
    <t>2001/02/09</t>
  </si>
  <si>
    <t>1.3.6.1.4.1.14519.5.2.1.52490657841350619534581970071306271429</t>
  </si>
  <si>
    <t>ISPY2_111344</t>
  </si>
  <si>
    <t>[0, 144, 228, 312, 395, 479]</t>
  </si>
  <si>
    <t>2002/01/09</t>
  </si>
  <si>
    <t>1.3.6.1.4.1.14519.5.2.1.126945626782828424065536975873940504194</t>
  </si>
  <si>
    <t>ISPY2_111646</t>
  </si>
  <si>
    <t>[0, 227, 313, 399, 486, 572]</t>
  </si>
  <si>
    <t>2003/09/04</t>
  </si>
  <si>
    <t>1.3.6.1.4.1.14519.5.2.1.154720420812146192793278955779820766778</t>
  </si>
  <si>
    <t>ISPY2_111674</t>
  </si>
  <si>
    <t>Paclitaxel + ABT 888 + Carboplatin</t>
  </si>
  <si>
    <t xml:space="preserve">Verio </t>
  </si>
  <si>
    <t>[0, 112, 192, 272, 352, 432]</t>
  </si>
  <si>
    <t>1999/10/27</t>
  </si>
  <si>
    <t>1.3.6.1.4.1.14519.5.2.1.166764014687964869399055167404129410835</t>
  </si>
  <si>
    <t>ISPY2_111881</t>
  </si>
  <si>
    <t>AAN</t>
  </si>
  <si>
    <t>[0, 97, 194, 291, 389, 486]</t>
  </si>
  <si>
    <t>2000/07/27</t>
  </si>
  <si>
    <t>1.3.6.1.4.1.14519.5.2.1.202259140514584151182938045110324484627</t>
  </si>
  <si>
    <t>ISPY2_112606</t>
  </si>
  <si>
    <t>Paclitaxel + Trastuzumab</t>
  </si>
  <si>
    <t>[0, 120, 215, 309, 403, 496]</t>
  </si>
  <si>
    <t>2001/03/03</t>
  </si>
  <si>
    <t>1.3.6.1.4.1.14519.5.2.1.59142754361542946634392062748373937734</t>
  </si>
  <si>
    <t>ISPY2_114087</t>
  </si>
  <si>
    <t>[0, 146, 247, 347, 448, 548]</t>
  </si>
  <si>
    <t>2004/05/22</t>
  </si>
  <si>
    <t>1.3.6.1.4.1.14519.5.2.1.71900954822412034364683884482979299816</t>
  </si>
  <si>
    <t>ISPY2_115638</t>
  </si>
  <si>
    <t>[0.8333333135, 0.8333333135]</t>
  </si>
  <si>
    <t>[0, 141, 238, 336, 433, 531]</t>
  </si>
  <si>
    <t>2001/05/09</t>
  </si>
  <si>
    <t>1.3.6.1.4.1.14519.5.2.1.141912048808874383253544982755401988187</t>
  </si>
  <si>
    <t>ISPY2_115987</t>
  </si>
  <si>
    <t>[0, 123, 212, 302, 391, 480]</t>
  </si>
  <si>
    <t>2003/01/08</t>
  </si>
  <si>
    <t>1.3.6.1.4.1.14519.5.2.1.7695.4164.199479784489566241703125255216</t>
  </si>
  <si>
    <t>ISPY2_116165</t>
  </si>
  <si>
    <t>[0, 125, 214, 304, 393, 482]</t>
  </si>
  <si>
    <t>2004/04/02</t>
  </si>
  <si>
    <t>1.3.6.1.4.1.14519.5.2.1.135480294648295506692394592895805410284</t>
  </si>
  <si>
    <t>ISPY2_116603</t>
  </si>
  <si>
    <t>[0, 175, 262, 349, 436, 523]</t>
  </si>
  <si>
    <t>2002/03/28</t>
  </si>
  <si>
    <t>1.3.6.1.4.1.14519.5.2.1.7695.4164.282947980283874256313923580811</t>
  </si>
  <si>
    <t>ISPY2_117424</t>
  </si>
  <si>
    <t>[0, 97, 194, 291, 388, 485]</t>
  </si>
  <si>
    <t>2000/09/28</t>
  </si>
  <si>
    <t>1.3.6.1.4.1.14519.5.2.1.230521660211878309115295440651067861781</t>
  </si>
  <si>
    <t>ISPY2_117707</t>
  </si>
  <si>
    <t>[0.7421875, 0.7421875]</t>
  </si>
  <si>
    <t>[0, 140, 220, 300, 380, 460]</t>
  </si>
  <si>
    <t>2003/04/19</t>
  </si>
  <si>
    <t>1.3.6.1.4.1.14519.5.2.1.340029771523036420036371054698698147663</t>
  </si>
  <si>
    <t>ISPY2_118307</t>
  </si>
  <si>
    <t>[0, 123, 212, 302, 391, 481]</t>
  </si>
  <si>
    <t>2002/07/27</t>
  </si>
  <si>
    <t>1.3.6.1.4.1.14519.5.2.1.7695.4164.472603994144965896984089172498</t>
  </si>
  <si>
    <t>ISPY2_119928</t>
  </si>
  <si>
    <t>[0.8072916865, 0.8072916865]</t>
  </si>
  <si>
    <t>[0, 122, 220, 320, 416, 514]</t>
  </si>
  <si>
    <t>2003/08/07</t>
  </si>
  <si>
    <t>1.3.6.1.4.1.14519.5.2.1.237224622459608155717944299894221550693</t>
  </si>
  <si>
    <t>ISPY2_120422</t>
  </si>
  <si>
    <t>[0.9114583135, 0.9114583135]</t>
  </si>
  <si>
    <t>2003/01/15</t>
  </si>
  <si>
    <t>1.3.6.1.4.1.14519.5.2.1.206074437954004774437762614860793895448</t>
  </si>
  <si>
    <t>ISPY2_122287</t>
  </si>
  <si>
    <t>T-DM1 + Pertuzumab</t>
  </si>
  <si>
    <t>[0.600961566, 0.600961566]</t>
  </si>
  <si>
    <t>[0, 109, 201, 293, 385, 477]</t>
  </si>
  <si>
    <t>2003/05/24</t>
  </si>
  <si>
    <t>1.3.6.1.4.1.14519.5.2.1.128903129139775904393892511677212602059</t>
  </si>
  <si>
    <t>ISPY2_122579</t>
  </si>
  <si>
    <t>DISCOVERY MR750w</t>
  </si>
  <si>
    <t>[0, 96, 192, 287, 383, 480]</t>
  </si>
  <si>
    <t>2004/01/02</t>
  </si>
  <si>
    <t>1.3.6.1.4.1.14519.5.2.1.184174867161600539197479994022366250385</t>
  </si>
  <si>
    <t>ISPY2_122795</t>
  </si>
  <si>
    <t>[0, 223, 310, 398, 485, 573]</t>
  </si>
  <si>
    <t>2000/10/05</t>
  </si>
  <si>
    <t>1.3.6.1.4.1.14519.5.2.1.46865673888000919353472193474132766639</t>
  </si>
  <si>
    <t>ISPY2_123660</t>
  </si>
  <si>
    <t>2001/04/11</t>
  </si>
  <si>
    <t>1.3.6.1.4.1.14519.5.2.1.186507714267719011182600138610673406876</t>
  </si>
  <si>
    <t>ISPY2_125130</t>
  </si>
  <si>
    <t>[0, 102, 185, 269, 352, 435]</t>
  </si>
  <si>
    <t>2002/07/17</t>
  </si>
  <si>
    <t>1.3.6.1.4.1.14519.5.2.1.130248491989033052515159533043316169616</t>
  </si>
  <si>
    <t>ISPY2_125418</t>
  </si>
  <si>
    <t>[0.5859375, 0.5859375]</t>
  </si>
  <si>
    <t>Prisma_fit</t>
  </si>
  <si>
    <t>[0, 121, 211, 301, 392, 482]</t>
  </si>
  <si>
    <t>2003/04/13</t>
  </si>
  <si>
    <t>1.3.6.1.4.1.14519.5.2.1.161790251619631214284879550092380986230</t>
  </si>
  <si>
    <t>ISPY2_127675</t>
  </si>
  <si>
    <t>[0, 98, 196, 293, 391, 489]</t>
  </si>
  <si>
    <t>1999/10/31</t>
  </si>
  <si>
    <t>1.3.6.1.4.1.14519.5.2.1.260468579368946743169063784878306352225</t>
  </si>
  <si>
    <t>ISPY2_127791</t>
  </si>
  <si>
    <t>Paclitaxel + Pertuzumab + Trastuzumab</t>
  </si>
  <si>
    <t>[0.6052631736, 0.6052631736]</t>
  </si>
  <si>
    <t>[0, 114, 210, 306, 402, 499]</t>
  </si>
  <si>
    <t>1.3.6.1.4.1.14519.5.2.1.27584789971917817129655542826069477270</t>
  </si>
  <si>
    <t>ISPY2_128051</t>
  </si>
  <si>
    <t>[0.64453125, 0.64453125]</t>
  </si>
  <si>
    <t>AAQ</t>
  </si>
  <si>
    <t>[0, 87, 175, 262, 350, 437]</t>
  </si>
  <si>
    <t>2003/05/23</t>
  </si>
  <si>
    <t>1.3.6.1.4.1.14519.5.2.1.228301790254849422259810987083179785285</t>
  </si>
  <si>
    <t>ISPY2_128675</t>
  </si>
  <si>
    <t>[0, 108, 197, 286, 376, 465]</t>
  </si>
  <si>
    <t>2004/01/14</t>
  </si>
  <si>
    <t>1.3.6.1.4.1.14519.5.2.1.277680861901643900761243102857991469623</t>
  </si>
  <si>
    <t>ISPY2_129837</t>
  </si>
  <si>
    <t>[0.742200017, 0.742200017]</t>
  </si>
  <si>
    <t>1999/09/09</t>
  </si>
  <si>
    <t>1.3.6.1.4.1.14519.5.2.1.191028894848093548472110854625094230501</t>
  </si>
  <si>
    <t>ISPY2_129973</t>
  </si>
  <si>
    <t>[0, 133, 213, 293, 373, 453]</t>
  </si>
  <si>
    <t>1.3.6.1.4.1.14519.5.2.1.255486097546829566384821335782041987054</t>
  </si>
  <si>
    <t>ISPY2_130580</t>
  </si>
  <si>
    <t>[0, 140, 221, 320, 401, 501]</t>
  </si>
  <si>
    <t>2002/10/11</t>
  </si>
  <si>
    <t>1.3.6.1.4.1.14519.5.2.1.7695.4164.287042240454466987099726691393</t>
  </si>
  <si>
    <t>ISPY2_130892</t>
  </si>
  <si>
    <t>AAS</t>
  </si>
  <si>
    <t>[0, 138, 239, 339, 440, 541]</t>
  </si>
  <si>
    <t>2002/06/08</t>
  </si>
  <si>
    <t>1.3.6.1.4.1.14519.5.2.1.154697976613616596808491476763812637522</t>
  </si>
  <si>
    <t>ISPY2_131595</t>
  </si>
  <si>
    <t>AAT</t>
  </si>
  <si>
    <t>[0, 103, 194, 286, 378, 470]</t>
  </si>
  <si>
    <t>2001/07/22</t>
  </si>
  <si>
    <t>1.3.6.1.4.1.14519.5.2.1.150689761756585191515242631720813023262</t>
  </si>
  <si>
    <t>ISPY2_131961</t>
  </si>
  <si>
    <t>[0, 97, 193, 289, 385, 481]</t>
  </si>
  <si>
    <t>2002/12/18</t>
  </si>
  <si>
    <t>1.3.6.1.4.1.14519.5.2.1.7695.4164.180862518195496282786165278422</t>
  </si>
  <si>
    <t>ISPY2_132463</t>
  </si>
  <si>
    <t>[0, 98, 196, 294, 392, 490]</t>
  </si>
  <si>
    <t>2001/05/24</t>
  </si>
  <si>
    <t>1.3.6.1.4.1.14519.5.2.1.305020219855871956826172423622056178821</t>
  </si>
  <si>
    <t>ISPY2_133650</t>
  </si>
  <si>
    <t>AAK</t>
  </si>
  <si>
    <t>[0, 122, 220, 318, 417, 515]</t>
  </si>
  <si>
    <t>2003/07/11</t>
  </si>
  <si>
    <t>1.3.6.1.4.1.14519.5.2.1.312782352132989507937045947410015460749</t>
  </si>
  <si>
    <t>ISPY2_134526</t>
  </si>
  <si>
    <t>[0, 96, 193, 290, 387, 484]</t>
  </si>
  <si>
    <t>2000/01/01</t>
  </si>
  <si>
    <t>1.3.6.1.4.1.14519.5.2.1.152333106191218437913879076313633245149</t>
  </si>
  <si>
    <t>ISPY2_136536</t>
  </si>
  <si>
    <t>[0.8999999762, 0.8999999762]</t>
  </si>
  <si>
    <t>[0, 149, 233, 316, 399, 483]</t>
  </si>
  <si>
    <t>2001/05/31</t>
  </si>
  <si>
    <t>1.3.6.1.4.1.14519.5.2.1.263514803906436827484779116599354806388</t>
  </si>
  <si>
    <t>ISPY2_138027</t>
  </si>
  <si>
    <t>[0, 106, 203, 300, 398, 495]</t>
  </si>
  <si>
    <t>2002/10/30</t>
  </si>
  <si>
    <t>1.3.6.1.4.1.14519.5.2.1.7695.4164.132965260982984302747175894274</t>
  </si>
  <si>
    <t>ISPY2_138425</t>
  </si>
  <si>
    <t>[0.8653846383, 0.8653846383]</t>
  </si>
  <si>
    <t>[0, 141, 230, 319, 408, 497]</t>
  </si>
  <si>
    <t>2003/05/29</t>
  </si>
  <si>
    <t>1.3.6.1.4.1.14519.5.2.1.263301155292988152510338817439231688446</t>
  </si>
  <si>
    <t>ISPY2_139137</t>
  </si>
  <si>
    <t>AAU</t>
  </si>
  <si>
    <t>1999/11/05</t>
  </si>
  <si>
    <t>1.3.6.1.4.1.14519.5.2.1.258675027210054072642205253877171711943</t>
  </si>
  <si>
    <t>ISPY2_139771</t>
  </si>
  <si>
    <t>AAV</t>
  </si>
  <si>
    <t>[0, 111, 200, 289, 378, 467]</t>
  </si>
  <si>
    <t>2000/07/12</t>
  </si>
  <si>
    <t>1.3.6.1.4.1.14519.5.2.1.108519683882083140359196734211920361720</t>
  </si>
  <si>
    <t>ISPY2_139973</t>
  </si>
  <si>
    <t>[0, 103, 186, 268, 350, 432]</t>
  </si>
  <si>
    <t>1.3.6.1.4.1.14519.5.2.1.7695.4164.186776134958795759959223229582</t>
  </si>
  <si>
    <t>ISPY2_141782</t>
  </si>
  <si>
    <t>[1.171875, 1.171875]</t>
  </si>
  <si>
    <t>[0, 110, 200, 291, 382, 473]</t>
  </si>
  <si>
    <t>1999/05/19</t>
  </si>
  <si>
    <t>1.3.6.1.4.1.14519.5.2.1.101999727292299442845843272437192685899</t>
  </si>
  <si>
    <t>ISPY2_142688</t>
  </si>
  <si>
    <t>[0, 172, 260, 347, 434, 522]</t>
  </si>
  <si>
    <t>2004/07/22</t>
  </si>
  <si>
    <t>1.3.6.1.4.1.14519.5.2.1.265575606756054173954391341965509393995</t>
  </si>
  <si>
    <t>ISPY2_144302</t>
  </si>
  <si>
    <t>[0, 140, 220, 320, 400, 500]</t>
  </si>
  <si>
    <t>2002/10/03</t>
  </si>
  <si>
    <t>1.3.6.1.4.1.14519.5.2.1.7695.4164.159108038472080373648543064588</t>
  </si>
  <si>
    <t>ISPY2_145513</t>
  </si>
  <si>
    <t>[0, 113, 206, 301, 396, 490]</t>
  </si>
  <si>
    <t>2001/03/21</t>
  </si>
  <si>
    <t>1.3.6.1.4.1.14519.5.2.1.158468746095982881207959738331156988675</t>
  </si>
  <si>
    <t>ISPY2_145777</t>
  </si>
  <si>
    <t>[0, 120, 220, 300, 400, 500]</t>
  </si>
  <si>
    <t>2002/09/14</t>
  </si>
  <si>
    <t>1.3.6.1.4.1.14519.5.2.1.7695.4164.170079213509856831502569100998</t>
  </si>
  <si>
    <t>ISPY2_146033</t>
  </si>
  <si>
    <t>[0, 112, 204, 295, 387, 478]</t>
  </si>
  <si>
    <t>2002/10/19</t>
  </si>
  <si>
    <t>1.3.6.1.4.1.14519.5.2.1.147855658304526421033587154761034845442</t>
  </si>
  <si>
    <t>ISPY2_146987</t>
  </si>
  <si>
    <t>[0, 182, 269, 356, 443, 530]</t>
  </si>
  <si>
    <t>2002/01/03</t>
  </si>
  <si>
    <t>1.3.6.1.4.1.14519.5.2.1.7695.4164.808316711296205042450496878785</t>
  </si>
  <si>
    <t>ISPY2_147139</t>
  </si>
  <si>
    <t xml:space="preserve">DISCOVERY MR750 </t>
  </si>
  <si>
    <t>[0, 96, 193, 289, 385, 482]</t>
  </si>
  <si>
    <t>2004/09/11</t>
  </si>
  <si>
    <t>1.3.6.1.4.1.14519.5.2.1.95900132186422354133693405901869953897</t>
  </si>
  <si>
    <t>ISPY2_148357</t>
  </si>
  <si>
    <t>[0, 129, 218, 308, 397, 486]</t>
  </si>
  <si>
    <t>2002/01/06</t>
  </si>
  <si>
    <t>1.3.6.1.4.1.14519.5.2.1.7695.4164.243581711784121995653141363209</t>
  </si>
  <si>
    <t>ISPY2_149654</t>
  </si>
  <si>
    <t>[0, 196, 284, 371, 458, 545]</t>
  </si>
  <si>
    <t>1.3.6.1.4.1.14519.5.2.1.86175108344416664592510626942437474618</t>
  </si>
  <si>
    <t>ISPY2_150547</t>
  </si>
  <si>
    <t>[0, 185, 272, 359, 446, 533]</t>
  </si>
  <si>
    <t>2002/12/05</t>
  </si>
  <si>
    <t>1.3.6.1.4.1.14519.5.2.1.7695.4164.159546491645080300725631632029</t>
  </si>
  <si>
    <t>ISPY2_151230</t>
  </si>
  <si>
    <t>[0, 113, 198, 283, 368, 453]</t>
  </si>
  <si>
    <t>1999/11/27</t>
  </si>
  <si>
    <t>1.3.6.1.4.1.14519.5.2.1.208968904405256708968925287707112085645</t>
  </si>
  <si>
    <t>ISPY2_151481</t>
  </si>
  <si>
    <t>[0, 121, 211, 302, 392]</t>
  </si>
  <si>
    <t>1999/03/25</t>
  </si>
  <si>
    <t>1.3.6.1.4.1.14519.5.2.1.179045080459218552116460851662913438162</t>
  </si>
  <si>
    <t>ISPY2_151980</t>
  </si>
  <si>
    <t>2003/09/11</t>
  </si>
  <si>
    <t>1.3.6.1.4.1.14519.5.2.1.300921099851980325486818840678610198931</t>
  </si>
  <si>
    <t>ISPY2_152090</t>
  </si>
  <si>
    <t>[0, 133, 230, 328, 425, 522]</t>
  </si>
  <si>
    <t>2002/10/12</t>
  </si>
  <si>
    <t>1.3.6.1.4.1.14519.5.2.1.7695.4164.279141528422942044418434996157</t>
  </si>
  <si>
    <t>ISPY2_152197</t>
  </si>
  <si>
    <t>[0, 130, 227, 325, 422, 520]</t>
  </si>
  <si>
    <t>2004/05/06</t>
  </si>
  <si>
    <t>1.3.6.1.4.1.14519.5.2.1.83982230411969354452546758238818595365</t>
  </si>
  <si>
    <t>ISPY2_153327</t>
  </si>
  <si>
    <t>[0, 179, 265, 352, 438, 525]</t>
  </si>
  <si>
    <t>2004/06/26</t>
  </si>
  <si>
    <t>1.3.6.1.4.1.14519.5.2.1.98838344874515495280905695000396375499</t>
  </si>
  <si>
    <t>ISPY2_153880</t>
  </si>
  <si>
    <t>[0, 179, 280, 381, 483, 584]</t>
  </si>
  <si>
    <t>1999/10/02</t>
  </si>
  <si>
    <t>1.3.6.1.4.1.14519.5.2.1.122789200666853793007034236449076402348</t>
  </si>
  <si>
    <t>ISPY2_154293</t>
  </si>
  <si>
    <t>[0.5078, 0.5078]</t>
  </si>
  <si>
    <t>[0, 135, 241, 346, 452, 557]</t>
  </si>
  <si>
    <t>2000/04/16</t>
  </si>
  <si>
    <t>1.3.6.1.4.1.14519.5.2.1.318140951220626694140228259245063599665</t>
  </si>
  <si>
    <t>ISPY2_155171</t>
  </si>
  <si>
    <t>[0, 98, 195, 293, 390, 488]</t>
  </si>
  <si>
    <t>1999/10/09</t>
  </si>
  <si>
    <t>1.3.6.1.4.1.14519.5.2.1.253119907121279826522076103000259221856</t>
  </si>
  <si>
    <t>ISPY2_156163</t>
  </si>
  <si>
    <t>[0, 212, 300, 387, 474, 561]</t>
  </si>
  <si>
    <t>2001/06/28</t>
  </si>
  <si>
    <t>1.3.6.1.4.1.14519.5.2.1.7695.4164.192450827394477168000055625964</t>
  </si>
  <si>
    <t>ISPY2_157270</t>
  </si>
  <si>
    <t>Paclitaxel + AMG 386 + Trastuzumab</t>
  </si>
  <si>
    <t>[0.7291666865, 0.7291666865]</t>
  </si>
  <si>
    <t>2002/04/11</t>
  </si>
  <si>
    <t>1.3.6.1.4.1.14519.5.2.1.233709423217256384460470697419607591239</t>
  </si>
  <si>
    <t>ISPY2_157463</t>
  </si>
  <si>
    <t>[0, 278, 371, 462, 555, 646]</t>
  </si>
  <si>
    <t>1999/02/06</t>
  </si>
  <si>
    <t>1.3.6.1.4.1.14519.5.2.1.267216172223938163027775143786150056048</t>
  </si>
  <si>
    <t>ISPY2_159284</t>
  </si>
  <si>
    <t>[0, 136, 230, 325, 419, 514]</t>
  </si>
  <si>
    <t>2004/01/09</t>
  </si>
  <si>
    <t>1.3.6.1.4.1.14519.5.2.1.117545957467291040602273574291700381965</t>
  </si>
  <si>
    <t>ISPY2_159352</t>
  </si>
  <si>
    <t>[0, 118, 211, 302, 394, 486]</t>
  </si>
  <si>
    <t>2001/01/26</t>
  </si>
  <si>
    <t>1.3.6.1.4.1.14519.5.2.1.43698635441617343818601395184123671163</t>
  </si>
  <si>
    <t>ISPY2_160120</t>
  </si>
  <si>
    <t>[0, 141, 226, 311, 396, 480]</t>
  </si>
  <si>
    <t>2000/06/24</t>
  </si>
  <si>
    <t>1.3.6.1.4.1.14519.5.2.1.247201248529123024857507183652975232813</t>
  </si>
  <si>
    <t>ISPY2_162562</t>
  </si>
  <si>
    <t>[0, 176, 263, 350, 437, 524]</t>
  </si>
  <si>
    <t>2001/05/26</t>
  </si>
  <si>
    <t>1.3.6.1.4.1.14519.5.2.1.7695.4164.320290118459824957476293226925</t>
  </si>
  <si>
    <t>ISPY2_164468</t>
  </si>
  <si>
    <t>[0, 137, 227, 316, 405, 495]</t>
  </si>
  <si>
    <t>2003/04/12</t>
  </si>
  <si>
    <t>1.3.6.1.4.1.14519.5.2.1.64374572825812889673121623423119172267</t>
  </si>
  <si>
    <t>ISPY2_165925</t>
  </si>
  <si>
    <t>[0, 186, 275, 365, 454, 543]</t>
  </si>
  <si>
    <t>2002/05/12</t>
  </si>
  <si>
    <t>1.3.6.1.4.1.14519.5.2.1.7695.4164.194957686370212967801675956341</t>
  </si>
  <si>
    <t>ISPY2_166412</t>
  </si>
  <si>
    <t>[0, 97, 195, 292, 390, 487]</t>
  </si>
  <si>
    <t>1999/09/30</t>
  </si>
  <si>
    <t>1.3.6.1.4.1.14519.5.2.1.168115061335427483787783005441245529041</t>
  </si>
  <si>
    <t>ISPY2_166782</t>
  </si>
  <si>
    <t>[0, 140, 226, 312, 398, 484]</t>
  </si>
  <si>
    <t>1999/07/03</t>
  </si>
  <si>
    <t>1.3.6.1.4.1.14519.5.2.1.134477363002723898480011225150119214174</t>
  </si>
  <si>
    <t>ISPY2_167271</t>
  </si>
  <si>
    <t>[0, 116, 205, 295, 384, 473]</t>
  </si>
  <si>
    <t>2003/06/28</t>
  </si>
  <si>
    <t>1.3.6.1.4.1.14519.5.2.1.207702487179667346946229021865921863744</t>
  </si>
  <si>
    <t>ISPY2_168044</t>
  </si>
  <si>
    <t>[0, 138, 231, 324, 417, 510]</t>
  </si>
  <si>
    <t>2004/05/07</t>
  </si>
  <si>
    <t>1.3.6.1.4.1.14519.5.2.1.188519070806088939230497212853974187977</t>
  </si>
  <si>
    <t>ISPY2_169536</t>
  </si>
  <si>
    <t>[0, 356, 436, 517, 597, 677]</t>
  </si>
  <si>
    <t>1.3.6.1.4.1.14519.5.2.1.163429469884998008919069442467211174156</t>
  </si>
  <si>
    <t>ISPY2_169918</t>
  </si>
  <si>
    <t>[0, 83, 166, 249, 332, 415]</t>
  </si>
  <si>
    <t>2001/12/08</t>
  </si>
  <si>
    <t>1.3.6.1.4.1.14519.5.2.1.7695.4164.118559706680583077710413431615</t>
  </si>
  <si>
    <t>ISPY2_172168</t>
  </si>
  <si>
    <t>2002/01/16</t>
  </si>
  <si>
    <t>1.3.6.1.4.1.14519.5.2.1.1512465865490318996959501686353537389</t>
  </si>
  <si>
    <t>ISPY2_172283</t>
  </si>
  <si>
    <t>[0, 354, 434, 514, 594, 674]</t>
  </si>
  <si>
    <t>1999/11/25</t>
  </si>
  <si>
    <t>1.3.6.1.4.1.14519.5.2.1.149744437796523021247024662636208677262</t>
  </si>
  <si>
    <t>ISPY2_172366</t>
  </si>
  <si>
    <t>[0, 148, 240, 333, 425, 517]</t>
  </si>
  <si>
    <t>2003/02/26</t>
  </si>
  <si>
    <t>1.3.6.1.4.1.14519.5.2.1.7695.4164.215690895170605777137674526040</t>
  </si>
  <si>
    <t>ISPY2_174903</t>
  </si>
  <si>
    <t>[0, 164, 262, 361, 459, 558]</t>
  </si>
  <si>
    <t>2000/03/29</t>
  </si>
  <si>
    <t>1.3.6.1.4.1.14519.5.2.1.212964849719262078104502759496447427527</t>
  </si>
  <si>
    <t>ISPY2_174904</t>
  </si>
  <si>
    <t>[0, 97, 195, 292, 389, 486]</t>
  </si>
  <si>
    <t>2002/04/25</t>
  </si>
  <si>
    <t>1.3.6.1.4.1.14519.5.2.1.14167072129893696770783568681214753334</t>
  </si>
  <si>
    <t>ISPY2_177795</t>
  </si>
  <si>
    <t>[0, 162, 250, 339, 427, 516]</t>
  </si>
  <si>
    <t>2004/06/25</t>
  </si>
  <si>
    <t>1.3.6.1.4.1.14519.5.2.1.143690058784191140513441397471627865062</t>
  </si>
  <si>
    <t>ISPY2_178649</t>
  </si>
  <si>
    <t>[0, 140, 223, 307, 390, 474]</t>
  </si>
  <si>
    <t>2001/02/11</t>
  </si>
  <si>
    <t>1.3.6.1.4.1.14519.5.2.1.134514926434736154692785609736037025557</t>
  </si>
  <si>
    <t>ISPY2_178815</t>
  </si>
  <si>
    <t>[0, 217, 310, 402, 495, 587]</t>
  </si>
  <si>
    <t>2000/05/06</t>
  </si>
  <si>
    <t>1.3.6.1.4.1.14519.5.2.1.115801642238390583244328966782734444714</t>
  </si>
  <si>
    <t>ISPY2_179369</t>
  </si>
  <si>
    <t>[0, 175, 262, 350, 437, 524]</t>
  </si>
  <si>
    <t>2001/12/29</t>
  </si>
  <si>
    <t>1.3.6.1.4.1.14519.5.2.1.7695.4164.285690409878061713495731234265</t>
  </si>
  <si>
    <t>ISPY2_179568</t>
  </si>
  <si>
    <t>[0, 197, 284, 371, 458, 545]</t>
  </si>
  <si>
    <t>2002/08/01</t>
  </si>
  <si>
    <t>1.3.6.1.4.1.14519.5.2.1.7695.4164.108024823547599007940600479962</t>
  </si>
  <si>
    <t>ISPY2_180027</t>
  </si>
  <si>
    <t>2000/12/01</t>
  </si>
  <si>
    <t>1.3.6.1.4.1.14519.5.2.1.197854264552984757056335632312558722377</t>
  </si>
  <si>
    <t>ISPY2_180663</t>
  </si>
  <si>
    <t>[0, 131, 230, 326, 423, 521]</t>
  </si>
  <si>
    <t>2001/05/04</t>
  </si>
  <si>
    <t>1.3.6.1.4.1.14519.5.2.1.232444557273771199775418437315995169213</t>
  </si>
  <si>
    <t>ISPY2_181442</t>
  </si>
  <si>
    <t>[0, 96, 193, 289, 386, 482]</t>
  </si>
  <si>
    <t>2004/07/14</t>
  </si>
  <si>
    <t>1.3.6.1.4.1.14519.5.2.1.14389999006602715018851137105971593845</t>
  </si>
  <si>
    <t>ISPY2_181819</t>
  </si>
  <si>
    <t>[0, 163, 262, 362, 461, 561]</t>
  </si>
  <si>
    <t>1999/04/22</t>
  </si>
  <si>
    <t>1.3.6.1.4.1.14519.5.2.1.316150644196467720571610077974351175060</t>
  </si>
  <si>
    <t>ISPY2_182346</t>
  </si>
  <si>
    <t>[0.8072916667, 0.8072916667]</t>
  </si>
  <si>
    <t>AAL</t>
  </si>
  <si>
    <t>Symphony</t>
  </si>
  <si>
    <t>[0, 90, 180, 269, 359, 449]</t>
  </si>
  <si>
    <t>2003/02/21</t>
  </si>
  <si>
    <t>1.3.6.1.4.1.14519.5.2.1.320401484100605497639166843236108470886</t>
  </si>
  <si>
    <t>ISPY2_183831</t>
  </si>
  <si>
    <t>2001/02/23</t>
  </si>
  <si>
    <t>1.3.6.1.4.1.14519.5.2.1.24785696578687652625906536824781970245</t>
  </si>
  <si>
    <t>ISPY2_188091</t>
  </si>
  <si>
    <t>1.3.6.1.4.1.14519.5.2.1.18445598877518735080886995984740142280</t>
  </si>
  <si>
    <t>ISPY2_188511</t>
  </si>
  <si>
    <t>[1.328125, 1.328125]</t>
  </si>
  <si>
    <t>[0, 133, 227, 320, 412, 505]</t>
  </si>
  <si>
    <t>2000/04/19</t>
  </si>
  <si>
    <t>1.3.6.1.4.1.14519.5.2.1.94867968733242765686952353837931690562</t>
  </si>
  <si>
    <t>ISPY2_188700</t>
  </si>
  <si>
    <t>[0.6701030731, 0.6701030731]</t>
  </si>
  <si>
    <t>[0, 128, 226, 323, 418, 513]</t>
  </si>
  <si>
    <t>2001/12/22</t>
  </si>
  <si>
    <t>1.3.6.1.4.1.14519.5.2.1.7695.4164.162817387329506691219174974714</t>
  </si>
  <si>
    <t>ISPY2_190224</t>
  </si>
  <si>
    <t>[0, 96, 194, 291, 388, 485]</t>
  </si>
  <si>
    <t>1999/04/08</t>
  </si>
  <si>
    <t>1.3.6.1.4.1.14519.5.2.1.224522423367533669505112708514200279497</t>
  </si>
  <si>
    <t>ISPY2_192548</t>
  </si>
  <si>
    <t>[0, 365, 462, 555, 650, 743]</t>
  </si>
  <si>
    <t>1999/01/14</t>
  </si>
  <si>
    <t>1.3.6.1.4.1.14519.5.2.1.163352632379542062409070714397003204892</t>
  </si>
  <si>
    <t>ISPY2_194024</t>
  </si>
  <si>
    <t>[0, 204, 291, 379, 466, 553]</t>
  </si>
  <si>
    <t>2004/10/07</t>
  </si>
  <si>
    <t>1.3.6.1.4.1.14519.5.2.1.312200619198157410152012826277699286181</t>
  </si>
  <si>
    <t>ISPY2_196024</t>
  </si>
  <si>
    <t>[0, 109, 198, 288, 377, 466]</t>
  </si>
  <si>
    <t>2003/09/19</t>
  </si>
  <si>
    <t>1.3.6.1.4.1.14519.5.2.1.74985454730993876733621639657412571087</t>
  </si>
  <si>
    <t>ISPY2_196064</t>
  </si>
  <si>
    <t>[0, 145, 234, 324, 413, 502]</t>
  </si>
  <si>
    <t>2002/06/22</t>
  </si>
  <si>
    <t>1.3.6.1.4.1.14519.5.2.1.7695.4164.267253019729887260833117507939</t>
  </si>
  <si>
    <t>ISPY2_197942</t>
  </si>
  <si>
    <t>[0, 316, 396, 476, 556, 636]</t>
  </si>
  <si>
    <t>1.3.6.1.4.1.14519.5.2.1.190983156901685230005269268451490607677</t>
  </si>
  <si>
    <t>ISPY2_198891</t>
  </si>
  <si>
    <t>[0, 131, 219, 307, 395, 483]</t>
  </si>
  <si>
    <t>2000/05/05</t>
  </si>
  <si>
    <t>1.3.6.1.4.1.14519.5.2.1.73970886427950720930357583855706741375</t>
  </si>
  <si>
    <t>ISPY2_199115</t>
  </si>
  <si>
    <t>[0, 135, 226, 318, 409, 501]</t>
  </si>
  <si>
    <t>2001/06/13</t>
  </si>
  <si>
    <t>1.3.6.1.4.1.14519.5.2.1.9888508211773859541011448336575756661</t>
  </si>
  <si>
    <t>ISPY2_199960</t>
  </si>
  <si>
    <t>[0, 89, 179, 268, 358, 448]</t>
  </si>
  <si>
    <t>2001/07/13</t>
  </si>
  <si>
    <t>1.3.6.1.4.1.14519.5.2.1.156981287990243256582988286276156112672</t>
  </si>
  <si>
    <t>ISPY2_200222</t>
  </si>
  <si>
    <t>[0, 99, 199, 298, 397]</t>
  </si>
  <si>
    <t>2001/07/01</t>
  </si>
  <si>
    <t>1.3.6.1.4.1.14519.5.2.1.173946448643472600236594620509320114371</t>
  </si>
  <si>
    <t>ISPY2_201831</t>
  </si>
  <si>
    <t>2001/07/28</t>
  </si>
  <si>
    <t>1.3.6.1.4.1.14519.5.2.1.39418340560224408725355125129196739519</t>
  </si>
  <si>
    <t>ISPY2_201873</t>
  </si>
  <si>
    <t>[0, 97, 194, 291, 387, 484]</t>
  </si>
  <si>
    <t>2000/03/10</t>
  </si>
  <si>
    <t>1.3.6.1.4.1.14519.5.2.1.34393702440482630790227766070084466410</t>
  </si>
  <si>
    <t>ISPY2_202535</t>
  </si>
  <si>
    <t>2001/12/05</t>
  </si>
  <si>
    <t>1.3.6.1.4.1.14519.5.2.1.7695.4164.126552277009726846822490798595</t>
  </si>
  <si>
    <t>ISPY2_202539</t>
  </si>
  <si>
    <t>[0, 98, 195, 293, 391, 489]</t>
  </si>
  <si>
    <t>2000/04/22</t>
  </si>
  <si>
    <t>1.3.6.1.4.1.14519.5.2.1.187120264086645060925288598829641416457</t>
  </si>
  <si>
    <t>ISPY2_202956</t>
  </si>
  <si>
    <t>[0, 147, 247, 348, 448, 548]</t>
  </si>
  <si>
    <t>2000/11/11</t>
  </si>
  <si>
    <t>1.3.6.1.4.1.14519.5.2.1.339513060185813399043621207781640895841</t>
  </si>
  <si>
    <t>ISPY2_203060</t>
  </si>
  <si>
    <t>2002/06/19</t>
  </si>
  <si>
    <t>1.3.6.1.4.1.14519.5.2.1.7695.4164.233396827770178153393847997886</t>
  </si>
  <si>
    <t>ISPY2_203254</t>
  </si>
  <si>
    <t>2000/12/07</t>
  </si>
  <si>
    <t>1.3.6.1.4.1.14519.5.2.1.19575191676493138555819398654186288734</t>
  </si>
  <si>
    <t>ISPY2_204939</t>
  </si>
  <si>
    <t>[0.793269217, 0.793269217]</t>
  </si>
  <si>
    <t>[0, 127, 211, 295, 379, 463]</t>
  </si>
  <si>
    <t>2003/01/24</t>
  </si>
  <si>
    <t>1.3.6.1.4.1.14519.5.2.1.113400176220298018209788232072322818055</t>
  </si>
  <si>
    <t>ISPY2_208265</t>
  </si>
  <si>
    <t>[0, 122, 214, 305, 397, 489]</t>
  </si>
  <si>
    <t>1999/10/08</t>
  </si>
  <si>
    <t>1.3.6.1.4.1.14519.5.2.1.214188679466153503102892042437812305400</t>
  </si>
  <si>
    <t>ISPY2_208303</t>
  </si>
  <si>
    <t>[0, 134, 223, 312, 402, 491]</t>
  </si>
  <si>
    <t>2003/05/28</t>
  </si>
  <si>
    <t>1.3.6.1.4.1.14519.5.2.1.331659968768633121320635886933607291933</t>
  </si>
  <si>
    <t>ISPY2_208650</t>
  </si>
  <si>
    <t>2003/02/08</t>
  </si>
  <si>
    <t>1.3.6.1.4.1.14519.5.2.1.7695.4164.315418790624232476969586000079</t>
  </si>
  <si>
    <t>ISPY2_209397</t>
  </si>
  <si>
    <t>2004/10/30</t>
  </si>
  <si>
    <t>1.3.6.1.4.1.14519.5.2.1.70684468505130834383347403408105692312</t>
  </si>
  <si>
    <t>ISPY2_209967</t>
  </si>
  <si>
    <t>2003/03/20</t>
  </si>
  <si>
    <t>1.3.6.1.4.1.14519.5.2.1.7695.4164.282109484490592901296078508717</t>
  </si>
  <si>
    <t>ISPY2_211408</t>
  </si>
  <si>
    <t>2000/09/14</t>
  </si>
  <si>
    <t>1.3.6.1.4.1.14519.5.2.1.291613414193271084324620667971423938167</t>
  </si>
  <si>
    <t>ISPY2_212307</t>
  </si>
  <si>
    <t>2002/12/07</t>
  </si>
  <si>
    <t>1.3.6.1.4.1.14519.5.2.1.14880531294217508722624274571832382317</t>
  </si>
  <si>
    <t>ISPY2_213328</t>
  </si>
  <si>
    <t>[0, 186, 273, 360, 446, 533]</t>
  </si>
  <si>
    <t>1.3.6.1.4.1.14519.5.2.1.233097290974387468813752641532690395625</t>
  </si>
  <si>
    <t>ISPY2_213672</t>
  </si>
  <si>
    <t>[0.5882353187, 0.5882353187]</t>
  </si>
  <si>
    <t>[0, 85, 144, 202, 260, 318]</t>
  </si>
  <si>
    <t>1.3.6.1.4.1.14519.5.2.1.149578691343567287056509042861665756875</t>
  </si>
  <si>
    <t>ISPY2_213913</t>
  </si>
  <si>
    <t>[0, 96, 193, 290, 386, 483]</t>
  </si>
  <si>
    <t>2003/03/21</t>
  </si>
  <si>
    <t>1.3.6.1.4.1.14519.5.2.1.7695.4164.171736806155165447661539068554</t>
  </si>
  <si>
    <t>ISPY2_215932</t>
  </si>
  <si>
    <t>[0, 97, 195, 293, 390, 488]</t>
  </si>
  <si>
    <t>2001/08/11</t>
  </si>
  <si>
    <t>1.3.6.1.4.1.14519.5.2.1.248355997883166114863150832512718042710</t>
  </si>
  <si>
    <t>ISPY2_218249</t>
  </si>
  <si>
    <t>[0, 81, 163, 244, 326, 407]</t>
  </si>
  <si>
    <t>2004/05/27</t>
  </si>
  <si>
    <t>1.3.6.1.4.1.14519.5.2.1.327779028928161701222643008588346082089</t>
  </si>
  <si>
    <t>ISPY2_218503</t>
  </si>
  <si>
    <t>[0, 206, 295, 384, 474, 563]</t>
  </si>
  <si>
    <t>2001/10/25</t>
  </si>
  <si>
    <t>1.3.6.1.4.1.14519.5.2.1.7695.4164.873050418913207158574575891119</t>
  </si>
  <si>
    <t>ISPY2_219545</t>
  </si>
  <si>
    <t>[0, 108, 199, 290, 380, 471]</t>
  </si>
  <si>
    <t>2002/01/02</t>
  </si>
  <si>
    <t>1.3.6.1.4.1.14519.5.2.1.7695.4164.880797270173215977675515540319</t>
  </si>
  <si>
    <t>ISPY2_220471</t>
  </si>
  <si>
    <t>[0, 120, 210, 300, 390, 480]</t>
  </si>
  <si>
    <t>2001/07/04</t>
  </si>
  <si>
    <t>1.3.6.1.4.1.14519.5.2.1.7695.4164.134899698428939175830500622362</t>
  </si>
  <si>
    <t>ISPY2_220664</t>
  </si>
  <si>
    <t>[0, 144, 243, 342, 440, 539]</t>
  </si>
  <si>
    <t>2000/05/07</t>
  </si>
  <si>
    <t>1.3.6.1.4.1.14519.5.2.1.203679644879669912628491825397121604444</t>
  </si>
  <si>
    <t>ISPY2_220925</t>
  </si>
  <si>
    <t>[0, 199, 286, 373, 460, 547]</t>
  </si>
  <si>
    <t>2003/02/06</t>
  </si>
  <si>
    <t>1.3.6.1.4.1.14519.5.2.1.7695.4164.321158937828553015366590974324</t>
  </si>
  <si>
    <t>ISPY2_221375</t>
  </si>
  <si>
    <t>[0, 133, 229, 325, 420, 516]</t>
  </si>
  <si>
    <t>2003/05/17</t>
  </si>
  <si>
    <t>1.3.6.1.4.1.14519.5.2.1.198465367280215839649950013706860528040</t>
  </si>
  <si>
    <t>ISPY2_221686</t>
  </si>
  <si>
    <t>[0, 99, 185, 272, 358, 445]</t>
  </si>
  <si>
    <t>2001/05/19</t>
  </si>
  <si>
    <t>1.3.6.1.4.1.14519.5.2.1.7695.4164.107456752900417518527224206985</t>
  </si>
  <si>
    <t>ISPY2_222135</t>
  </si>
  <si>
    <t>[0.5652173758, 0.5652173758]</t>
  </si>
  <si>
    <t xml:space="preserve">Ingenia </t>
  </si>
  <si>
    <t>[0, 89, 179, 269, 359, 448]</t>
  </si>
  <si>
    <t>1.3.6.1.4.1.14519.5.2.1.7695.4164.636871689473698672971273215217</t>
  </si>
  <si>
    <t>ISPY2_223030</t>
  </si>
  <si>
    <t>[0, 224, 319, 415, 510, 605]</t>
  </si>
  <si>
    <t>1.3.6.1.4.1.14519.5.2.1.232780654947417233841174976536519237089</t>
  </si>
  <si>
    <t>ISPY2_223526</t>
  </si>
  <si>
    <t>[0, 115, 207, 298, 390, 481]</t>
  </si>
  <si>
    <t>1999/07/01</t>
  </si>
  <si>
    <t>1.3.6.1.4.1.14519.5.2.1.184546803398150576901349346960279574779</t>
  </si>
  <si>
    <t>ISPY2_225836</t>
  </si>
  <si>
    <t>[0, 160, 253, 345, 438, 530]</t>
  </si>
  <si>
    <t>2000/06/29</t>
  </si>
  <si>
    <t>1.3.6.1.4.1.14519.5.2.1.284010478539263324554979059758909839869</t>
  </si>
  <si>
    <t>ISPY2_227055</t>
  </si>
  <si>
    <t>[0, 106, 217, 315, 413, 511]</t>
  </si>
  <si>
    <t>2002/07/28</t>
  </si>
  <si>
    <t>1.3.6.1.4.1.14519.5.2.1.7695.4164.233837292864000484851876115032</t>
  </si>
  <si>
    <t>ISPY2_227832</t>
  </si>
  <si>
    <t>[0, 97, 194, 292, 389, 486]</t>
  </si>
  <si>
    <t>2000/02/17</t>
  </si>
  <si>
    <t>1.3.6.1.4.1.14519.5.2.1.207092383041358022284611134954538115840</t>
  </si>
  <si>
    <t>ISPY2_227881</t>
  </si>
  <si>
    <t>1999/08/13</t>
  </si>
  <si>
    <t>1.3.6.1.4.1.14519.5.2.1.201443786076232924378186630191235372116</t>
  </si>
  <si>
    <t>ISPY2_228192</t>
  </si>
  <si>
    <t>[0, 140, 224, 308, 392, 476]</t>
  </si>
  <si>
    <t>2001/08/04</t>
  </si>
  <si>
    <t>1.3.6.1.4.1.14519.5.2.1.94397100228327701875290521556608284984</t>
  </si>
  <si>
    <t>ISPY2_228340</t>
  </si>
  <si>
    <t>[0, 184, 271, 358, 445, 532]</t>
  </si>
  <si>
    <t>2000/08/19</t>
  </si>
  <si>
    <t>1.3.6.1.4.1.14519.5.2.1.10542890372204087862396248516185614488</t>
  </si>
  <si>
    <t>ISPY2_229144</t>
  </si>
  <si>
    <t>[0, 350, 430, 510, 590, 670]</t>
  </si>
  <si>
    <t>1999/06/30</t>
  </si>
  <si>
    <t>1.3.6.1.4.1.14519.5.2.1.5182030521961546018058834018157568465</t>
  </si>
  <si>
    <t>ISPY2_229328</t>
  </si>
  <si>
    <t>[0, 151, 242, 334, 426, 517]</t>
  </si>
  <si>
    <t>2001/06/15</t>
  </si>
  <si>
    <t>1.3.6.1.4.1.14519.5.2.1.56949615124945813486777957715174721121</t>
  </si>
  <si>
    <t>ISPY2_229824</t>
  </si>
  <si>
    <t>[0, 120, 211, 301, 392, 482]</t>
  </si>
  <si>
    <t>1999/12/02</t>
  </si>
  <si>
    <t>1.3.6.1.4.1.14519.5.2.1.242486186342134025154544396743278506705</t>
  </si>
  <si>
    <t>ISPY2_231633</t>
  </si>
  <si>
    <t>[0, 119, 208, 297, 386, 475]</t>
  </si>
  <si>
    <t>2004/02/22</t>
  </si>
  <si>
    <t>1.3.6.1.4.1.14519.5.2.1.325941341821761939292775946435057934923</t>
  </si>
  <si>
    <t>ISPY2_233191</t>
  </si>
  <si>
    <t>[0, 171, 259, 346, 433, 520]</t>
  </si>
  <si>
    <t>2001/07/07</t>
  </si>
  <si>
    <t>1.3.6.1.4.1.14519.5.2.1.7695.4164.325210015330961883241147923248</t>
  </si>
  <si>
    <t>ISPY2_233832</t>
  </si>
  <si>
    <t>[0, 151, 236, 321, 406, 490]</t>
  </si>
  <si>
    <t>2000/04/06</t>
  </si>
  <si>
    <t>1.3.6.1.4.1.14519.5.2.1.170696537392999808097860497589962293187</t>
  </si>
  <si>
    <t>ISPY2_233962</t>
  </si>
  <si>
    <t>[0, 365, 445, 525, 605, 685]</t>
  </si>
  <si>
    <t>2000/03/24</t>
  </si>
  <si>
    <t>1.3.6.1.4.1.14519.5.2.1.279557116151216879641259685245601406454</t>
  </si>
  <si>
    <t>ISPY2_234272</t>
  </si>
  <si>
    <t>[0, 105, 184, 263, 341, 420]</t>
  </si>
  <si>
    <t>2000/04/09</t>
  </si>
  <si>
    <t>1.3.6.1.4.1.14519.5.2.1.296806481217374994314489082138021339151</t>
  </si>
  <si>
    <t>ISPY2_234723</t>
  </si>
  <si>
    <t>[0.6640625, 0.6640625]</t>
  </si>
  <si>
    <t>[0, 130, 215, 299, 384, 468]</t>
  </si>
  <si>
    <t>2000/11/01</t>
  </si>
  <si>
    <t>1.3.6.1.4.1.14519.5.2.1.7695.4164.562989515743138735228332926108</t>
  </si>
  <si>
    <t>ISPY2_235995</t>
  </si>
  <si>
    <t>[0, 125, 222, 319, 416, 513]</t>
  </si>
  <si>
    <t>1.3.6.1.4.1.14519.5.2.1.158630533706488988752464358540266516409</t>
  </si>
  <si>
    <t>ISPY2_236470</t>
  </si>
  <si>
    <t>[0, 138, 233, 327, 423, 519]</t>
  </si>
  <si>
    <t>2003/10/24</t>
  </si>
  <si>
    <t>1.3.6.1.4.1.14519.5.2.1.38002313482119119525445016457127180773</t>
  </si>
  <si>
    <t>ISPY2_237158</t>
  </si>
  <si>
    <t>[0, 121, 221, 301, 401, 481]</t>
  </si>
  <si>
    <t>2002/04/05</t>
  </si>
  <si>
    <t>1.3.6.1.4.1.14519.5.2.1.7695.4164.197482031516561253324482987115</t>
  </si>
  <si>
    <t>ISPY2_238790</t>
  </si>
  <si>
    <t>Espree</t>
  </si>
  <si>
    <t>[0, 281, 375, 469, 563, 656]</t>
  </si>
  <si>
    <t>2000/09/06</t>
  </si>
  <si>
    <t>1.3.6.1.4.1.14519.5.2.1.89831797530021137703278211238675496946</t>
  </si>
  <si>
    <t>ISPY2_239061</t>
  </si>
  <si>
    <t>[0, 196, 392, 588, 784, 980]</t>
  </si>
  <si>
    <t>2001/02/18</t>
  </si>
  <si>
    <t>1.3.6.1.4.1.14519.5.2.1.72011184624700888321512279668274167531</t>
  </si>
  <si>
    <t>ISPY2_239910</t>
  </si>
  <si>
    <t>[0, 96, 192, 287, 383, 479]</t>
  </si>
  <si>
    <t>1.3.6.1.4.1.14519.5.2.1.7695.4164.918658561352818003077124745148</t>
  </si>
  <si>
    <t>ISPY2_240035</t>
  </si>
  <si>
    <t>[0, 143, 237, 332, 426, 521]</t>
  </si>
  <si>
    <t>2003/06/20</t>
  </si>
  <si>
    <t>1.3.6.1.4.1.14519.5.2.1.94155324268556595817837760667759068570</t>
  </si>
  <si>
    <t>ISPY2_240432</t>
  </si>
  <si>
    <t>[0, 123, 213, 302, 391, 481]</t>
  </si>
  <si>
    <t>2003/09/28</t>
  </si>
  <si>
    <t>1.3.6.1.4.1.14519.5.2.1.68193932137428536415114195272588849765</t>
  </si>
  <si>
    <t>ISPY2_240957</t>
  </si>
  <si>
    <t>[0, 190, 277, 364, 451, 538]</t>
  </si>
  <si>
    <t>1.3.6.1.4.1.14519.5.2.1.7695.4164.155101158549656099570087896270</t>
  </si>
  <si>
    <t>ISPY2_241705</t>
  </si>
  <si>
    <t>[0, 151, 238, 326, 414, 502]</t>
  </si>
  <si>
    <t>2002/02/15</t>
  </si>
  <si>
    <t>1.3.6.1.4.1.14519.5.2.1.272100287489567560612362647142888133001</t>
  </si>
  <si>
    <t>ISPY2_241998</t>
  </si>
  <si>
    <t>[0, 211, 291, 371, 451, 531]</t>
  </si>
  <si>
    <t>2003/01/25</t>
  </si>
  <si>
    <t>1.3.6.1.4.1.14519.5.2.1.7695.4164.193951623494132900601880386825</t>
  </si>
  <si>
    <t>ISPY2_242370</t>
  </si>
  <si>
    <t>[0, 114, 204, 293, 382, 472]</t>
  </si>
  <si>
    <t>2004/05/14</t>
  </si>
  <si>
    <t>1.3.6.1.4.1.14519.5.2.1.49376630704757265447308336397913070598</t>
  </si>
  <si>
    <t>ISPY2_243836</t>
  </si>
  <si>
    <t>[0, 118, 207, 297, 386, 476]</t>
  </si>
  <si>
    <t>2000/08/31</t>
  </si>
  <si>
    <t>1.3.6.1.4.1.14519.5.2.1.139323496287362058886678939529662496912</t>
  </si>
  <si>
    <t>ISPY2_245655</t>
  </si>
  <si>
    <t>[0, 90, 179, 269, 359, 448]</t>
  </si>
  <si>
    <t>1999/06/17</t>
  </si>
  <si>
    <t>1.3.6.1.4.1.14519.5.2.1.319546325190628899355773765370552025199</t>
  </si>
  <si>
    <t>ISPY2_246134</t>
  </si>
  <si>
    <t>[0.5625, 0.5625]</t>
  </si>
  <si>
    <t>1999/06/20</t>
  </si>
  <si>
    <t>1.3.6.1.4.1.14519.5.2.1.100015594689512253703687513220581252948</t>
  </si>
  <si>
    <t>ISPY2_247641</t>
  </si>
  <si>
    <t>[0, 106, 193, 281, 368, 456]</t>
  </si>
  <si>
    <t>2004/06/10</t>
  </si>
  <si>
    <t>1.3.6.1.4.1.14519.5.2.1.256565308698581241727343115936049122121</t>
  </si>
  <si>
    <t>ISPY2_248255</t>
  </si>
  <si>
    <t>2000/11/23</t>
  </si>
  <si>
    <t>1.3.6.1.4.1.14519.5.2.1.183004438473667010394719377399905264160</t>
  </si>
  <si>
    <t>ISPY2_250274</t>
  </si>
  <si>
    <t>[0, 168, 257, 345, 434, 522]</t>
  </si>
  <si>
    <t>2003/05/04</t>
  </si>
  <si>
    <t>1.3.6.1.4.1.14519.5.2.1.327422253005954841341301512411360125745</t>
  </si>
  <si>
    <t>ISPY2_252748</t>
  </si>
  <si>
    <t>2002/04/17</t>
  </si>
  <si>
    <t>1.3.6.1.4.1.14519.5.2.1.41701308857769054534580969285734910457</t>
  </si>
  <si>
    <t>ISPY2_253531</t>
  </si>
  <si>
    <t>[0, 120, 217, 308, 399, 491]</t>
  </si>
  <si>
    <t>2001/07/26</t>
  </si>
  <si>
    <t>1.3.6.1.4.1.14519.5.2.1.7695.4164.533479359043660238882324348900</t>
  </si>
  <si>
    <t>ISPY2_254060</t>
  </si>
  <si>
    <t>[0, 122, 211, 300, 389, 478]</t>
  </si>
  <si>
    <t>1.3.6.1.4.1.14519.5.2.1.154530068487479543712315022999411617792</t>
  </si>
  <si>
    <t>ISPY2_254273</t>
  </si>
  <si>
    <t>[0.9895833333, 0.9895833333]</t>
  </si>
  <si>
    <t>2003/04/04</t>
  </si>
  <si>
    <t>1.3.6.1.4.1.14519.5.2.1.177131393863862155068950635364734247579</t>
  </si>
  <si>
    <t>ISPY2_255078</t>
  </si>
  <si>
    <t>[1.1197916667, 1.1197916667]</t>
  </si>
  <si>
    <t>1999/09/17</t>
  </si>
  <si>
    <t>1.3.6.1.4.1.14519.5.2.1.114836018008030687442664276094717858326</t>
  </si>
  <si>
    <t>ISPY2_255388</t>
  </si>
  <si>
    <t>[0, 121, 211, 301, 391, 481]</t>
  </si>
  <si>
    <t>1.3.6.1.4.1.14519.5.2.1.7695.4164.278310979549386378841590201385</t>
  </si>
  <si>
    <t>ISPY2_255535</t>
  </si>
  <si>
    <t>[0, 155, 254, 353, 452, 551]</t>
  </si>
  <si>
    <t>2000/04/29</t>
  </si>
  <si>
    <t>1.3.6.1.4.1.14519.5.2.1.102040096600934225814379437682833673167</t>
  </si>
  <si>
    <t>ISPY2_255577</t>
  </si>
  <si>
    <t>[0, 192, 279, 366, 453, 541]</t>
  </si>
  <si>
    <t>2004/03/25</t>
  </si>
  <si>
    <t>1.3.6.1.4.1.14519.5.2.1.335657747212236598944632955770826741495</t>
  </si>
  <si>
    <t>ISPY2_257735</t>
  </si>
  <si>
    <t>[0, 115, 198, 280, 362, 444]</t>
  </si>
  <si>
    <t>2004/03/24</t>
  </si>
  <si>
    <t>1.3.6.1.4.1.14519.5.2.1.200833672885998699596550436632464456729</t>
  </si>
  <si>
    <t>ISPY2_259206</t>
  </si>
  <si>
    <t>[0, 150, 300, 450, 600, 750]</t>
  </si>
  <si>
    <t>1999/07/31</t>
  </si>
  <si>
    <t>1.3.6.1.4.1.14519.5.2.1.195287797962266216247458624550147534392</t>
  </si>
  <si>
    <t>ISPY2_259899</t>
  </si>
  <si>
    <t>[0, 149, 233, 317, 401, 485]</t>
  </si>
  <si>
    <t>2001/11/18</t>
  </si>
  <si>
    <t>1.3.6.1.4.1.14519.5.2.1.192528528516871877837004706027836054174</t>
  </si>
  <si>
    <t>ISPY2_261304</t>
  </si>
  <si>
    <t>[0, 153, 243, 333, 422, 512]</t>
  </si>
  <si>
    <t>2002/11/29</t>
  </si>
  <si>
    <t>1.3.6.1.4.1.14519.5.2.1.80535454032807597490916964106243612513</t>
  </si>
  <si>
    <t>ISPY2_262131</t>
  </si>
  <si>
    <t>[0, 97, 194, 292, 389, 487]</t>
  </si>
  <si>
    <t>1999/02/13</t>
  </si>
  <si>
    <t>1.3.6.1.4.1.14519.5.2.1.143032811104968839301469525269478391678</t>
  </si>
  <si>
    <t>ISPY2_263143</t>
  </si>
  <si>
    <t>[0, 108, 197, 286, 375, 465]</t>
  </si>
  <si>
    <t>2001/08/05</t>
  </si>
  <si>
    <t>1.3.6.1.4.1.14519.5.2.1.7695.4164.883801443439731448993777573540</t>
  </si>
  <si>
    <t>ISPY2_264305</t>
  </si>
  <si>
    <t>[0, 86, 172, 258, 344, 430]</t>
  </si>
  <si>
    <t>2002/06/09</t>
  </si>
  <si>
    <t>1.3.6.1.4.1.14519.5.2.1.7695.4164.207340260797595037306857607847</t>
  </si>
  <si>
    <t>ISPY2_264678</t>
  </si>
  <si>
    <t>1.3.6.1.4.1.14519.5.2.1.142161550792337348688444217243415215088</t>
  </si>
  <si>
    <t>ISPY2_266509</t>
  </si>
  <si>
    <t>[0, 138, 228, 319, 410, 501]</t>
  </si>
  <si>
    <t>2001/06/09</t>
  </si>
  <si>
    <t>1.3.6.1.4.1.14519.5.2.1.301813528348888105858521911924405481990</t>
  </si>
  <si>
    <t>ISPY2_266840</t>
  </si>
  <si>
    <t>[0, 166, 253, 340, 427, 514]</t>
  </si>
  <si>
    <t>1.3.6.1.4.1.14519.5.2.1.7695.4164.133254957885223214707797934655</t>
  </si>
  <si>
    <t>ISPY2_267306</t>
  </si>
  <si>
    <t>[0, 198, 392, 594, 792, 990]</t>
  </si>
  <si>
    <t>2000/02/24</t>
  </si>
  <si>
    <t>1.3.6.1.4.1.14519.5.2.1.99368191815658081336206147079097241478</t>
  </si>
  <si>
    <t>ISPY2_268937</t>
  </si>
  <si>
    <t>[0, 82, 163, 245, 326, 408]</t>
  </si>
  <si>
    <t>2003/08/15</t>
  </si>
  <si>
    <t>1.3.6.1.4.1.14519.5.2.1.79207405040245911600992579964781549368</t>
  </si>
  <si>
    <t>ISPY2_269899</t>
  </si>
  <si>
    <t>[0.8203, 0.8203]</t>
  </si>
  <si>
    <t>[0, 96, 192, 288, 384, 481]</t>
  </si>
  <si>
    <t>2002/12/17</t>
  </si>
  <si>
    <t>1.3.6.1.4.1.14519.5.2.1.7695.4164.271233500273350909336693600568</t>
  </si>
  <si>
    <t>ISPY2_273691</t>
  </si>
  <si>
    <t>[0, 201, 288, 375, 462, 549]</t>
  </si>
  <si>
    <t>2003/04/26</t>
  </si>
  <si>
    <t>1.3.6.1.4.1.14519.5.2.1.66262997634858533708531074381390367576</t>
  </si>
  <si>
    <t>ISPY2_273745</t>
  </si>
  <si>
    <t>2000/07/20</t>
  </si>
  <si>
    <t>1.3.6.1.4.1.14519.5.2.1.34733072392370999790110723942896329083</t>
  </si>
  <si>
    <t>ISPY2_275034</t>
  </si>
  <si>
    <t>[0.3125, 0.3125]</t>
  </si>
  <si>
    <t>[0, 140, 221, 321, 401, 501]</t>
  </si>
  <si>
    <t>2001/11/21</t>
  </si>
  <si>
    <t>1.3.6.1.4.1.14519.5.2.1.7695.4164.149333167059851501337134946201</t>
  </si>
  <si>
    <t>ISPY2_275626</t>
  </si>
  <si>
    <t>[0, 169, 257, 344, 431, 518]</t>
  </si>
  <si>
    <t>2001/09/29</t>
  </si>
  <si>
    <t>1.3.6.1.4.1.14519.5.2.1.7695.4164.107579123656593941532235259832</t>
  </si>
  <si>
    <t>ISPY2_277848</t>
  </si>
  <si>
    <t>[0, 190, 278, 365, 452, 540]</t>
  </si>
  <si>
    <t>2000/10/21</t>
  </si>
  <si>
    <t>1.3.6.1.4.1.14519.5.2.1.48080195126175134095100593904053126243</t>
  </si>
  <si>
    <t>ISPY2_277888</t>
  </si>
  <si>
    <t>2003/03/15</t>
  </si>
  <si>
    <t>1.3.6.1.4.1.14519.5.2.1.7695.4164.150530781931218022048117293572</t>
  </si>
  <si>
    <t>ISPY2_279902</t>
  </si>
  <si>
    <t>[0, 129, 218, 307, 396, 486]</t>
  </si>
  <si>
    <t>2003/08/14</t>
  </si>
  <si>
    <t>1.3.6.1.4.1.14519.5.2.1.123498615923909961944855997512922471929</t>
  </si>
  <si>
    <t>ISPY2_280375</t>
  </si>
  <si>
    <t>[0, 117, 207, 296, 385, 474]</t>
  </si>
  <si>
    <t>2002/03/24</t>
  </si>
  <si>
    <t>1.3.6.1.4.1.14519.5.2.1.7695.4164.298772494776852199891113614158</t>
  </si>
  <si>
    <t>ISPY2_282082</t>
  </si>
  <si>
    <t>[0, 129, 221, 315, 407, 499]</t>
  </si>
  <si>
    <t>2000/06/30</t>
  </si>
  <si>
    <t>1.3.6.1.4.1.14519.5.2.1.271340182115595119604532948322660487089</t>
  </si>
  <si>
    <t>ISPY2_282644</t>
  </si>
  <si>
    <t>[0, 137, 239, 340, 441, 543]</t>
  </si>
  <si>
    <t>1999/04/04</t>
  </si>
  <si>
    <t>1.3.6.1.4.1.14519.5.2.1.189883910987408112029655952376736200708</t>
  </si>
  <si>
    <t>ISPY2_282777</t>
  </si>
  <si>
    <t>[0.8413461447, 0.8413461447]</t>
  </si>
  <si>
    <t>[0, 128, 217, 306, 395, 485]</t>
  </si>
  <si>
    <t>2003/05/16</t>
  </si>
  <si>
    <t>1.3.6.1.4.1.14519.5.2.1.245146841282864949673567885628552941898</t>
  </si>
  <si>
    <t>ISPY2_283070</t>
  </si>
  <si>
    <t>[0, 120, 210, 301, 391, 481]</t>
  </si>
  <si>
    <t>2001/05/02</t>
  </si>
  <si>
    <t>1.3.6.1.4.1.14519.5.2.1.7695.4164.175494493675700534901079380155</t>
  </si>
  <si>
    <t>ISPY2_284355</t>
  </si>
  <si>
    <t>1999/12/17</t>
  </si>
  <si>
    <t>1.3.6.1.4.1.14519.5.2.1.220325240122514604831575564391071032379</t>
  </si>
  <si>
    <t>ISPY2_284443</t>
  </si>
  <si>
    <t>[0, 204, 291, 378, 465, 552]</t>
  </si>
  <si>
    <t>2001/07/14</t>
  </si>
  <si>
    <t>1.3.6.1.4.1.14519.5.2.1.7695.4164.297700313996930496623002501230</t>
  </si>
  <si>
    <t>ISPY2_284593</t>
  </si>
  <si>
    <t>[0, 119, 224, 330, 436, 541]</t>
  </si>
  <si>
    <t>2000/11/25</t>
  </si>
  <si>
    <t>1.3.6.1.4.1.14519.5.2.1.7695.4164.288490298677974565139491976179</t>
  </si>
  <si>
    <t>ISPY2_285339</t>
  </si>
  <si>
    <t>[0.6666666865, 0.6666666865]</t>
  </si>
  <si>
    <t>[0, 123, 209, 294, 378, 463]</t>
  </si>
  <si>
    <t>2002/07/20</t>
  </si>
  <si>
    <t>1.3.6.1.4.1.14519.5.2.1.7695.4164.690046647217346227195198136806</t>
  </si>
  <si>
    <t>ISPY2_286984</t>
  </si>
  <si>
    <t>[0, 134, 233, 333, 433, 533]</t>
  </si>
  <si>
    <t>2001/01/11</t>
  </si>
  <si>
    <t>1.3.6.1.4.1.14519.5.2.1.155621901008094700075610055952920570868</t>
  </si>
  <si>
    <t>ISPY2_287300</t>
  </si>
  <si>
    <t>[0, 293, 397, 501, 607, 711]</t>
  </si>
  <si>
    <t>1999/03/20</t>
  </si>
  <si>
    <t>1.3.6.1.4.1.14519.5.2.1.66391698173224115806026241877533534332</t>
  </si>
  <si>
    <t>ISPY2_287961</t>
  </si>
  <si>
    <t>2002/06/14</t>
  </si>
  <si>
    <t>1.3.6.1.4.1.14519.5.2.1.7695.4164.200663038968967427579175901551</t>
  </si>
  <si>
    <t>ISPY2_289107</t>
  </si>
  <si>
    <t>[0, 97, 193, 289, 386, 483]</t>
  </si>
  <si>
    <t>2004/05/24</t>
  </si>
  <si>
    <t>1.3.6.1.4.1.14519.5.2.1.335832672611031362096386404053438954924</t>
  </si>
  <si>
    <t>ISPY2_289420</t>
  </si>
  <si>
    <t>[0, 212, 299, 386, 473, 561]</t>
  </si>
  <si>
    <t>2001/05/10</t>
  </si>
  <si>
    <t>1.3.6.1.4.1.14519.5.2.1.7695.4164.169452768743743139538752367480</t>
  </si>
  <si>
    <t>ISPY2_290413</t>
  </si>
  <si>
    <t>[0, 144, 224, 304, 384, 464]</t>
  </si>
  <si>
    <t>2001/12/27</t>
  </si>
  <si>
    <t>1.3.6.1.4.1.14519.5.2.1.100452425741100080366779934343547691209</t>
  </si>
  <si>
    <t>ISPY2_291515</t>
  </si>
  <si>
    <t>[0, 212, 299, 386, 473, 560]</t>
  </si>
  <si>
    <t>1.3.6.1.4.1.14519.5.2.1.317965017799416494393893721729281005810</t>
  </si>
  <si>
    <t>ISPY2_293142</t>
  </si>
  <si>
    <t>[0, 105, 200, 295, 390, 485]</t>
  </si>
  <si>
    <t>1.3.6.1.4.1.14519.5.2.1.7695.4164.250755115409336616834403407239</t>
  </si>
  <si>
    <t>ISPY2_294176</t>
  </si>
  <si>
    <t>AAM</t>
  </si>
  <si>
    <t>[0, 186, 279, 372, 466, 559]</t>
  </si>
  <si>
    <t>1999/07/08</t>
  </si>
  <si>
    <t>1.3.6.1.4.1.14519.5.2.1.145122293583181139745884360749507705440</t>
  </si>
  <si>
    <t>ISPY2_294265</t>
  </si>
  <si>
    <t>[0, 132, 223, 315, 407, 499]</t>
  </si>
  <si>
    <t>2001/10/07</t>
  </si>
  <si>
    <t>1.3.6.1.4.1.14519.5.2.1.43328805307454311051238886975307004550</t>
  </si>
  <si>
    <t>ISPY2_294739</t>
  </si>
  <si>
    <t>[0, 84, 165, 253, 338, 422]</t>
  </si>
  <si>
    <t>2002/06/01</t>
  </si>
  <si>
    <t>1.3.6.1.4.1.14519.5.2.1.7695.4164.101105106390848640283746052210</t>
  </si>
  <si>
    <t>ISPY2_296123</t>
  </si>
  <si>
    <t>1.3.6.1.4.1.14519.5.2.1.7695.4164.280207388387404804931256913831</t>
  </si>
  <si>
    <t>ISPY2_296841</t>
  </si>
  <si>
    <t>[0, 216, 303, 390, 477, 564]</t>
  </si>
  <si>
    <t>1.3.6.1.4.1.14519.5.2.1.7695.4164.200025923955749298030209603928</t>
  </si>
  <si>
    <t>ISPY2_298101</t>
  </si>
  <si>
    <t>[0, 123, 221, 319, 418, 516]</t>
  </si>
  <si>
    <t>2001/03/24</t>
  </si>
  <si>
    <t>1.3.6.1.4.1.14519.5.2.1.7695.4164.198796091285951938226958705186</t>
  </si>
  <si>
    <t>ISPY2_299364</t>
  </si>
  <si>
    <t>[0, 85, 170, 255, 340, 425]</t>
  </si>
  <si>
    <t>1999/02/19</t>
  </si>
  <si>
    <t>1.3.6.1.4.1.14519.5.2.1.235223780095455136277143324399912627331</t>
  </si>
  <si>
    <t>ISPY2_299840</t>
  </si>
  <si>
    <t>[0.6071428657, 0.6071428657]</t>
  </si>
  <si>
    <t>[0, 135, 217, 299, 382, 464]</t>
  </si>
  <si>
    <t>1.3.6.1.4.1.14519.5.2.1.336588218437357500532574171175246879227</t>
  </si>
  <si>
    <t>ISPY2_299962</t>
  </si>
  <si>
    <t>[0, 110, 206, 302, 398, 494]</t>
  </si>
  <si>
    <t>2001/12/13</t>
  </si>
  <si>
    <t>1.3.6.1.4.1.14519.5.2.1.7695.4164.591050770227067469937641737449</t>
  </si>
  <si>
    <t>ISPY2_300724</t>
  </si>
  <si>
    <t>[0, 116, 204, 292, 381, 469]</t>
  </si>
  <si>
    <t>1.3.6.1.4.1.14519.5.2.1.89896180708345529331628668398974415912</t>
  </si>
  <si>
    <t>ISPY2_301289</t>
  </si>
  <si>
    <t>[0, 205, 294, 383, 472, 561]</t>
  </si>
  <si>
    <t>2004/05/15</t>
  </si>
  <si>
    <t>1.3.6.1.4.1.14519.5.2.1.92540787121846704280709057155381389258</t>
  </si>
  <si>
    <t>ISPY2_301665</t>
  </si>
  <si>
    <t>[0, 234, 320, 407, 494, 581]</t>
  </si>
  <si>
    <t>2001/09/01</t>
  </si>
  <si>
    <t>1.3.6.1.4.1.14519.5.2.1.7695.4164.256283963468243721789784213551</t>
  </si>
  <si>
    <t>ISPY2_301968</t>
  </si>
  <si>
    <t>[0, 100, 200, 300, 400, 501]</t>
  </si>
  <si>
    <t>2001/07/15</t>
  </si>
  <si>
    <t>1.3.6.1.4.1.14519.5.2.1.221052745566385950504516428673536939160</t>
  </si>
  <si>
    <t>ISPY2_303685</t>
  </si>
  <si>
    <t>2004/11/06</t>
  </si>
  <si>
    <t>1.3.6.1.4.1.14519.5.2.1.208631912535030735509956546033605202049</t>
  </si>
  <si>
    <t>ISPY2_303947</t>
  </si>
  <si>
    <t>[0, 125, 218, 311, 403, 497]</t>
  </si>
  <si>
    <t>2000/07/19</t>
  </si>
  <si>
    <t>1.3.6.1.4.1.14519.5.2.1.18729338740173258470800001439248738351</t>
  </si>
  <si>
    <t>ISPY2_306127</t>
  </si>
  <si>
    <t>[0, 128, 226, 324, 422, 520]</t>
  </si>
  <si>
    <t>2000/06/01</t>
  </si>
  <si>
    <t>1.3.6.1.4.1.14519.5.2.1.34584235978756787533447377851912107249</t>
  </si>
  <si>
    <t>ISPY2_306401</t>
  </si>
  <si>
    <t>[0, 186, 273, 360, 447, 534]</t>
  </si>
  <si>
    <t>2002/04/20</t>
  </si>
  <si>
    <t>1.3.6.1.4.1.14519.5.2.1.7695.4164.212765024930041226456970584426</t>
  </si>
  <si>
    <t>ISPY2_307659</t>
  </si>
  <si>
    <t>1999/06/11</t>
  </si>
  <si>
    <t>1.3.6.1.4.1.14519.5.2.1.121790105286775256543908472503183759427</t>
  </si>
  <si>
    <t>ISPY2_309830</t>
  </si>
  <si>
    <t>2001/08/22</t>
  </si>
  <si>
    <t>1.3.6.1.4.1.14519.5.2.1.190869070486033174085600178754834163549</t>
  </si>
  <si>
    <t>ISPY2_311316</t>
  </si>
  <si>
    <t>[0, 250, 335, 420, 505, 590]</t>
  </si>
  <si>
    <t>2003/07/31</t>
  </si>
  <si>
    <t>1.3.6.1.4.1.14519.5.2.1.263437880822946121185492513638981961163</t>
  </si>
  <si>
    <t>ISPY2_311455</t>
  </si>
  <si>
    <t>[0, 183, 270, 357, 444, 531]</t>
  </si>
  <si>
    <t>2004/01/15</t>
  </si>
  <si>
    <t>1.3.6.1.4.1.14519.5.2.1.99939783261857582280427892181582289127</t>
  </si>
  <si>
    <t>ISPY2_313243</t>
  </si>
  <si>
    <t>[0, 97, 181, 264, 348, 431]</t>
  </si>
  <si>
    <t>2003/05/08</t>
  </si>
  <si>
    <t>1.3.6.1.4.1.14519.5.2.1.244894909682009228110680328511546227359</t>
  </si>
  <si>
    <t>ISPY2_313672</t>
  </si>
  <si>
    <t>[0, 116, 204, 292, 380, 468]</t>
  </si>
  <si>
    <t>2003/08/20</t>
  </si>
  <si>
    <t>1.3.6.1.4.1.14519.5.2.1.12949249504558608898380355129113056975</t>
  </si>
  <si>
    <t>ISPY2_316996</t>
  </si>
  <si>
    <t>[0, 165, 253, 340, 428, 515]</t>
  </si>
  <si>
    <t>2000/07/15</t>
  </si>
  <si>
    <t>1.3.6.1.4.1.14519.5.2.1.53369617688574737467232631919916896925</t>
  </si>
  <si>
    <t>ISPY2_317131</t>
  </si>
  <si>
    <t>[0, 150, 251, 351, 452, 552]</t>
  </si>
  <si>
    <t>1.3.6.1.4.1.14519.5.2.1.98145409012112036045922517677307172065</t>
  </si>
  <si>
    <t>ISPY2_317402</t>
  </si>
  <si>
    <t>[0, 277, 368, 460, 552, 643]</t>
  </si>
  <si>
    <t>2001/06/21</t>
  </si>
  <si>
    <t>1.3.6.1.4.1.14519.5.2.1.7695.4164.288786643504008828952561687674</t>
  </si>
  <si>
    <t>ISPY2_317641</t>
  </si>
  <si>
    <t>[0, 171, 258, 345, 432, 519]</t>
  </si>
  <si>
    <t>2001/10/11</t>
  </si>
  <si>
    <t>1.3.6.1.4.1.14519.5.2.1.7695.4164.280752383618911064826232220719</t>
  </si>
  <si>
    <t>ISPY2_318293</t>
  </si>
  <si>
    <t>[0, 144, 227, 310, 394, 477]</t>
  </si>
  <si>
    <t>2001/09/02</t>
  </si>
  <si>
    <t>1.3.6.1.4.1.14519.5.2.1.23865897575019646530761009205506683366</t>
  </si>
  <si>
    <t>ISPY2_318407</t>
  </si>
  <si>
    <t>2003/02/12</t>
  </si>
  <si>
    <t>1.3.6.1.4.1.14519.5.2.1.20159332320686954313924627763788332660</t>
  </si>
  <si>
    <t>ISPY2_318438</t>
  </si>
  <si>
    <t>[0, 113, 204, 296, 386, 477]</t>
  </si>
  <si>
    <t>1.3.6.1.4.1.14519.5.2.1.266973880746991943328047199619569971039</t>
  </si>
  <si>
    <t>ISPY2_318569</t>
  </si>
  <si>
    <t>[0, 112, 204, 296, 387, 479]</t>
  </si>
  <si>
    <t>2000/08/09</t>
  </si>
  <si>
    <t>1.3.6.1.4.1.14519.5.2.1.60354668189747588106418000449111244073</t>
  </si>
  <si>
    <t>ISPY2_319324</t>
  </si>
  <si>
    <t>[0, 129, 228, 327, 426, 526]</t>
  </si>
  <si>
    <t>2002/04/03</t>
  </si>
  <si>
    <t>1.3.6.1.4.1.14519.5.2.1.22223411788779184823077754645032261863</t>
  </si>
  <si>
    <t>ISPY2_320538</t>
  </si>
  <si>
    <t>[0, 150, 240, 329, 418, 508]</t>
  </si>
  <si>
    <t>2002/09/13</t>
  </si>
  <si>
    <t>1.3.6.1.4.1.14519.5.2.1.7695.4164.241373624311246533907275413842</t>
  </si>
  <si>
    <t>ISPY2_323721</t>
  </si>
  <si>
    <t>[0, 118, 208, 298, 388, 479]</t>
  </si>
  <si>
    <t>2002/01/25</t>
  </si>
  <si>
    <t>1.3.6.1.4.1.14519.5.2.1.7695.4164.205711639349886597460296864641</t>
  </si>
  <si>
    <t>ISPY2_324021</t>
  </si>
  <si>
    <t>2003/04/27</t>
  </si>
  <si>
    <t>1.3.6.1.4.1.14519.5.2.1.309421978283820229253894158374159744884</t>
  </si>
  <si>
    <t>ISPY2_326202</t>
  </si>
  <si>
    <t>[0, 112, 208, 304, 400, 496]</t>
  </si>
  <si>
    <t>2004/09/29</t>
  </si>
  <si>
    <t>1.3.6.1.4.1.14519.5.2.1.332195371490273040816795867009194516081</t>
  </si>
  <si>
    <t>ISPY2_326433</t>
  </si>
  <si>
    <t>[0, 119, 210, 300, 390, 480]</t>
  </si>
  <si>
    <t>2001/08/10</t>
  </si>
  <si>
    <t>1.3.6.1.4.1.14519.5.2.1.7695.4164.116442512448630801565036061571</t>
  </si>
  <si>
    <t>ISPY2_327133</t>
  </si>
  <si>
    <t>[0, 90, 179, 269, 358, 448]</t>
  </si>
  <si>
    <t>2000/04/30</t>
  </si>
  <si>
    <t>1.3.6.1.4.1.14519.5.2.1.295193073293939337272720145215637765186</t>
  </si>
  <si>
    <t>ISPY2_327142</t>
  </si>
  <si>
    <t>[0, 174, 268, 361, 455, 549]</t>
  </si>
  <si>
    <t>1999/10/24</t>
  </si>
  <si>
    <t>1.3.6.1.4.1.14519.5.2.1.246091930980177130225577361590074136142</t>
  </si>
  <si>
    <t>ISPY2_327917</t>
  </si>
  <si>
    <t>[0, 181, 270, 359, 448, 537]</t>
  </si>
  <si>
    <t>2003/02/28</t>
  </si>
  <si>
    <t>1.3.6.1.4.1.14519.5.2.1.251579623142640064919063341914632201306</t>
  </si>
  <si>
    <t>ISPY2_328160</t>
  </si>
  <si>
    <t>[0, 163, 250, 337, 424, 511]</t>
  </si>
  <si>
    <t>2002/09/19</t>
  </si>
  <si>
    <t>1.3.6.1.4.1.14519.5.2.1.7695.4164.772572489039567796767864622224</t>
  </si>
  <si>
    <t>ISPY2_329076</t>
  </si>
  <si>
    <t>[0, 192, 279, 366, 454, 542]</t>
  </si>
  <si>
    <t>2002/05/02</t>
  </si>
  <si>
    <t>1.3.6.1.4.1.14519.5.2.1.7695.4164.825881704106129374552967618104</t>
  </si>
  <si>
    <t>ISPY2_329941</t>
  </si>
  <si>
    <t>[0, 111, 198, 286, 373, 460]</t>
  </si>
  <si>
    <t>2002/11/16</t>
  </si>
  <si>
    <t>1.3.6.1.4.1.14519.5.2.1.313803027502338454200466553068301862447</t>
  </si>
  <si>
    <t>ISPY2_330134</t>
  </si>
  <si>
    <t>[0, 125, 223, 322, 420, 518]</t>
  </si>
  <si>
    <t>2001/05/13</t>
  </si>
  <si>
    <t>1.3.6.1.4.1.14519.5.2.1.136774370136183184732583911125851799089</t>
  </si>
  <si>
    <t>ISPY2_331192</t>
  </si>
  <si>
    <t>[0, 145, 236, 326, 417, 508]</t>
  </si>
  <si>
    <t>1.3.6.1.4.1.14519.5.2.1.161416272425138331735928861220106141273</t>
  </si>
  <si>
    <t>ISPY2_332655</t>
  </si>
  <si>
    <t>[0, 143, 223, 303, 383, 463]</t>
  </si>
  <si>
    <t>2001/06/24</t>
  </si>
  <si>
    <t>1.3.6.1.4.1.14519.5.2.1.64341011248749827825165404981513448918</t>
  </si>
  <si>
    <t>ISPY2_333145</t>
  </si>
  <si>
    <t>[0, 154, 252, 350, 448, 546]</t>
  </si>
  <si>
    <t>2004/11/04</t>
  </si>
  <si>
    <t>1.3.6.1.4.1.14519.5.2.1.323353133596446817883724245472903381351</t>
  </si>
  <si>
    <t>ISPY2_335091</t>
  </si>
  <si>
    <t>[0.546875, 0.546875]</t>
  </si>
  <si>
    <t>1999/12/15</t>
  </si>
  <si>
    <t>1.3.6.1.4.1.14519.5.2.1.171279247217573447284951267332979124353</t>
  </si>
  <si>
    <t>ISPY2_335536</t>
  </si>
  <si>
    <t>[0, 111, 200, 290, 379, 468]</t>
  </si>
  <si>
    <t>2002/04/27</t>
  </si>
  <si>
    <t>1.3.6.1.4.1.14519.5.2.1.7695.4164.452894772534001963515718104729</t>
  </si>
  <si>
    <t>ISPY2_340186</t>
  </si>
  <si>
    <t>[0.6640999913, 0.6640999913]</t>
  </si>
  <si>
    <t>1.3.6.1.4.1.14519.5.2.1.195225507921324647162454900290938045608</t>
  </si>
  <si>
    <t>ISPY2_341238</t>
  </si>
  <si>
    <t>[0, 120, 199, 279, 359, 439]</t>
  </si>
  <si>
    <t>2004/06/06</t>
  </si>
  <si>
    <t>1.3.6.1.4.1.14519.5.2.1.285267550384097565821909394311213547729</t>
  </si>
  <si>
    <t>ISPY2_342142</t>
  </si>
  <si>
    <t>[0, 105, 195, 284, 374, 463]</t>
  </si>
  <si>
    <t>2003/10/25</t>
  </si>
  <si>
    <t>1.3.6.1.4.1.14519.5.2.1.255683757590580283084733064094987348265</t>
  </si>
  <si>
    <t>ISPY2_342959</t>
  </si>
  <si>
    <t>1.3.6.1.4.1.14519.5.2.1.7695.4164.791276433379611004701387056229</t>
  </si>
  <si>
    <t>ISPY2_342996</t>
  </si>
  <si>
    <t>[0, 239, 326, 413, 500, 587]</t>
  </si>
  <si>
    <t>2003/06/19</t>
  </si>
  <si>
    <t>1.3.6.1.4.1.14519.5.2.1.179986531459954124953018663743232552277</t>
  </si>
  <si>
    <t>ISPY2_343898</t>
  </si>
  <si>
    <t>[0, 197, 283, 369, 454, 540]</t>
  </si>
  <si>
    <t>2001/09/09</t>
  </si>
  <si>
    <t>1.3.6.1.4.1.14519.5.2.1.7695.4164.252997802279442715427891525938</t>
  </si>
  <si>
    <t>ISPY2_345460</t>
  </si>
  <si>
    <t>[0, 146, 230, 314, 398, 481]</t>
  </si>
  <si>
    <t>2001/11/30</t>
  </si>
  <si>
    <t>1.3.6.1.4.1.14519.5.2.1.223024368751143117021889892309874330915</t>
  </si>
  <si>
    <t>ISPY2_345483</t>
  </si>
  <si>
    <t>[0, 148, 243, 339, 433, 529]</t>
  </si>
  <si>
    <t>1.3.6.1.4.1.14519.5.2.1.250326934873033528293897908926148851589</t>
  </si>
  <si>
    <t>ISPY2_345574</t>
  </si>
  <si>
    <t>[0, 239, 341, 443, 547, 650]</t>
  </si>
  <si>
    <t>1999/08/21</t>
  </si>
  <si>
    <t>1.3.6.1.4.1.14519.5.2.1.157197341458101631383049500863194297551</t>
  </si>
  <si>
    <t>ISPY2_345907</t>
  </si>
  <si>
    <t>[0, 200, 287, 374, 461, 548]</t>
  </si>
  <si>
    <t>2002/05/30</t>
  </si>
  <si>
    <t>1.3.6.1.4.1.14519.5.2.1.7695.4164.333388438786185612293952273158</t>
  </si>
  <si>
    <t>ISPY2_347516</t>
  </si>
  <si>
    <t>[0, 132, 220, 307, 394, 482]</t>
  </si>
  <si>
    <t>2004/07/09</t>
  </si>
  <si>
    <t>1.3.6.1.4.1.14519.5.2.1.314521084161090049804539545924883739912</t>
  </si>
  <si>
    <t>ISPY2_348009</t>
  </si>
  <si>
    <t>[0, 238, 339, 441, 542, 643]</t>
  </si>
  <si>
    <t>2000/07/08</t>
  </si>
  <si>
    <t>1.3.6.1.4.1.14519.5.2.1.197679258492902831084961860425198500070</t>
  </si>
  <si>
    <t>ISPY2_349225</t>
  </si>
  <si>
    <t>[0, 120, 212, 303, 395, 486]</t>
  </si>
  <si>
    <t>2000/08/16</t>
  </si>
  <si>
    <t>1.3.6.1.4.1.14519.5.2.1.171031866148326338602428316101235615360</t>
  </si>
  <si>
    <t>ISPY2_349330</t>
  </si>
  <si>
    <t>[0, 141, 239, 336, 434, 531]</t>
  </si>
  <si>
    <t>2001/04/27</t>
  </si>
  <si>
    <t>1.3.6.1.4.1.14519.5.2.1.4292551591967832081273466035304018362</t>
  </si>
  <si>
    <t>ISPY2_349639</t>
  </si>
  <si>
    <t>1999/06/03</t>
  </si>
  <si>
    <t>1.3.6.1.4.1.14519.5.2.1.45500998830950190379554929491193135166</t>
  </si>
  <si>
    <t>ISPY2_350331</t>
  </si>
  <si>
    <t>2000/08/27</t>
  </si>
  <si>
    <t>1.3.6.1.4.1.14519.5.2.1.260004679315112953742172480032630055473</t>
  </si>
  <si>
    <t>ISPY2_353318</t>
  </si>
  <si>
    <t>[0, 141, 239, 338, 436, 534]</t>
  </si>
  <si>
    <t>2003/11/23</t>
  </si>
  <si>
    <t>1.3.6.1.4.1.14519.5.2.1.186911888147048048744847112034924290191</t>
  </si>
  <si>
    <t>ISPY2_355292</t>
  </si>
  <si>
    <t>[0, 198, 287, 376, 465, 554]</t>
  </si>
  <si>
    <t>2003/06/12</t>
  </si>
  <si>
    <t>1.3.6.1.4.1.14519.5.2.1.290119416851206476377211539088837966666</t>
  </si>
  <si>
    <t>ISPY2_355942</t>
  </si>
  <si>
    <t>2002/08/30</t>
  </si>
  <si>
    <t>1.3.6.1.4.1.14519.5.2.1.7695.4164.272987065491820696304060429001</t>
  </si>
  <si>
    <t>ISPY2_356399</t>
  </si>
  <si>
    <t>1.3.6.1.4.1.14519.5.2.1.272467106620468563641472780945550747994</t>
  </si>
  <si>
    <t>ISPY2_356431</t>
  </si>
  <si>
    <t>[0, 422, 509, 597, 684, 771]</t>
  </si>
  <si>
    <t>2002/08/10</t>
  </si>
  <si>
    <t>1.3.6.1.4.1.14519.5.2.1.7695.4164.294464156062739019011264696771</t>
  </si>
  <si>
    <t>ISPY2_356684</t>
  </si>
  <si>
    <t>2001/11/04</t>
  </si>
  <si>
    <t>1.3.6.1.4.1.14519.5.2.1.183502276803299279512985256047807513850</t>
  </si>
  <si>
    <t>ISPY2_357017</t>
  </si>
  <si>
    <t>2000/11/10</t>
  </si>
  <si>
    <t>1.3.6.1.4.1.14519.5.2.1.254762960995398681401368466232091013762</t>
  </si>
  <si>
    <t>ISPY2_357034</t>
  </si>
  <si>
    <t>[0, 157, 256, 354, 453, 551]</t>
  </si>
  <si>
    <t>2003/06/07</t>
  </si>
  <si>
    <t>1.3.6.1.4.1.14519.5.2.1.233442563363290150015588928992075329111</t>
  </si>
  <si>
    <t>ISPY2_360937</t>
  </si>
  <si>
    <t>[0, 141, 228, 315, 402, 489]</t>
  </si>
  <si>
    <t>1999/06/24</t>
  </si>
  <si>
    <t>1.3.6.1.4.1.14519.5.2.1.198029335306138831986366116027837221452</t>
  </si>
  <si>
    <t>ISPY2_361701</t>
  </si>
  <si>
    <t>[0, 204, 293, 382, 472, 561]</t>
  </si>
  <si>
    <t>2001/07/21</t>
  </si>
  <si>
    <t>1.3.6.1.4.1.14519.5.2.1.7695.4164.168863346352258240830589607785</t>
  </si>
  <si>
    <t>ISPY2_362150</t>
  </si>
  <si>
    <t>[0, 203, 292, 382, 471, 560]</t>
  </si>
  <si>
    <t>2001/09/21</t>
  </si>
  <si>
    <t>1.3.6.1.4.1.14519.5.2.1.7695.4164.164417432250184456262641196618</t>
  </si>
  <si>
    <t>ISPY2_362993</t>
  </si>
  <si>
    <t>1999/08/18</t>
  </si>
  <si>
    <t>1.3.6.1.4.1.14519.5.2.1.332224761067047057452172710144877006937</t>
  </si>
  <si>
    <t>ISPY2_363669</t>
  </si>
  <si>
    <t>[0, 128, 220, 312, 403, 495]</t>
  </si>
  <si>
    <t>2001/05/12</t>
  </si>
  <si>
    <t>1.3.6.1.4.1.14519.5.2.1.80469230015949725466056116981314303442</t>
  </si>
  <si>
    <t>ISPY2_366120</t>
  </si>
  <si>
    <t>[0, 248, 337, 426, 515, 604]</t>
  </si>
  <si>
    <t>2003/03/05</t>
  </si>
  <si>
    <t>1.3.6.1.4.1.14519.5.2.1.240605621411871448185877348229369317976</t>
  </si>
  <si>
    <t>ISPY2_367682</t>
  </si>
  <si>
    <t>[0, 112, 209, 306, 403, 499]</t>
  </si>
  <si>
    <t>2000/03/18</t>
  </si>
  <si>
    <t>1.3.6.1.4.1.14519.5.2.1.40217081575717242105135956097577999839</t>
  </si>
  <si>
    <t>ISPY2_369040</t>
  </si>
  <si>
    <t>2004/07/10</t>
  </si>
  <si>
    <t>1.3.6.1.4.1.14519.5.2.1.285822296604222650916046504017339453323</t>
  </si>
  <si>
    <t>ISPY2_371528</t>
  </si>
  <si>
    <t>[0, 212, 291, 371, 451, 531]</t>
  </si>
  <si>
    <t>1.3.6.1.4.1.14519.5.2.1.75927158795862899606999597321670709623</t>
  </si>
  <si>
    <t>ISPY2_373346</t>
  </si>
  <si>
    <t>[0, 134, 224, 313, 402, 492]</t>
  </si>
  <si>
    <t>2001/02/07</t>
  </si>
  <si>
    <t>1.3.6.1.4.1.14519.5.2.1.7695.4164.390900233293380304495299487592</t>
  </si>
  <si>
    <t>ISPY2_373672</t>
  </si>
  <si>
    <t>2000/01/26</t>
  </si>
  <si>
    <t>1.3.6.1.4.1.14519.5.2.1.301827131388215988761758274473054009350</t>
  </si>
  <si>
    <t>ISPY2_374106</t>
  </si>
  <si>
    <t>2000/12/10</t>
  </si>
  <si>
    <t>1.3.6.1.4.1.14519.5.2.1.104829313792707915757125388285290526196</t>
  </si>
  <si>
    <t>ISPY2_374121</t>
  </si>
  <si>
    <t>[0, 112, 212, 313, 413, 513]</t>
  </si>
  <si>
    <t>1999/11/26</t>
  </si>
  <si>
    <t>1.3.6.1.4.1.14519.5.2.1.283335643497042538970738434967923502752</t>
  </si>
  <si>
    <t>ISPY2_375342</t>
  </si>
  <si>
    <t>[0, 170, 254, 338, 421, 505]</t>
  </si>
  <si>
    <t>2001/05/27</t>
  </si>
  <si>
    <t>1.3.6.1.4.1.14519.5.2.1.261462494583980056256447496336900709017</t>
  </si>
  <si>
    <t>ISPY2_375455</t>
  </si>
  <si>
    <t>[0, 191, 283, 376, 468, 561]</t>
  </si>
  <si>
    <t>1999/12/04</t>
  </si>
  <si>
    <t>1.3.6.1.4.1.14519.5.2.1.193962535066335162919047659428354183522</t>
  </si>
  <si>
    <t>ISPY2_376676</t>
  </si>
  <si>
    <t>[0, 101, 193, 285, 377, 469]</t>
  </si>
  <si>
    <t>2001/04/26</t>
  </si>
  <si>
    <t>1.3.6.1.4.1.14519.5.2.1.7695.4164.969464113495118969287636827809</t>
  </si>
  <si>
    <t>ISPY2_377460</t>
  </si>
  <si>
    <t>[0, 128, 221, 314, 407, 501]</t>
  </si>
  <si>
    <t>2003/04/20</t>
  </si>
  <si>
    <t>1.3.6.1.4.1.14519.5.2.1.288378664525302564448124478840116761522</t>
  </si>
  <si>
    <t>ISPY2_378401</t>
  </si>
  <si>
    <t>[0, 123, 214, 304, 395, 485]</t>
  </si>
  <si>
    <t>2000/02/11</t>
  </si>
  <si>
    <t>1.3.6.1.4.1.14519.5.2.1.126398703029797025117219202144994505361</t>
  </si>
  <si>
    <t>ISPY2_378885</t>
  </si>
  <si>
    <t>2001/07/29</t>
  </si>
  <si>
    <t>1.3.6.1.4.1.14519.5.2.1.7695.4164.266298627685242960599984503043</t>
  </si>
  <si>
    <t>ISPY2_380239</t>
  </si>
  <si>
    <t>[0, 113, 207, 301, 395, 489]</t>
  </si>
  <si>
    <t>1.3.6.1.4.1.14519.5.2.1.44742469490744477825611145826679735904</t>
  </si>
  <si>
    <t>ISPY2_380769</t>
  </si>
  <si>
    <t>[0, 140, 225, 309, 394, 479]</t>
  </si>
  <si>
    <t>1.3.6.1.4.1.14519.5.2.1.106327075778522954725430114590141432956</t>
  </si>
  <si>
    <t>ISPY2_380972</t>
  </si>
  <si>
    <t>[0, 222, 310, 397, 484, 571]</t>
  </si>
  <si>
    <t>2003/07/10</t>
  </si>
  <si>
    <t>1.3.6.1.4.1.14519.5.2.1.218191738144741909150718549542385068469</t>
  </si>
  <si>
    <t>ISPY2_382853</t>
  </si>
  <si>
    <t>[0, 368, 448, 528, 608, 688]</t>
  </si>
  <si>
    <t>2000/10/08</t>
  </si>
  <si>
    <t>1.3.6.1.4.1.14519.5.2.1.49228366540814797718619470328360326347</t>
  </si>
  <si>
    <t>ISPY2_383456</t>
  </si>
  <si>
    <t>[0, 119, 209, 299, 389, 479]</t>
  </si>
  <si>
    <t>1.3.6.1.4.1.14519.5.2.1.7695.4164.333543085338743445535109238487</t>
  </si>
  <si>
    <t>ISPY2_384830</t>
  </si>
  <si>
    <t>[0, 200, 287, 372, 456, 540]</t>
  </si>
  <si>
    <t>2001/10/06</t>
  </si>
  <si>
    <t>1.3.6.1.4.1.14519.5.2.1.7695.4164.665526641134654114176715515450</t>
  </si>
  <si>
    <t>ISPY2_386664</t>
  </si>
  <si>
    <t>[0, 177, 277, 378, 478, 579]</t>
  </si>
  <si>
    <t>2000/11/24</t>
  </si>
  <si>
    <t>1.3.6.1.4.1.14519.5.2.1.209602705475626846791174294227190017917</t>
  </si>
  <si>
    <t>ISPY2_388581</t>
  </si>
  <si>
    <t>[0, 273, 350, 426, 503]</t>
  </si>
  <si>
    <t>1998/11/25</t>
  </si>
  <si>
    <t>1.3.6.1.4.1.14519.5.2.1.277188278636830914074350648646598321714</t>
  </si>
  <si>
    <t>ISPY2_391942</t>
  </si>
  <si>
    <t>1.3.6.1.4.1.14519.5.2.1.245946685885740330231691878039170844534</t>
  </si>
  <si>
    <t>ISPY2_395076</t>
  </si>
  <si>
    <t>[0, 135, 234, 332, 431, 529]</t>
  </si>
  <si>
    <t>2001/01/12</t>
  </si>
  <si>
    <t>1.3.6.1.4.1.14519.5.2.1.268534736907218931713774066146124747627</t>
  </si>
  <si>
    <t>ISPY2_395249</t>
  </si>
  <si>
    <t>[0, 111, 209, 307, 405, 503]</t>
  </si>
  <si>
    <t>1.3.6.1.4.1.14519.5.2.1.44246893560814997185881186962389761707</t>
  </si>
  <si>
    <t>ISPY2_395379</t>
  </si>
  <si>
    <t>[0, 297, 395, 492, 590]</t>
  </si>
  <si>
    <t>1.3.6.1.4.1.14519.5.2.1.233586170203480814385349041270264750964</t>
  </si>
  <si>
    <t>ISPY2_396723</t>
  </si>
  <si>
    <t>[0, 144, 229, 312, 397, 482]</t>
  </si>
  <si>
    <t>2002/08/31</t>
  </si>
  <si>
    <t>1.3.6.1.4.1.14519.5.2.1.7695.4164.127931022173221576661827439629</t>
  </si>
  <si>
    <t>ISPY2_397505</t>
  </si>
  <si>
    <t>[0, 98, 195, 291, 388, 485]</t>
  </si>
  <si>
    <t>1.3.6.1.4.1.14519.5.2.1.7695.4164.219869777434874127939019043179</t>
  </si>
  <si>
    <t>ISPY2_399478</t>
  </si>
  <si>
    <t>[0, 196, 283, 370, 458, 544]</t>
  </si>
  <si>
    <t>1.3.6.1.4.1.14519.5.2.1.7695.4164.115097218298253798885702451688</t>
  </si>
  <si>
    <t>ISPY2_401215</t>
  </si>
  <si>
    <t>[0, 189, 276, 364, 451, 538]</t>
  </si>
  <si>
    <t>2002/12/21</t>
  </si>
  <si>
    <t>1.3.6.1.4.1.14519.5.2.1.7695.4164.220716984075932778078574234691</t>
  </si>
  <si>
    <t>ISPY2_402265</t>
  </si>
  <si>
    <t>1999/09/11</t>
  </si>
  <si>
    <t>1.3.6.1.4.1.14519.5.2.1.21674017971715731261003161020869325456</t>
  </si>
  <si>
    <t>ISPY2_402384</t>
  </si>
  <si>
    <t>[0, 302, 386, 470, 554, 638]</t>
  </si>
  <si>
    <t>1.3.6.1.4.1.14519.5.2.1.69586395916191091978237314935975686395</t>
  </si>
  <si>
    <t>ISPY2_405717</t>
  </si>
  <si>
    <t>[0, 213, 291, 369, 447]</t>
  </si>
  <si>
    <t>1998/11/22</t>
  </si>
  <si>
    <t>1.3.6.1.4.1.14519.5.2.1.100650224973279030686890954912264321036</t>
  </si>
  <si>
    <t>ISPY2_406190</t>
  </si>
  <si>
    <t>[0, 761, 841, 921, 1001, 1081]</t>
  </si>
  <si>
    <t>2000/02/02</t>
  </si>
  <si>
    <t>1.3.6.1.4.1.14519.5.2.1.177009568716101742305330303497357698483</t>
  </si>
  <si>
    <t>ISPY2_407539</t>
  </si>
  <si>
    <t>[0, 105, 201, 297, 393, 490]</t>
  </si>
  <si>
    <t>2001/09/27</t>
  </si>
  <si>
    <t>1.3.6.1.4.1.14519.5.2.1.7695.4164.287087885890170334830957446970</t>
  </si>
  <si>
    <t>ISPY2_408692</t>
  </si>
  <si>
    <t>2003/01/02</t>
  </si>
  <si>
    <t>1.3.6.1.4.1.14519.5.2.1.7695.4164.292099420579926721932038944628</t>
  </si>
  <si>
    <t>ISPY2_409288</t>
  </si>
  <si>
    <t>[0, 114, 196, 278, 360, 442]</t>
  </si>
  <si>
    <t>1.3.6.1.4.1.14519.5.2.1.7695.4164.297539485758533413123449182289</t>
  </si>
  <si>
    <t>ISPY2_410083</t>
  </si>
  <si>
    <t>[0, 154, 243, 331, 419, 507]</t>
  </si>
  <si>
    <t>1.3.6.1.4.1.14519.5.2.1.217481402173794767243538511086279495354</t>
  </si>
  <si>
    <t>ISPY2_411008</t>
  </si>
  <si>
    <t>[0, 113, 209, 306, 400, 495]</t>
  </si>
  <si>
    <t>2001/04/19</t>
  </si>
  <si>
    <t>1.3.6.1.4.1.14519.5.2.1.310031871717517345791862754108196092045</t>
  </si>
  <si>
    <t>ISPY2_411684</t>
  </si>
  <si>
    <t>1.3.6.1.4.1.14519.5.2.1.201429940890384874243426217181448948258</t>
  </si>
  <si>
    <t>ISPY2_411806</t>
  </si>
  <si>
    <t>[0, 127, 223, 320, 417, 514]</t>
  </si>
  <si>
    <t>2003/05/21</t>
  </si>
  <si>
    <t>1.3.6.1.4.1.14519.5.2.1.169645509617177471720037485581925666471</t>
  </si>
  <si>
    <t>ISPY2_411950</t>
  </si>
  <si>
    <t>[0, 135, 232, 330, 428, 525]</t>
  </si>
  <si>
    <t>2001/08/19</t>
  </si>
  <si>
    <t>1.3.6.1.4.1.14519.5.2.1.83093415762143642805227139799558471756</t>
  </si>
  <si>
    <t>ISPY2_412772</t>
  </si>
  <si>
    <t>[0, 141, 227, 311, 396, 481]</t>
  </si>
  <si>
    <t>2002/05/09</t>
  </si>
  <si>
    <t>1.3.6.1.4.1.14519.5.2.1.7695.4164.187559806235053480932963097608</t>
  </si>
  <si>
    <t>ISPY2_413211</t>
  </si>
  <si>
    <t>2003/01/04</t>
  </si>
  <si>
    <t>1.3.6.1.4.1.14519.5.2.1.7695.4164.338369462471972104837809889134</t>
  </si>
  <si>
    <t>ISPY2_413961</t>
  </si>
  <si>
    <t>[1.015625, 1.015625]</t>
  </si>
  <si>
    <t>2002/05/16</t>
  </si>
  <si>
    <t>1.3.6.1.4.1.14519.5.2.1.211753568678019131480098812460252528022</t>
  </si>
  <si>
    <t>ISPY2_414256</t>
  </si>
  <si>
    <t>[0, 235, 322, 409, 496, 583]</t>
  </si>
  <si>
    <t>2003/08/21</t>
  </si>
  <si>
    <t>1.3.6.1.4.1.14519.5.2.1.286171239314474752339605215332343751971</t>
  </si>
  <si>
    <t>ISPY2_414286</t>
  </si>
  <si>
    <t>[0, 139, 231, 324, 416, 509]</t>
  </si>
  <si>
    <t>1.3.6.1.4.1.14519.5.2.1.282604895430280864296447698816656409776</t>
  </si>
  <si>
    <t>ISPY2_414844</t>
  </si>
  <si>
    <t>[0, 120, 214, 300, 395, 481]</t>
  </si>
  <si>
    <t>2003/01/17</t>
  </si>
  <si>
    <t>1.3.6.1.4.1.14519.5.2.1.7695.4164.614036974317839468154692889724</t>
  </si>
  <si>
    <t>ISPY2_414971</t>
  </si>
  <si>
    <t>[0, 108, 192, 275, 358, 442]</t>
  </si>
  <si>
    <t>1.3.6.1.4.1.14519.5.2.1.150213912986136633296946495006460864603</t>
  </si>
  <si>
    <t>ISPY2_415039</t>
  </si>
  <si>
    <t>[0, 152, 273, 394, 515, 636]</t>
  </si>
  <si>
    <t>2000/10/27</t>
  </si>
  <si>
    <t>1.3.6.1.4.1.14519.5.2.1.102043562784252274618370031118300172529</t>
  </si>
  <si>
    <t>ISPY2_416434</t>
  </si>
  <si>
    <t>[0, 152, 242, 331, 421, 510]</t>
  </si>
  <si>
    <t>2001/07/25</t>
  </si>
  <si>
    <t>1.3.6.1.4.1.14519.5.2.1.102459100053120282200718737417862975880</t>
  </si>
  <si>
    <t>ISPY2_417474</t>
  </si>
  <si>
    <t>[0, 191, 278, 365, 452, 539]</t>
  </si>
  <si>
    <t>1.3.6.1.4.1.14519.5.2.1.7695.4164.103598842119515828203860394624</t>
  </si>
  <si>
    <t>ISPY2_417654</t>
  </si>
  <si>
    <t>[0, 365, 459, 547, 631, 719]</t>
  </si>
  <si>
    <t>1998/08/29</t>
  </si>
  <si>
    <t>1.3.6.1.4.1.14519.5.2.1.77015440029854256022913504878392958400</t>
  </si>
  <si>
    <t>ISPY2_418593</t>
  </si>
  <si>
    <t>[0, 106, 212, 318, 425, 531]</t>
  </si>
  <si>
    <t>2002/10/10</t>
  </si>
  <si>
    <t>1.3.6.1.4.1.14519.5.2.1.30546649202430366994516654188945693007</t>
  </si>
  <si>
    <t>ISPY2_419590</t>
  </si>
  <si>
    <t>[0, 136, 226, 315, 404, 494]</t>
  </si>
  <si>
    <t>2003/09/17</t>
  </si>
  <si>
    <t>1.3.6.1.4.1.14519.5.2.1.60906869555150243376138703218770526260</t>
  </si>
  <si>
    <t>ISPY2_420523</t>
  </si>
  <si>
    <t>[0.5769230723, 0.5769230723]</t>
  </si>
  <si>
    <t>[0, 164, 328, 492, 656, 820]</t>
  </si>
  <si>
    <t>2000/09/07</t>
  </si>
  <si>
    <t>1.3.6.1.4.1.14519.5.2.1.28670055960472285792007173890198389919</t>
  </si>
  <si>
    <t>ISPY2_421829</t>
  </si>
  <si>
    <t>[0, 121, 211, 301, 392, 483]</t>
  </si>
  <si>
    <t>2004/04/09</t>
  </si>
  <si>
    <t>1.3.6.1.4.1.14519.5.2.1.160774150351941398142240270496059787828</t>
  </si>
  <si>
    <t>ISPY2_421917</t>
  </si>
  <si>
    <t>[0, 129, 219, 308, 398, 487]</t>
  </si>
  <si>
    <t>2002/04/21</t>
  </si>
  <si>
    <t>1.3.6.1.4.1.14519.5.2.1.7695.4164.142093965038853487954707520236</t>
  </si>
  <si>
    <t>ISPY2_422013</t>
  </si>
  <si>
    <t>[0.5284552574, 0.5284552574]</t>
  </si>
  <si>
    <t>[0, 86, 172, 258, 343, 429]</t>
  </si>
  <si>
    <t>2000/12/16</t>
  </si>
  <si>
    <t>1.3.6.1.4.1.14519.5.2.1.7695.4164.187135252347518012819763317458</t>
  </si>
  <si>
    <t>ISPY2_422450</t>
  </si>
  <si>
    <t>[0, 151, 273, 395, 517]</t>
  </si>
  <si>
    <t>1999/01/24</t>
  </si>
  <si>
    <t>1.3.6.1.4.1.14519.5.2.1.145205334188199797562855137324530171881</t>
  </si>
  <si>
    <t>ISPY2_422454</t>
  </si>
  <si>
    <t>[0, 120, 215, 308, 403, 496]</t>
  </si>
  <si>
    <t>2002/02/11</t>
  </si>
  <si>
    <t>1.3.6.1.4.1.14519.5.2.1.76198088493104683775334408726658002497</t>
  </si>
  <si>
    <t>ISPY2_423619</t>
  </si>
  <si>
    <t>[0, 164, 259, 354, 449, 544]</t>
  </si>
  <si>
    <t>1999/06/12</t>
  </si>
  <si>
    <t>1.3.6.1.4.1.14519.5.2.1.218814248363110402714011605831104726115</t>
  </si>
  <si>
    <t>ISPY2_423979</t>
  </si>
  <si>
    <t>[0, 198, 285, 372, 459, 547]</t>
  </si>
  <si>
    <t>2003/12/25</t>
  </si>
  <si>
    <t>1.3.6.1.4.1.14519.5.2.1.104049492857702540321130749723703447405</t>
  </si>
  <si>
    <t>ISPY2_424541</t>
  </si>
  <si>
    <t>[0, 160, 259, 357, 456, 554]</t>
  </si>
  <si>
    <t>2003/12/26</t>
  </si>
  <si>
    <t>1.3.6.1.4.1.14519.5.2.1.270747372971073329377395057686399117424</t>
  </si>
  <si>
    <t>ISPY2_425173</t>
  </si>
  <si>
    <t>[0, 201, 288, 375, 462, 550]</t>
  </si>
  <si>
    <t>2004/02/19</t>
  </si>
  <si>
    <t>1.3.6.1.4.1.14519.5.2.1.240335458799681559060951260417312343864</t>
  </si>
  <si>
    <t>ISPY2_426106</t>
  </si>
  <si>
    <t>[0.8398, 0.8398]</t>
  </si>
  <si>
    <t>1.3.6.1.4.1.14519.5.2.1.321085042972622563212931724524559849896</t>
  </si>
  <si>
    <t>ISPY2_427321</t>
  </si>
  <si>
    <t>AAP</t>
  </si>
  <si>
    <t>[0, 170, 267, 364, 461, 558]</t>
  </si>
  <si>
    <t>1.3.6.1.4.1.14519.5.2.1.330453742369630540469915968887623795347</t>
  </si>
  <si>
    <t>ISPY2_429220</t>
  </si>
  <si>
    <t>2001/05/05</t>
  </si>
  <si>
    <t>1.3.6.1.4.1.14519.5.2.1.7695.4164.161226813030410909488782752922</t>
  </si>
  <si>
    <t>ISPY2_430441</t>
  </si>
  <si>
    <t>[0, 140, 240, 320, 420, 500]</t>
  </si>
  <si>
    <t>2002/08/08</t>
  </si>
  <si>
    <t>1.3.6.1.4.1.14519.5.2.1.7695.4164.833335760902626854782434402267</t>
  </si>
  <si>
    <t>ISPY2_431061</t>
  </si>
  <si>
    <t>[0, 150, 248, 345, 443, 540]</t>
  </si>
  <si>
    <t>2004/11/26</t>
  </si>
  <si>
    <t>1.3.6.1.4.1.14519.5.2.1.100043107406972413628037780755252934946</t>
  </si>
  <si>
    <t>ISPY2_432114</t>
  </si>
  <si>
    <t>[0, 97, 194, 290, 387, 483]</t>
  </si>
  <si>
    <t>2002/09/28</t>
  </si>
  <si>
    <t>1.3.6.1.4.1.14519.5.2.1.7695.4164.433567158981891050328782687376</t>
  </si>
  <si>
    <t>ISPY2_433144</t>
  </si>
  <si>
    <t>1.3.6.1.4.1.14519.5.2.1.153549427062741992179058062540934748821</t>
  </si>
  <si>
    <t>ISPY2_435279</t>
  </si>
  <si>
    <t>[0, 115, 217, 319, 422, 524]</t>
  </si>
  <si>
    <t>1.3.6.1.4.1.14519.5.2.1.7695.4164.144988994607901625013447572237</t>
  </si>
  <si>
    <t>ISPY2_435313</t>
  </si>
  <si>
    <t>[0, 109, 189, 269, 349, 429]</t>
  </si>
  <si>
    <t>1999/06/05</t>
  </si>
  <si>
    <t>1.3.6.1.4.1.14519.5.2.1.68358148986963279331649945601160620153</t>
  </si>
  <si>
    <t>ISPY2_436371</t>
  </si>
  <si>
    <t>[0, 171, 260, 348, 437, 525]</t>
  </si>
  <si>
    <t>2003/12/19</t>
  </si>
  <si>
    <t>1.3.6.1.4.1.14519.5.2.1.78361629920691466088555787130492764236</t>
  </si>
  <si>
    <t>ISPY2_437162</t>
  </si>
  <si>
    <t>2001/08/23</t>
  </si>
  <si>
    <t>1.3.6.1.4.1.14519.5.2.1.199760005839983650256674158255496425258</t>
  </si>
  <si>
    <t>ISPY2_437968</t>
  </si>
  <si>
    <t>[0, 183, 271, 358, 445, 533]</t>
  </si>
  <si>
    <t>2000/10/28</t>
  </si>
  <si>
    <t>1.3.6.1.4.1.14519.5.2.1.36575725622647174213025045055891002422</t>
  </si>
  <si>
    <t>ISPY2_439489</t>
  </si>
  <si>
    <t>[0, 164, 253, 342, 431, 520]</t>
  </si>
  <si>
    <t>1.3.6.1.4.1.14519.5.2.1.128533143563280414147254259687317415790</t>
  </si>
  <si>
    <t>ISPY2_442637</t>
  </si>
  <si>
    <t>[0, 170, 255, 339, 424, 509]</t>
  </si>
  <si>
    <t>1999/12/22</t>
  </si>
  <si>
    <t>1.3.6.1.4.1.14519.5.2.1.9347531512809398362597851165355454377</t>
  </si>
  <si>
    <t>ISPY2_442669</t>
  </si>
  <si>
    <t>[0, 136, 234, 332, 430, 528]</t>
  </si>
  <si>
    <t>2003/08/06</t>
  </si>
  <si>
    <t>1.3.6.1.4.1.14519.5.2.1.195388909486879269782505643548473570415</t>
  </si>
  <si>
    <t>ISPY2_442981</t>
  </si>
  <si>
    <t>2004/01/21</t>
  </si>
  <si>
    <t>1.3.6.1.4.1.14519.5.2.1.57433743107224680381314757235519092428</t>
  </si>
  <si>
    <t>ISPY2_443444</t>
  </si>
  <si>
    <t>[0, 352, 439, 526, 613, 700]</t>
  </si>
  <si>
    <t>1.3.6.1.4.1.14519.5.2.1.27408719193987222270237878116039383937</t>
  </si>
  <si>
    <t>ISPY2_443708</t>
  </si>
  <si>
    <t>[0, 162, 263, 364, 465, 566]</t>
  </si>
  <si>
    <t>2000/02/19</t>
  </si>
  <si>
    <t>1.3.6.1.4.1.14519.5.2.1.66286859050584817212881616506420647837</t>
  </si>
  <si>
    <t>ISPY2_446263</t>
  </si>
  <si>
    <t>[0, 188, 278, 449, 538, 627]</t>
  </si>
  <si>
    <t>2004/12/15</t>
  </si>
  <si>
    <t>1.3.6.1.4.1.14519.5.2.1.330700477742905623818232598140603688438</t>
  </si>
  <si>
    <t>ISPY2_451482</t>
  </si>
  <si>
    <t>2000/02/16</t>
  </si>
  <si>
    <t>1.3.6.1.4.1.14519.5.2.1.114633172872845874861184737922018997974</t>
  </si>
  <si>
    <t>ISPY2_451816</t>
  </si>
  <si>
    <t>[0, 234, 326, 419, 511, 604]</t>
  </si>
  <si>
    <t>1999/09/04</t>
  </si>
  <si>
    <t>1.3.6.1.4.1.14519.5.2.1.240963773793102802280676274999077701966</t>
  </si>
  <si>
    <t>ISPY2_452703</t>
  </si>
  <si>
    <t>2003/09/27</t>
  </si>
  <si>
    <t>1.3.6.1.4.1.14519.5.2.1.333805736593470841339075106751583272413</t>
  </si>
  <si>
    <t>ISPY2_453596</t>
  </si>
  <si>
    <t>[0, 119, 210, 302, 394, 485]</t>
  </si>
  <si>
    <t>2001/12/16</t>
  </si>
  <si>
    <t>1.3.6.1.4.1.14519.5.2.1.160263482843562694648991635197618039094</t>
  </si>
  <si>
    <t>ISPY2_454808</t>
  </si>
  <si>
    <t>[0, 144, 244, 344, 444, 544]</t>
  </si>
  <si>
    <t>2001/04/12</t>
  </si>
  <si>
    <t>1.3.6.1.4.1.14519.5.2.1.278599676312405234965020415742882101489</t>
  </si>
  <si>
    <t>ISPY2_455828</t>
  </si>
  <si>
    <t>[0, 137, 230, 323, 416, 509]</t>
  </si>
  <si>
    <t>2003/04/30</t>
  </si>
  <si>
    <t>1.3.6.1.4.1.14519.5.2.1.205935736418519868508602595678097453683</t>
  </si>
  <si>
    <t>ISPY2_456432</t>
  </si>
  <si>
    <t>[0, 164, 257, 350, 443, 536]</t>
  </si>
  <si>
    <t>2003/05/31</t>
  </si>
  <si>
    <t>1.3.6.1.4.1.14519.5.2.1.171994533485455544453371660438402345431</t>
  </si>
  <si>
    <t>ISPY2_456506</t>
  </si>
  <si>
    <t>2004/11/28</t>
  </si>
  <si>
    <t>1.3.6.1.4.1.14519.5.2.1.38421209639717593552328443853167714982</t>
  </si>
  <si>
    <t>ISPY2_458196</t>
  </si>
  <si>
    <t>[0, 96, 193, 290, 386, 482]</t>
  </si>
  <si>
    <t>2004/11/07</t>
  </si>
  <si>
    <t>1.3.6.1.4.1.14519.5.2.1.321618758811367492991351900768109600976</t>
  </si>
  <si>
    <t>ISPY2_459311</t>
  </si>
  <si>
    <t>[0, 114, 203, 292, 382, 471]</t>
  </si>
  <si>
    <t>2003/10/15</t>
  </si>
  <si>
    <t>1.3.6.1.4.1.14519.5.2.1.264601818335678142639847770967102800612</t>
  </si>
  <si>
    <t>ISPY2_460642</t>
  </si>
  <si>
    <t>[0, 98, 195, 293, 391, 488]</t>
  </si>
  <si>
    <t>2002/11/14</t>
  </si>
  <si>
    <t>1.3.6.1.4.1.14519.5.2.1.7695.4164.765823517369361524190785422274</t>
  </si>
  <si>
    <t>ISPY2_460776</t>
  </si>
  <si>
    <t>[0, 167, 260, 353, 445, 538]</t>
  </si>
  <si>
    <t>2000/01/15</t>
  </si>
  <si>
    <t>1.3.6.1.4.1.14519.5.2.1.71672100376089414514166527295578790232</t>
  </si>
  <si>
    <t>ISPY2_460812</t>
  </si>
  <si>
    <t>[0, 132, 224, 317, 410, 503]</t>
  </si>
  <si>
    <t>2003/06/18</t>
  </si>
  <si>
    <t>1.3.6.1.4.1.14519.5.2.1.214139727364604692716966789275153809111</t>
  </si>
  <si>
    <t>ISPY2_461824</t>
  </si>
  <si>
    <t>[0, 121, 266, 354, 443, 531]</t>
  </si>
  <si>
    <t>2000/06/21</t>
  </si>
  <si>
    <t>1.3.6.1.4.1.14519.5.2.1.200570749214609604188441708168870407287</t>
  </si>
  <si>
    <t>ISPY2_462581</t>
  </si>
  <si>
    <t>[0, 473, 562, 651, 740, 829]</t>
  </si>
  <si>
    <t>1.3.6.1.4.1.14519.5.2.1.196610055992408001467173762275960705711</t>
  </si>
  <si>
    <t>ISPY2_462582</t>
  </si>
  <si>
    <t>[0, 122, 211, 301, 390, 479]</t>
  </si>
  <si>
    <t>1.3.6.1.4.1.14519.5.2.1.7695.4164.215380931801316243937726685615</t>
  </si>
  <si>
    <t>ISPY2_462605</t>
  </si>
  <si>
    <t>[0, 140, 234, 330, 425, 519]</t>
  </si>
  <si>
    <t>2003/04/21</t>
  </si>
  <si>
    <t>1.3.6.1.4.1.14519.5.2.1.320862763480988779569621728194981830864</t>
  </si>
  <si>
    <t>ISPY2_464547</t>
  </si>
  <si>
    <t>[0, 156, 243, 330, 417, 504]</t>
  </si>
  <si>
    <t>2002/05/18</t>
  </si>
  <si>
    <t>1.3.6.1.4.1.14519.5.2.1.273857402109920494341677974340494381511</t>
  </si>
  <si>
    <t>ISPY2_465008</t>
  </si>
  <si>
    <t>[0, 118, 208, 298, 388, 478]</t>
  </si>
  <si>
    <t>2003/01/31</t>
  </si>
  <si>
    <t>1.3.6.1.4.1.14519.5.2.1.7695.4164.144810604669980935272708975889</t>
  </si>
  <si>
    <t>ISPY2_466267</t>
  </si>
  <si>
    <t>2003/09/03</t>
  </si>
  <si>
    <t>1.3.6.1.4.1.14519.5.2.1.60491782349431964816304900694896466882</t>
  </si>
  <si>
    <t>ISPY2_467622</t>
  </si>
  <si>
    <t>[0, 167, 251, 334, 417, 501]</t>
  </si>
  <si>
    <t>1.3.6.1.4.1.14519.5.2.1.98286066770729735319327273247748528693</t>
  </si>
  <si>
    <t>ISPY2_467686</t>
  </si>
  <si>
    <t>[0, 203, 290, 377, 464, 551]</t>
  </si>
  <si>
    <t>2002/11/23</t>
  </si>
  <si>
    <t>1.3.6.1.4.1.14519.5.2.1.7695.4164.299605453821167984393946034368</t>
  </si>
  <si>
    <t>ISPY2_472799</t>
  </si>
  <si>
    <t>[0, 96, 192, 288, 385, 481]</t>
  </si>
  <si>
    <t>1.3.6.1.4.1.14519.5.2.1.256559231199730580935910753917704834139</t>
  </si>
  <si>
    <t>ISPY2_473365</t>
  </si>
  <si>
    <t>[0, 109, 198, 287, 377, 466]</t>
  </si>
  <si>
    <t>2004/10/17</t>
  </si>
  <si>
    <t>1.3.6.1.4.1.14519.5.2.1.194377762598128085571685251864130218024</t>
  </si>
  <si>
    <t>ISPY2_473468</t>
  </si>
  <si>
    <t>[0, 151, 240, 330, 419, 509]</t>
  </si>
  <si>
    <t>2003/04/25</t>
  </si>
  <si>
    <t>1.3.6.1.4.1.14519.5.2.1.236245122270465207531352433262080442612</t>
  </si>
  <si>
    <t>ISPY2_473505</t>
  </si>
  <si>
    <t>[0, 132, 222, 311, 402, 493]</t>
  </si>
  <si>
    <t>2004/06/13</t>
  </si>
  <si>
    <t>1.3.6.1.4.1.14519.5.2.1.216592527458119017600179127381999003980</t>
  </si>
  <si>
    <t>ISPY2_474874</t>
  </si>
  <si>
    <t>[0, 126, 217, 309, 402, 493]</t>
  </si>
  <si>
    <t>1.3.6.1.4.1.14519.5.2.1.7695.4164.179610764136871073786498450462</t>
  </si>
  <si>
    <t>ISPY2_477816</t>
  </si>
  <si>
    <t>[0, 121, 211, 302, 392, 483]</t>
  </si>
  <si>
    <t>1.3.6.1.4.1.14519.5.2.1.323427985738547231919774144476865394504</t>
  </si>
  <si>
    <t>ISPY2_477994</t>
  </si>
  <si>
    <t>[0, 97, 194, 290, 387, 484]</t>
  </si>
  <si>
    <t>1.3.6.1.4.1.14519.5.2.1.83361291390248946639643728549926457574</t>
  </si>
  <si>
    <t>ISPY2_478055</t>
  </si>
  <si>
    <t>[0, 149, 248, 346, 445, 543]</t>
  </si>
  <si>
    <t>2004/05/23</t>
  </si>
  <si>
    <t>1.3.6.1.4.1.14519.5.2.1.253607456617211483968159348268505384651</t>
  </si>
  <si>
    <t>ISPY2_478484</t>
  </si>
  <si>
    <t>[0, 296, 389, 481, 572, 666]</t>
  </si>
  <si>
    <t>1998/11/21</t>
  </si>
  <si>
    <t>1.3.6.1.4.1.14519.5.2.1.153422719431703627345792021455418463623</t>
  </si>
  <si>
    <t>ISPY2_478655</t>
  </si>
  <si>
    <t>[0, 96, 191, 287, 383, 480]</t>
  </si>
  <si>
    <t>2004/01/07</t>
  </si>
  <si>
    <t>1.3.6.1.4.1.14519.5.2.1.310327122249764569611900606631217678327</t>
  </si>
  <si>
    <t>ISPY2_479417</t>
  </si>
  <si>
    <t>[0, 162, 254, 346, 437, 529]</t>
  </si>
  <si>
    <t>2000/03/25</t>
  </si>
  <si>
    <t>1.3.6.1.4.1.14519.5.2.1.150850611353975593441560318769931754178</t>
  </si>
  <si>
    <t>ISPY2_483667</t>
  </si>
  <si>
    <t>[0, 84, 169, 253, 338, 423]</t>
  </si>
  <si>
    <t>2003/06/14</t>
  </si>
  <si>
    <t>1.3.6.1.4.1.14519.5.2.1.6487234672540032591920116582573462765</t>
  </si>
  <si>
    <t>ISPY2_483910</t>
  </si>
  <si>
    <t>[0, 100, 184, 269, 354, 440]</t>
  </si>
  <si>
    <t>2004/10/28</t>
  </si>
  <si>
    <t>1.3.6.1.4.1.14519.5.2.1.42880158954643246308521005088718320065</t>
  </si>
  <si>
    <t>ISPY2_484867</t>
  </si>
  <si>
    <t>[0, 208, 301, 393, 486, 578]</t>
  </si>
  <si>
    <t>2000/03/30</t>
  </si>
  <si>
    <t>1.3.6.1.4.1.14519.5.2.1.288129652531626257309253277150269829655</t>
  </si>
  <si>
    <t>ISPY2_484894</t>
  </si>
  <si>
    <t>[0, 128, 218, 307, 396, 486]</t>
  </si>
  <si>
    <t>2004/04/29</t>
  </si>
  <si>
    <t>1.3.6.1.4.1.14519.5.2.1.39701914975487032034231126309196239092</t>
  </si>
  <si>
    <t>ISPY2_485637</t>
  </si>
  <si>
    <t>[1.3281, 1.3281]</t>
  </si>
  <si>
    <t>[0, 123, 208, 293, 378, 464]</t>
  </si>
  <si>
    <t>2004/05/16</t>
  </si>
  <si>
    <t>1.3.6.1.4.1.14519.5.2.1.286632945521280397537295420376998160846</t>
  </si>
  <si>
    <t>ISPY2_489194</t>
  </si>
  <si>
    <t>[0, 156, 246, 335, 424, 513]</t>
  </si>
  <si>
    <t>2004/03/31</t>
  </si>
  <si>
    <t>1.3.6.1.4.1.14519.5.2.1.309027079646997405224291083248177929369</t>
  </si>
  <si>
    <t>ISPY2_489504</t>
  </si>
  <si>
    <t>[0, 197, 283, 370, 457, 544]</t>
  </si>
  <si>
    <t>1.3.6.1.4.1.14519.5.2.1.114189904050292319815946938490842123205</t>
  </si>
  <si>
    <t>ISPY2_489973</t>
  </si>
  <si>
    <t>[0, 149, 238, 327, 416, 505]</t>
  </si>
  <si>
    <t>2000/03/09</t>
  </si>
  <si>
    <t>1.3.6.1.4.1.14519.5.2.1.260429487076528878149465779984285729288</t>
  </si>
  <si>
    <t>ISPY2_490023</t>
  </si>
  <si>
    <t>[0, 156, 244, 328, 413, 496]</t>
  </si>
  <si>
    <t>2001/09/13</t>
  </si>
  <si>
    <t>1.3.6.1.4.1.14519.5.2.1.7695.4164.728393458174268588179148423846</t>
  </si>
  <si>
    <t>ISPY2_490805</t>
  </si>
  <si>
    <t>[0, 140, 232, 324, 416, 508]</t>
  </si>
  <si>
    <t>1.3.6.1.4.1.14519.5.2.1.7695.4164.119086220962286267818056438110</t>
  </si>
  <si>
    <t>ISPY2_491526</t>
  </si>
  <si>
    <t>[0, 108, 200, 292, 384, 476]</t>
  </si>
  <si>
    <t>2000/01/05</t>
  </si>
  <si>
    <t>1.3.6.1.4.1.14519.5.2.1.273614674470982637719829375297316014965</t>
  </si>
  <si>
    <t>ISPY2_491779</t>
  </si>
  <si>
    <t>2002/05/10</t>
  </si>
  <si>
    <t>1.3.6.1.4.1.14519.5.2.1.3500366005432580565979461843804336950</t>
  </si>
  <si>
    <t>ISPY2_492612</t>
  </si>
  <si>
    <t>[0, 176, 263, 349, 436, 523]</t>
  </si>
  <si>
    <t>2004/10/14</t>
  </si>
  <si>
    <t>1.3.6.1.4.1.14519.5.2.1.236248510547011863188627393454282154099</t>
  </si>
  <si>
    <t>ISPY2_493472</t>
  </si>
  <si>
    <t>2003/11/09</t>
  </si>
  <si>
    <t>1.3.6.1.4.1.14519.5.2.1.68753260332469059213114530878831205507</t>
  </si>
  <si>
    <t>ISPY2_493519</t>
  </si>
  <si>
    <t>2002/04/13</t>
  </si>
  <si>
    <t>1.3.6.1.4.1.14519.5.2.1.94903468844665751025004522992765216934</t>
  </si>
  <si>
    <t>ISPY2_493775</t>
  </si>
  <si>
    <t>[0, 230, 310, 390, 470, 549]</t>
  </si>
  <si>
    <t>2003/06/22</t>
  </si>
  <si>
    <t>1.3.6.1.4.1.14519.5.2.1.229186941871717478199421908352742046665</t>
  </si>
  <si>
    <t>ISPY2_494022</t>
  </si>
  <si>
    <t>[0.961538434, 0.961538434]</t>
  </si>
  <si>
    <t>[0, 187, 292, 398, 504, 609]</t>
  </si>
  <si>
    <t>2003/09/25</t>
  </si>
  <si>
    <t>1.3.6.1.4.1.14519.5.2.1.152032539555301455126112301997221738998</t>
  </si>
  <si>
    <t>ISPY2_494296</t>
  </si>
  <si>
    <t>[0, 186, 273, 360, 447, 535]</t>
  </si>
  <si>
    <t>2004/06/12</t>
  </si>
  <si>
    <t>1.3.6.1.4.1.14519.5.2.1.171647541149397693121278167487273011515</t>
  </si>
  <si>
    <t>ISPY2_494946</t>
  </si>
  <si>
    <t>[0, 138, 218, 298, 378, 457]</t>
  </si>
  <si>
    <t>2004/06/18</t>
  </si>
  <si>
    <t>1.3.6.1.4.1.14519.5.2.1.249715107793304330906103835429704827593</t>
  </si>
  <si>
    <t>ISPY2_495440</t>
  </si>
  <si>
    <t>[0, 114, 199, 284, 369, 454]</t>
  </si>
  <si>
    <t>1999/06/19</t>
  </si>
  <si>
    <t>1.3.6.1.4.1.14519.5.2.1.101055772097374638685505153628328782691</t>
  </si>
  <si>
    <t>ISPY2_496205</t>
  </si>
  <si>
    <t>[0, 101, 185, 270, 355, 440]</t>
  </si>
  <si>
    <t>2000/01/21</t>
  </si>
  <si>
    <t>1.3.6.1.4.1.14519.5.2.1.54498131453766505052915687378063785889</t>
  </si>
  <si>
    <t>ISPY2_497010</t>
  </si>
  <si>
    <t>[0, 132, 212, 291, 371, 451]</t>
  </si>
  <si>
    <t>2004/05/21</t>
  </si>
  <si>
    <t>1.3.6.1.4.1.14519.5.2.1.70984538299893890993385643054512823942</t>
  </si>
  <si>
    <t>ISPY2_498024</t>
  </si>
  <si>
    <t>[0, 157, 244, 331, 418, 505]</t>
  </si>
  <si>
    <t>2003/10/02</t>
  </si>
  <si>
    <t>1.3.6.1.4.1.14519.5.2.1.10309040945323878099131757681725892433</t>
  </si>
  <si>
    <t>ISPY2_498985</t>
  </si>
  <si>
    <t>[0, 469, 549, 629, 709, 789]</t>
  </si>
  <si>
    <t>1.3.6.1.4.1.14519.5.2.1.106187677320272954892937306084502901402</t>
  </si>
  <si>
    <t>ISPY2_500826</t>
  </si>
  <si>
    <t>[0, 139, 228, 318, 407, 496]</t>
  </si>
  <si>
    <t>2004/12/01</t>
  </si>
  <si>
    <t>1.3.6.1.4.1.14519.5.2.1.268711589099799184155073532899176101765</t>
  </si>
  <si>
    <t>ISPY2_501303</t>
  </si>
  <si>
    <t>2001/05/30</t>
  </si>
  <si>
    <t>1.3.6.1.4.1.14519.5.2.1.126523206564341068732891781846000394823</t>
  </si>
  <si>
    <t>ISPY2_502486</t>
  </si>
  <si>
    <t>[0, 146, 244, 341, 439, 536]</t>
  </si>
  <si>
    <t>1.3.6.1.4.1.14519.5.2.1.52474419986024104445508456023578145856</t>
  </si>
  <si>
    <t>ISPY2_503034</t>
  </si>
  <si>
    <t>[0, 146, 226, 306, 386, 466]</t>
  </si>
  <si>
    <t>1.3.6.1.4.1.14519.5.2.1.19757332731156721262442124102110149752</t>
  </si>
  <si>
    <t>ISPY2_504838</t>
  </si>
  <si>
    <t>1.3.6.1.4.1.14519.5.2.1.97145253647716488039321793442562227868</t>
  </si>
  <si>
    <t>ISPY2_506623</t>
  </si>
  <si>
    <t>[0, 118, 210, 302, 394, 486]</t>
  </si>
  <si>
    <t>2002/01/04</t>
  </si>
  <si>
    <t>1.3.6.1.4.1.14519.5.2.1.7695.4164.348922472676690258324909746673</t>
  </si>
  <si>
    <t>ISPY2_507198</t>
  </si>
  <si>
    <t>[0, 328, 423, 518, 613, 706]</t>
  </si>
  <si>
    <t>1.3.6.1.4.1.14519.5.2.1.144017546044828752670391797733317944606</t>
  </si>
  <si>
    <t>ISPY2_507249</t>
  </si>
  <si>
    <t>1.3.6.1.4.1.14519.5.2.1.221108972532691203378986317360509776628</t>
  </si>
  <si>
    <t>ISPY2_509012</t>
  </si>
  <si>
    <t>[0, 129, 216, 303, 390, 477]</t>
  </si>
  <si>
    <t>1.3.6.1.4.1.14519.5.2.1.118760937075907614675655697972969047335</t>
  </si>
  <si>
    <t>ISPY2_510543</t>
  </si>
  <si>
    <t>2003/11/01</t>
  </si>
  <si>
    <t>1.3.6.1.4.1.14519.5.2.1.322151037004154611516231893720197257772</t>
  </si>
  <si>
    <t>ISPY2_511851</t>
  </si>
  <si>
    <t>[0, 103, 195, 286, 378, 469]</t>
  </si>
  <si>
    <t>2001/03/04</t>
  </si>
  <si>
    <t>1.3.6.1.4.1.14519.5.2.1.7695.4164.666832883592542047496090248155</t>
  </si>
  <si>
    <t>ISPY2_515105</t>
  </si>
  <si>
    <t>1.3.6.1.4.1.14519.5.2.1.113420046673982207997137231439713910500</t>
  </si>
  <si>
    <t>ISPY2_515141</t>
  </si>
  <si>
    <t>[0.9114583333, 0.9114583333]</t>
  </si>
  <si>
    <t>[0, 89, 179, 269, 358, 448]</t>
  </si>
  <si>
    <t>2000/06/15</t>
  </si>
  <si>
    <t>1.3.6.1.4.1.14519.5.2.1.136930797714202826011517035167551119136</t>
  </si>
  <si>
    <t>ISPY2_515281</t>
  </si>
  <si>
    <t>[0, 138, 227, 315, 403, 492]</t>
  </si>
  <si>
    <t>2002/11/07</t>
  </si>
  <si>
    <t>1.3.6.1.4.1.14519.5.2.1.102642110825396566290852702764272339106</t>
  </si>
  <si>
    <t>ISPY2_515284</t>
  </si>
  <si>
    <t>2003/04/09</t>
  </si>
  <si>
    <t>1.3.6.1.4.1.14519.5.2.1.206674990351644674141926131285803456143</t>
  </si>
  <si>
    <t>ISPY2_515565</t>
  </si>
  <si>
    <t>[1.1458333333, 1.1458333333]</t>
  </si>
  <si>
    <t>1.3.6.1.4.1.14519.5.2.1.255179670992915756324995055496649200419</t>
  </si>
  <si>
    <t>ISPY2_516763</t>
  </si>
  <si>
    <t>[0, 119, 211, 302, 394, 486]</t>
  </si>
  <si>
    <t>1.3.6.1.4.1.14519.5.2.1.7695.4164.309389008658615272172970163798</t>
  </si>
  <si>
    <t>ISPY2_516834</t>
  </si>
  <si>
    <t>[0, 156, 244, 331, 418, 505]</t>
  </si>
  <si>
    <t>1.3.6.1.4.1.14519.5.2.1.7695.4164.122031648252882237820088934911</t>
  </si>
  <si>
    <t>ISPY2_517446</t>
  </si>
  <si>
    <t>[0, 136, 211, 287, 362, 438]</t>
  </si>
  <si>
    <t>1999/02/12</t>
  </si>
  <si>
    <t>1.3.6.1.4.1.14519.5.2.1.305610727588335543605561478846770018648</t>
  </si>
  <si>
    <t>ISPY2_517870</t>
  </si>
  <si>
    <t>1.3.6.1.4.1.14519.5.2.1.124068974288223338293337880813103468515</t>
  </si>
  <si>
    <t>ISPY2_518000</t>
  </si>
  <si>
    <t>[0, 162, 264, 365, 467, 569]</t>
  </si>
  <si>
    <t>2001/11/16</t>
  </si>
  <si>
    <t>1.3.6.1.4.1.14519.5.2.1.222930710705424768356401169710914474667</t>
  </si>
  <si>
    <t>ISPY2_518576</t>
  </si>
  <si>
    <t>[0, 118, 205, 292, 378, 465]</t>
  </si>
  <si>
    <t>1.3.6.1.4.1.14519.5.2.1.13311544558087074831595757466368494442</t>
  </si>
  <si>
    <t>ISPY2_519738</t>
  </si>
  <si>
    <t>[0, 103, 185, 267, 349, 431]</t>
  </si>
  <si>
    <t>2000/04/13</t>
  </si>
  <si>
    <t>1.3.6.1.4.1.14519.5.2.1.235196557018859793453159594173967117049</t>
  </si>
  <si>
    <t>ISPY2_520258</t>
  </si>
  <si>
    <t>[0, 115, 195, 275, 356, 436]</t>
  </si>
  <si>
    <t>2001/02/24</t>
  </si>
  <si>
    <t>1.3.6.1.4.1.14519.5.2.1.197709465014504431328733584975578456858</t>
  </si>
  <si>
    <t>ISPY2_520471</t>
  </si>
  <si>
    <t>[0, 120, 210, 300, 390, 481]</t>
  </si>
  <si>
    <t>2001/03/09</t>
  </si>
  <si>
    <t>1.3.6.1.4.1.14519.5.2.1.7695.4164.413641622289821884993914134898</t>
  </si>
  <si>
    <t>ISPY2_520986</t>
  </si>
  <si>
    <t>2001/12/14</t>
  </si>
  <si>
    <t>1.3.6.1.4.1.14519.5.2.1.55379077622023894489808640017885235293</t>
  </si>
  <si>
    <t>ISPY2_521860</t>
  </si>
  <si>
    <t>[0, 108, 191, 275, 359, 443]</t>
  </si>
  <si>
    <t>2002/01/31</t>
  </si>
  <si>
    <t>1.3.6.1.4.1.14519.5.2.1.246070831898056162080288015688845779709</t>
  </si>
  <si>
    <t>ISPY2_522140</t>
  </si>
  <si>
    <t>[0, 108, 227, 316, 405, 495]</t>
  </si>
  <si>
    <t>1.3.6.1.4.1.14519.5.2.1.7695.4164.205917560015946575727655991672</t>
  </si>
  <si>
    <t>ISPY2_524170</t>
  </si>
  <si>
    <t>[0, 205, 293, 380, 467, 555]</t>
  </si>
  <si>
    <t>2002/08/15</t>
  </si>
  <si>
    <t>1.3.6.1.4.1.14519.5.2.1.7695.4164.114928678614769536982950307947</t>
  </si>
  <si>
    <t>ISPY2_527320</t>
  </si>
  <si>
    <t>2000/02/21</t>
  </si>
  <si>
    <t>1.3.6.1.4.1.14519.5.2.1.268734941094174125098207747759054165539</t>
  </si>
  <si>
    <t>ISPY2_527581</t>
  </si>
  <si>
    <t>[0.8333333333, 0.8333333333]</t>
  </si>
  <si>
    <t>2003/07/17</t>
  </si>
  <si>
    <t>1.3.6.1.4.1.14519.5.2.1.336008399646689828978929690080408341442</t>
  </si>
  <si>
    <t>ISPY2_528479</t>
  </si>
  <si>
    <t>[0, 135, 214, 294, 374, 454]</t>
  </si>
  <si>
    <t>1.3.6.1.4.1.14519.5.2.1.154977317117137031168857784974460944646</t>
  </si>
  <si>
    <t>ISPY2_528833</t>
  </si>
  <si>
    <t>[0.4297, 0.4297]</t>
  </si>
  <si>
    <t>[0, 184, 275, 366, 458, 549]</t>
  </si>
  <si>
    <t>1.3.6.1.4.1.14519.5.2.1.261355559298435914306202682423922080914</t>
  </si>
  <si>
    <t>ISPY2_530095</t>
  </si>
  <si>
    <t>[0, 167, 252, 336, 417, 506]</t>
  </si>
  <si>
    <t>1.3.6.1.4.1.14519.5.2.1.7695.4164.623358079979882711063949076940</t>
  </si>
  <si>
    <t>ISPY2_531672</t>
  </si>
  <si>
    <t>[0, 118, 212, 304, 396, 489]</t>
  </si>
  <si>
    <t>2000/08/30</t>
  </si>
  <si>
    <t>1.3.6.1.4.1.14519.5.2.1.4293720296040138253687665148084823617</t>
  </si>
  <si>
    <t>ISPY2_531988</t>
  </si>
  <si>
    <t>[0, 226, 316, 406, 496, 586]</t>
  </si>
  <si>
    <t>2002/05/05</t>
  </si>
  <si>
    <t>1.3.6.1.4.1.14519.5.2.1.7695.4164.247562690705394587397694046171</t>
  </si>
  <si>
    <t>ISPY2_532183</t>
  </si>
  <si>
    <t>[0, 97, 193, 289, 386, 482]</t>
  </si>
  <si>
    <t>2001/12/21</t>
  </si>
  <si>
    <t>1.3.6.1.4.1.14519.5.2.1.134267277706757340816610708402271894720</t>
  </si>
  <si>
    <t>ISPY2_535415</t>
  </si>
  <si>
    <t>2001/06/03</t>
  </si>
  <si>
    <t>1.3.6.1.4.1.14519.5.2.1.281066666176978700996422329863100657533</t>
  </si>
  <si>
    <t>ISPY2_535569</t>
  </si>
  <si>
    <t>[0, 133, 221, 309, 396, 484]</t>
  </si>
  <si>
    <t>1.3.6.1.4.1.14519.5.2.1.43735527134783178655763300376824153444</t>
  </si>
  <si>
    <t>ISPY2_535779</t>
  </si>
  <si>
    <t>[0, 105, 193, 280, 368, 455]</t>
  </si>
  <si>
    <t>1.3.6.1.4.1.14519.5.2.1.319336301886838921428376826675554890223</t>
  </si>
  <si>
    <t>ISPY2_536253</t>
  </si>
  <si>
    <t>2003/06/27</t>
  </si>
  <si>
    <t>1.3.6.1.4.1.14519.5.2.1.8890119560799217049898608079711988942</t>
  </si>
  <si>
    <t>ISPY2_539291</t>
  </si>
  <si>
    <t>[0, 89, 170, 252, 333, 415]</t>
  </si>
  <si>
    <t>1.3.6.1.4.1.14519.5.2.1.165052229186663116897208040395015042046</t>
  </si>
  <si>
    <t>ISPY2_539876</t>
  </si>
  <si>
    <t>[0, 141, 239, 337, 436, 534]</t>
  </si>
  <si>
    <t>2003/02/05</t>
  </si>
  <si>
    <t>1.3.6.1.4.1.14519.5.2.1.7867658972562638938841335565410026756</t>
  </si>
  <si>
    <t>ISPY2_539904</t>
  </si>
  <si>
    <t>[0, 155, 256, 357, 458, 558]</t>
  </si>
  <si>
    <t>2001/08/24</t>
  </si>
  <si>
    <t>1.3.6.1.4.1.14519.5.2.1.265473611854353917365389293688147033815</t>
  </si>
  <si>
    <t>ISPY2_540539</t>
  </si>
  <si>
    <t>1999/11/19</t>
  </si>
  <si>
    <t>1.3.6.1.4.1.14519.5.2.1.163719194835539962168614169405328141208</t>
  </si>
  <si>
    <t>ISPY2_541165</t>
  </si>
  <si>
    <t>1999/03/31</t>
  </si>
  <si>
    <t>1.3.6.1.4.1.14519.5.2.1.327085915696612155962040468192119060922</t>
  </si>
  <si>
    <t>ISPY2_542392</t>
  </si>
  <si>
    <t>2001/04/14</t>
  </si>
  <si>
    <t>1.3.6.1.4.1.14519.5.2.1.158486215425832639688260320733569787899</t>
  </si>
  <si>
    <t>ISPY2_543795</t>
  </si>
  <si>
    <t>2004/11/27</t>
  </si>
  <si>
    <t>1.3.6.1.4.1.14519.5.2.1.180793167241258041292752518083481263472</t>
  </si>
  <si>
    <t>ISPY2_547892</t>
  </si>
  <si>
    <t>[0, 141, 231, 320, 409, 499]</t>
  </si>
  <si>
    <t>1.3.6.1.4.1.14519.5.2.1.7695.4164.251458696410255608024280905319</t>
  </si>
  <si>
    <t>ISPY2_549172</t>
  </si>
  <si>
    <t>[0, 159, 246, 333, 420, 507]</t>
  </si>
  <si>
    <t>2001/01/19</t>
  </si>
  <si>
    <t>1.3.6.1.4.1.14519.5.2.1.214767256951663514043564017568242002152</t>
  </si>
  <si>
    <t>ISPY2_550157</t>
  </si>
  <si>
    <t>[0, 112, 199, 287, 374, 462]</t>
  </si>
  <si>
    <t>2003/05/18</t>
  </si>
  <si>
    <t>1.3.6.1.4.1.14519.5.2.1.160981405159559564314608465229644896970</t>
  </si>
  <si>
    <t>ISPY2_550421</t>
  </si>
  <si>
    <t>[0.6880733967, 0.6880733967]</t>
  </si>
  <si>
    <t>[0, 115, 196, 277, 359, 440]</t>
  </si>
  <si>
    <t>1.3.6.1.4.1.14519.5.2.1.166051397936160709359262523735250764582</t>
  </si>
  <si>
    <t>ISPY2_551795</t>
  </si>
  <si>
    <t>[0, 122, 202, 282, 362, 441]</t>
  </si>
  <si>
    <t>1.3.6.1.4.1.14519.5.2.1.243122318669685713706380023842497712959</t>
  </si>
  <si>
    <t>ISPY2_552313</t>
  </si>
  <si>
    <t>[0.8854166667, 0.8854166667]</t>
  </si>
  <si>
    <t>2000/03/31</t>
  </si>
  <si>
    <t>1.3.6.1.4.1.14519.5.2.1.36796279157420461340842271123789357515</t>
  </si>
  <si>
    <t>ISPY2_552549</t>
  </si>
  <si>
    <t>[0, 100, 189, 278, 367, 456]</t>
  </si>
  <si>
    <t>2002/03/29</t>
  </si>
  <si>
    <t>1.3.6.1.4.1.14519.5.2.1.203541651132363818375435261827701268961</t>
  </si>
  <si>
    <t>ISPY2_553012</t>
  </si>
  <si>
    <t>[0, 124, 213, 303, 392, 481]</t>
  </si>
  <si>
    <t>1.3.6.1.4.1.14519.5.2.1.156326950007477009242299593199004259071</t>
  </si>
  <si>
    <t>ISPY2_553141</t>
  </si>
  <si>
    <t>[0, 212, 304, 397, 489, 582]</t>
  </si>
  <si>
    <t>1999/10/23</t>
  </si>
  <si>
    <t>1.3.6.1.4.1.14519.5.2.1.313193369772267648156842059033720549215</t>
  </si>
  <si>
    <t>ISPY2_554577</t>
  </si>
  <si>
    <t>[0, 146, 245, 343, 442, 540]</t>
  </si>
  <si>
    <t>1.3.6.1.4.1.14519.5.2.1.270408180795435401884494109913688608469</t>
  </si>
  <si>
    <t>ISPY2_555214</t>
  </si>
  <si>
    <t>[0, 125, 211, 297, 383, 469]</t>
  </si>
  <si>
    <t>2001/09/20</t>
  </si>
  <si>
    <t>1.3.6.1.4.1.14519.5.2.1.190443389774024045642253754651241088436</t>
  </si>
  <si>
    <t>ISPY2_559021</t>
  </si>
  <si>
    <t>2001/04/29</t>
  </si>
  <si>
    <t>1.3.6.1.4.1.14519.5.2.1.225558830274075397194792974616151449313</t>
  </si>
  <si>
    <t>ISPY2_559263</t>
  </si>
  <si>
    <t>[0, 167, 247, 327, 407, 487]</t>
  </si>
  <si>
    <t>1.3.6.1.4.1.14519.5.2.1.91286567587001544666585276871693754314</t>
  </si>
  <si>
    <t>ISPY2_563681</t>
  </si>
  <si>
    <t>[0, 98, 190, 281, 373, 465]</t>
  </si>
  <si>
    <t>1.3.6.1.4.1.14519.5.2.1.7695.4164.337287078137862974663310410721</t>
  </si>
  <si>
    <t>ISPY2_563856</t>
  </si>
  <si>
    <t>[0, 110, 202, 295, 388, 481]</t>
  </si>
  <si>
    <t>2000/09/15</t>
  </si>
  <si>
    <t>1.3.6.1.4.1.14519.5.2.1.18124150867665865517143794193122410007</t>
  </si>
  <si>
    <t>ISPY2_564234</t>
  </si>
  <si>
    <t>[0, 97, 195, 293, 391, 488]</t>
  </si>
  <si>
    <t>1999/04/11</t>
  </si>
  <si>
    <t>1.3.6.1.4.1.14519.5.2.1.318260013299876716226443577277109081562</t>
  </si>
  <si>
    <t>ISPY2_564701</t>
  </si>
  <si>
    <t>1.3.6.1.4.1.14519.5.2.1.7695.4164.702514431131576104212561782529</t>
  </si>
  <si>
    <t>ISPY2_566011</t>
  </si>
  <si>
    <t>[0, 509, 605, 699, 792, 885]</t>
  </si>
  <si>
    <t>1999/05/06</t>
  </si>
  <si>
    <t>1.3.6.1.4.1.14519.5.2.1.333071702667021855868752024954107288900</t>
  </si>
  <si>
    <t>ISPY2_567201</t>
  </si>
  <si>
    <t>[0, 149, 239, 328, 417, 506]</t>
  </si>
  <si>
    <t>2003/04/24</t>
  </si>
  <si>
    <t>1.3.6.1.4.1.14519.5.2.1.63817939119839257192132410091601519094</t>
  </si>
  <si>
    <t>ISPY2_567907</t>
  </si>
  <si>
    <t>2001/10/27</t>
  </si>
  <si>
    <t>1.3.6.1.4.1.14519.5.2.1.58679201726011711566082174401805267981</t>
  </si>
  <si>
    <t>ISPY2_568331</t>
  </si>
  <si>
    <t>2000/12/02</t>
  </si>
  <si>
    <t>1.3.6.1.4.1.14519.5.2.1.311309179672217104827080265558256809527</t>
  </si>
  <si>
    <t>ISPY2_568953</t>
  </si>
  <si>
    <t>[0, 148, 248, 348, 447, 547]</t>
  </si>
  <si>
    <t>1.3.6.1.4.1.14519.5.2.1.36200278733182781906766904468689551304</t>
  </si>
  <si>
    <t>ISPY2_570148</t>
  </si>
  <si>
    <t>[0, 299, 393, 489, 584, 679]</t>
  </si>
  <si>
    <t>1999/05/20</t>
  </si>
  <si>
    <t>1.3.6.1.4.1.14519.5.2.1.133130995186748212033816319470839574792</t>
  </si>
  <si>
    <t>ISPY2_570380</t>
  </si>
  <si>
    <t>1999/07/22</t>
  </si>
  <si>
    <t>1.3.6.1.4.1.14519.5.2.1.281514909816754303560614950071543478339</t>
  </si>
  <si>
    <t>ISPY2_570685</t>
  </si>
  <si>
    <t>[0, 130, 219, 308, 398, 487]</t>
  </si>
  <si>
    <t>1.3.6.1.4.1.14519.5.2.1.315367924213528399586863787434203657905</t>
  </si>
  <si>
    <t>ISPY2_570966</t>
  </si>
  <si>
    <t>2002/01/30</t>
  </si>
  <si>
    <t>1.3.6.1.4.1.14519.5.2.1.35262225344194153530883402904835554547</t>
  </si>
  <si>
    <t>ISPY2_571276</t>
  </si>
  <si>
    <t>[0, 110, 199, 288, 378, 467]</t>
  </si>
  <si>
    <t>1.3.6.1.4.1.14519.5.2.1.62800609340301793606369154324224767843</t>
  </si>
  <si>
    <t>ISPY2_571995</t>
  </si>
  <si>
    <t>[0, 165, 252, 339, 426, 513]</t>
  </si>
  <si>
    <t>2002/08/03</t>
  </si>
  <si>
    <t>1.3.6.1.4.1.14519.5.2.1.7695.4164.208195066885186128318209476877</t>
  </si>
  <si>
    <t>ISPY2_572016</t>
  </si>
  <si>
    <t>1.3.6.1.4.1.14519.5.2.1.263538859098926347058038482650571928613</t>
  </si>
  <si>
    <t>ISPY2_572235</t>
  </si>
  <si>
    <t>[0, 159, 252, 344, 437, 529]</t>
  </si>
  <si>
    <t>1.3.6.1.4.1.14519.5.2.1.321144329775091572551994853991361579311</t>
  </si>
  <si>
    <t>ISPY2_572444</t>
  </si>
  <si>
    <t>[1.0416666667, 1.0416666667]</t>
  </si>
  <si>
    <t>[0, 90, 179, 269, 359, 449]</t>
  </si>
  <si>
    <t>2000/01/22</t>
  </si>
  <si>
    <t>1.3.6.1.4.1.14519.5.2.1.333816285004237517354125470964544319216</t>
  </si>
  <si>
    <t>ISPY2_572731</t>
  </si>
  <si>
    <t>[0, 190, 275, 360, 444, 529]</t>
  </si>
  <si>
    <t>2000/03/11</t>
  </si>
  <si>
    <t>1.3.6.1.4.1.14519.5.2.1.7987765533562556521662668946750271848</t>
  </si>
  <si>
    <t>ISPY2_572793</t>
  </si>
  <si>
    <t>[0.678571403, 0.678571403]</t>
  </si>
  <si>
    <t>[0, 202, 292, 382, 472, 562]</t>
  </si>
  <si>
    <t>2001/05/23</t>
  </si>
  <si>
    <t>1.3.6.1.4.1.14519.5.2.1.339133042855736217220974891955986828089</t>
  </si>
  <si>
    <t>ISPY2_573586</t>
  </si>
  <si>
    <t>2000/02/05</t>
  </si>
  <si>
    <t>1.3.6.1.4.1.14519.5.2.1.175645362983443501446337418168891225711</t>
  </si>
  <si>
    <t>ISPY2_573605</t>
  </si>
  <si>
    <t>[0, 171, 257, 344, 431, 518]</t>
  </si>
  <si>
    <t>2001/08/18</t>
  </si>
  <si>
    <t>1.3.6.1.4.1.14519.5.2.1.7695.4164.764922972559760375545511858884</t>
  </si>
  <si>
    <t>ISPY2_573881</t>
  </si>
  <si>
    <t>1999/08/26</t>
  </si>
  <si>
    <t>1.3.6.1.4.1.14519.5.2.1.77104067578505453223014593242870967482</t>
  </si>
  <si>
    <t>ISPY2_573919</t>
  </si>
  <si>
    <t>[0, 105, 197, 288, 380, 472]</t>
  </si>
  <si>
    <t>2001/03/10</t>
  </si>
  <si>
    <t>1.3.6.1.4.1.14519.5.2.1.7695.4164.524193883223265496497234252096</t>
  </si>
  <si>
    <t>ISPY2_574091</t>
  </si>
  <si>
    <t>[0, 235, 322, 409, 495, 582]</t>
  </si>
  <si>
    <t>2004/10/16</t>
  </si>
  <si>
    <t>1.3.6.1.4.1.14519.5.2.1.185686913609469506539440903015794305374</t>
  </si>
  <si>
    <t>ISPY2_575372</t>
  </si>
  <si>
    <t>[0, 270, 372, 461, 552, 643]</t>
  </si>
  <si>
    <t>1998/10/15</t>
  </si>
  <si>
    <t>1.3.6.1.4.1.14519.5.2.1.331159565283101324317353656738183283985</t>
  </si>
  <si>
    <t>ISPY2_575457</t>
  </si>
  <si>
    <t>[0, 163, 246, 329, 412, 495]</t>
  </si>
  <si>
    <t>2003/07/03</t>
  </si>
  <si>
    <t>1.3.6.1.4.1.14519.5.2.1.88545328873883442708965525438560739401</t>
  </si>
  <si>
    <t>ISPY2_578975</t>
  </si>
  <si>
    <t>[0, 125, 213, 302, 390, 479]</t>
  </si>
  <si>
    <t>1.3.6.1.4.1.14519.5.2.1.226924024467741227767713759420989613088</t>
  </si>
  <si>
    <t>ISPY2_579881</t>
  </si>
  <si>
    <t>[0, 322, 432, 536, 641, 748]</t>
  </si>
  <si>
    <t>1998/06/18</t>
  </si>
  <si>
    <t>1.3.6.1.4.1.14519.5.2.1.283642541679663578086899313965563597434</t>
  </si>
  <si>
    <t>ISPY2_580541</t>
  </si>
  <si>
    <t>1.3.6.1.4.1.14519.5.2.1.7695.4164.147604881683936860643640020006</t>
  </si>
  <si>
    <t>ISPY2_580632</t>
  </si>
  <si>
    <t>[0, 222, 309, 396, 483, 570]</t>
  </si>
  <si>
    <t>2001/03/29</t>
  </si>
  <si>
    <t>1.3.6.1.4.1.14519.5.2.1.7695.4164.243775088696146389404864880151</t>
  </si>
  <si>
    <t>ISPY2_581648</t>
  </si>
  <si>
    <t>[0, 128, 211, 295, 378, 462]</t>
  </si>
  <si>
    <t>2000/07/29</t>
  </si>
  <si>
    <t>1.3.6.1.4.1.14519.5.2.1.123448329666491260746796006063044112538</t>
  </si>
  <si>
    <t>ISPY2_584561</t>
  </si>
  <si>
    <t>[0, 117, 202, 287, 372, 458]</t>
  </si>
  <si>
    <t>1.3.6.1.4.1.14519.5.2.1.7695.4164.242310773398750521950990533075</t>
  </si>
  <si>
    <t>ISPY2_586091</t>
  </si>
  <si>
    <t>[0, 96, 193, 289, 386, 483]</t>
  </si>
  <si>
    <t>2004/09/02</t>
  </si>
  <si>
    <t>1.3.6.1.4.1.14519.5.2.1.87143739195864291842591995504523223470</t>
  </si>
  <si>
    <t>ISPY2_586207</t>
  </si>
  <si>
    <t>2001/04/28</t>
  </si>
  <si>
    <t>1.3.6.1.4.1.14519.5.2.1.260171721483757355807451399669520558369</t>
  </si>
  <si>
    <t>ISPY2_587388</t>
  </si>
  <si>
    <t>1999/10/17</t>
  </si>
  <si>
    <t>1.3.6.1.4.1.14519.5.2.1.186437867918875645266426410684674227979</t>
  </si>
  <si>
    <t>ISPY2_587604</t>
  </si>
  <si>
    <t>[0, 81, 163, 245, 326, 408]</t>
  </si>
  <si>
    <t>2002/12/04</t>
  </si>
  <si>
    <t>1.3.6.1.4.1.14519.5.2.1.7695.4164.125843940396268948408069541889</t>
  </si>
  <si>
    <t>ISPY2_587691</t>
  </si>
  <si>
    <t>[0, 123, 208, 293, 378, 463]</t>
  </si>
  <si>
    <t>1.3.6.1.4.1.14519.5.2.1.7695.4164.142169838401123256735606628707</t>
  </si>
  <si>
    <t>ISPY2_589502</t>
  </si>
  <si>
    <t>[0, 185, 278, 372, 466, 559]</t>
  </si>
  <si>
    <t>1.3.6.1.4.1.14519.5.2.1.320538636429088589134934858611129509741</t>
  </si>
  <si>
    <t>ISPY2_590220</t>
  </si>
  <si>
    <t>[1.40625, 1.40625]</t>
  </si>
  <si>
    <t>[0, 131, 226, 318, 411, 503]</t>
  </si>
  <si>
    <t>1.3.6.1.4.1.14519.5.2.1.12808187178739954978880079516725357757</t>
  </si>
  <si>
    <t>ISPY2_590299</t>
  </si>
  <si>
    <t>[0, 90, 180, 269, 359, 448]</t>
  </si>
  <si>
    <t>2001/11/22</t>
  </si>
  <si>
    <t>1.3.6.1.4.1.14519.5.2.1.301203460672314663737118204096030658314</t>
  </si>
  <si>
    <t>ISPY2_591079</t>
  </si>
  <si>
    <t>[0, 120, 222, 324, 427, 529]</t>
  </si>
  <si>
    <t>1.3.6.1.4.1.14519.5.2.1.311082425073139961571381066097230651907</t>
  </si>
  <si>
    <t>ISPY2_591180</t>
  </si>
  <si>
    <t>[0, 113, 204, 295, 386, 477]</t>
  </si>
  <si>
    <t>1.3.6.1.4.1.14519.5.2.1.73310241415869419496024357449770455029</t>
  </si>
  <si>
    <t>ISPY2_591810</t>
  </si>
  <si>
    <t>[0, 105, 190, 274, 359, 444]</t>
  </si>
  <si>
    <t>1.3.6.1.4.1.14519.5.2.1.7695.4164.253419039962863365777596554524</t>
  </si>
  <si>
    <t>ISPY2_592535</t>
  </si>
  <si>
    <t>1999/07/17</t>
  </si>
  <si>
    <t>1.3.6.1.4.1.14519.5.2.1.64494292095497548445257553393888720911</t>
  </si>
  <si>
    <t>ISPY2_596079</t>
  </si>
  <si>
    <t>[0, 129, 227, 325, 423]</t>
  </si>
  <si>
    <t>1999/03/21</t>
  </si>
  <si>
    <t>1.3.6.1.4.1.14519.5.2.1.204788139402938776643369452905249523851</t>
  </si>
  <si>
    <t>ISPY2_596458</t>
  </si>
  <si>
    <t>1999/07/25</t>
  </si>
  <si>
    <t>1.3.6.1.4.1.14519.5.2.1.154488239839618861231232108917232452774</t>
  </si>
  <si>
    <t>ISPY2_597253</t>
  </si>
  <si>
    <t>1.3.6.1.4.1.14519.5.2.1.8041731539760371602106639635914896737</t>
  </si>
  <si>
    <t>ISPY2_597873</t>
  </si>
  <si>
    <t>[0, 143, 238, 332, 427, 522]</t>
  </si>
  <si>
    <t>1.3.6.1.4.1.14519.5.2.1.21443431109549078742882718364794162738</t>
  </si>
  <si>
    <t>ISPY2_597907</t>
  </si>
  <si>
    <t>[0, 172, 256, 339, 422, 506]</t>
  </si>
  <si>
    <t>1.3.6.1.4.1.14519.5.2.1.7695.4164.609314285895419191417991654238</t>
  </si>
  <si>
    <t>ISPY2_598798</t>
  </si>
  <si>
    <t>1.3.6.1.4.1.14519.5.2.1.75157117233554186205794114524214661836</t>
  </si>
  <si>
    <t>ISPY2_598835</t>
  </si>
  <si>
    <t>[0, 140, 221, 320, 421, 501]</t>
  </si>
  <si>
    <t>1.3.6.1.4.1.14519.5.2.1.7695.4164.414438642440923579430358506036</t>
  </si>
  <si>
    <t>ISPY2_600536</t>
  </si>
  <si>
    <t>[0, 115, 214, 313, 412, 512]</t>
  </si>
  <si>
    <t>2000/03/16</t>
  </si>
  <si>
    <t>1.3.6.1.4.1.14519.5.2.1.295126961492054232602171029548925198530</t>
  </si>
  <si>
    <t>ISPY2_601489</t>
  </si>
  <si>
    <t>1.3.6.1.4.1.14519.5.2.1.40160240154204386204248047253251581886</t>
  </si>
  <si>
    <t>ISPY2_602451</t>
  </si>
  <si>
    <t>[0, 156, 264, 371, 588, 702]</t>
  </si>
  <si>
    <t>2003/08/17</t>
  </si>
  <si>
    <t>1.3.6.1.4.1.14519.5.2.1.83346696237236259436777099265809573897</t>
  </si>
  <si>
    <t>ISPY2_602943</t>
  </si>
  <si>
    <t>[0, 90, 150, 210, 270, 330]</t>
  </si>
  <si>
    <t>1998/12/16</t>
  </si>
  <si>
    <t>1.3.6.1.4.1.14519.5.2.1.71151040901947746708130799125492966461</t>
  </si>
  <si>
    <t>ISPY2_604199</t>
  </si>
  <si>
    <t>[0, 336, 423, 510, 597, 684]</t>
  </si>
  <si>
    <t>2001/05/14</t>
  </si>
  <si>
    <t>1.3.6.1.4.1.14519.5.2.1.307136526403312208778711550945217622431</t>
  </si>
  <si>
    <t>ISPY2_604326</t>
  </si>
  <si>
    <t>[0, 120, 211, 303, 395, 487]</t>
  </si>
  <si>
    <t>2001/12/09</t>
  </si>
  <si>
    <t>1.3.6.1.4.1.14519.5.2.1.328920515864336630224702008671316135884</t>
  </si>
  <si>
    <t>ISPY2_604380</t>
  </si>
  <si>
    <t>[0, 183, 268, 352, 437, 522]</t>
  </si>
  <si>
    <t>1.3.6.1.4.1.14519.5.2.1.197833497503864662151756527046209655149</t>
  </si>
  <si>
    <t>ISPY2_605713</t>
  </si>
  <si>
    <t>[0, 485, 599, 699, 799, 900]</t>
  </si>
  <si>
    <t>1998/11/12</t>
  </si>
  <si>
    <t>1.3.6.1.4.1.14519.5.2.1.49398102624585740433833201592919846641</t>
  </si>
  <si>
    <t>ISPY2_607047</t>
  </si>
  <si>
    <t>[0, 114, 206, 299, 392, 485]</t>
  </si>
  <si>
    <t>1.3.6.1.4.1.14519.5.2.1.267639973207388749267338937384279086045</t>
  </si>
  <si>
    <t>ISPY2_607843</t>
  </si>
  <si>
    <t>1.3.6.1.4.1.14519.5.2.1.7695.4164.132937657386818753972477870610</t>
  </si>
  <si>
    <t>ISPY2_609151</t>
  </si>
  <si>
    <t>[0, 165, 252, 339, 427, 514]</t>
  </si>
  <si>
    <t>2001/06/02</t>
  </si>
  <si>
    <t>1.3.6.1.4.1.14519.5.2.1.7695.4164.300466777568615436483340231621</t>
  </si>
  <si>
    <t>ISPY2_609642</t>
  </si>
  <si>
    <t>[0, 120, 213, 308, 401, 495]</t>
  </si>
  <si>
    <t>2001/04/15</t>
  </si>
  <si>
    <t>1.3.6.1.4.1.14519.5.2.1.199697845200297269759717392176523813350</t>
  </si>
  <si>
    <t>ISPY2_609897</t>
  </si>
  <si>
    <t>[0, 374, 467, 556, 644, 732]</t>
  </si>
  <si>
    <t>1998/08/15</t>
  </si>
  <si>
    <t>1.3.6.1.4.1.14519.5.2.1.11751673250300455740308182780224806186</t>
  </si>
  <si>
    <t>ISPY2_611662</t>
  </si>
  <si>
    <t>[0, 207, 295, 383, 471, 559]</t>
  </si>
  <si>
    <t>1999/11/04</t>
  </si>
  <si>
    <t>1.3.6.1.4.1.14519.5.2.1.20171460846708557104227943593681583004</t>
  </si>
  <si>
    <t>ISPY2_613188</t>
  </si>
  <si>
    <t>[0, 128, 227, 327, 426, 526]</t>
  </si>
  <si>
    <t>2000/10/19</t>
  </si>
  <si>
    <t>1.3.6.1.4.1.14519.5.2.1.310366796384451809778415817930348158143</t>
  </si>
  <si>
    <t>ISPY2_613961</t>
  </si>
  <si>
    <t>[0, 108, 198, 289, 379, 469]</t>
  </si>
  <si>
    <t>2003/10/08</t>
  </si>
  <si>
    <t>1.3.6.1.4.1.14519.5.2.1.243074902308241218798471533636134804135</t>
  </si>
  <si>
    <t>ISPY2_614044</t>
  </si>
  <si>
    <t>[0, 236, 321, 406, 491, 576]</t>
  </si>
  <si>
    <t>2000/09/01</t>
  </si>
  <si>
    <t>1.3.6.1.4.1.14519.5.2.1.67460297100428349168905674834880075954</t>
  </si>
  <si>
    <t>ISPY2_614434</t>
  </si>
  <si>
    <t>[0, 137, 238, 338, 439, 539]</t>
  </si>
  <si>
    <t>2001/12/28</t>
  </si>
  <si>
    <t>1.3.6.1.4.1.14519.5.2.1.139107598308308210119372992329676676283</t>
  </si>
  <si>
    <t>ISPY2_615873</t>
  </si>
  <si>
    <t>2000/11/04</t>
  </si>
  <si>
    <t>1.3.6.1.4.1.14519.5.2.1.59858970125674574707344026000744606687</t>
  </si>
  <si>
    <t>ISPY2_616994</t>
  </si>
  <si>
    <t>[0, 132, 221, 311, 400, 490]</t>
  </si>
  <si>
    <t>2004/11/20</t>
  </si>
  <si>
    <t>1.3.6.1.4.1.14519.5.2.1.3293453802126347992917563008443210304</t>
  </si>
  <si>
    <t>ISPY2_618240</t>
  </si>
  <si>
    <t>1.3.6.1.4.1.14519.5.2.1.120470018653217975479526210233400067709</t>
  </si>
  <si>
    <t>ISPY2_618717</t>
  </si>
  <si>
    <t>1.3.6.1.4.1.14519.5.2.1.7695.4164.202602171955953763625278340263</t>
  </si>
  <si>
    <t>ISPY2_618860</t>
  </si>
  <si>
    <t>[0, 118, 203, 287, 371, 456]</t>
  </si>
  <si>
    <t>2001/06/14</t>
  </si>
  <si>
    <t>1.3.6.1.4.1.14519.5.2.1.7695.4164.410702129417211442148347101904</t>
  </si>
  <si>
    <t>ISPY2_621179</t>
  </si>
  <si>
    <t>[0, 124, 218, 315, 409, 503]</t>
  </si>
  <si>
    <t>1.3.6.1.4.1.14519.5.2.1.89607890664551169017500328529264095426</t>
  </si>
  <si>
    <t>ISPY2_622078</t>
  </si>
  <si>
    <t>2000/07/16</t>
  </si>
  <si>
    <t>1.3.6.1.4.1.14519.5.2.1.590607281662575619568030266124668999</t>
  </si>
  <si>
    <t>ISPY2_622315</t>
  </si>
  <si>
    <t>[0, 145, 233, 322, 410, 499]</t>
  </si>
  <si>
    <t>1.3.6.1.4.1.14519.5.2.1.103020516141278807806829636327854485452</t>
  </si>
  <si>
    <t>ISPY2_622688</t>
  </si>
  <si>
    <t>1.3.6.1.4.1.14519.5.2.1.241625532954734191930128027268431801285</t>
  </si>
  <si>
    <t>ISPY2_623086</t>
  </si>
  <si>
    <t>[0, 197, 282, 368, 454, 540]</t>
  </si>
  <si>
    <t>1.3.6.1.4.1.14519.5.2.1.31596144519286210632976751176723111514</t>
  </si>
  <si>
    <t>ISPY2_623569</t>
  </si>
  <si>
    <t>[0, 135, 215, 295, 375, 455]</t>
  </si>
  <si>
    <t>1.3.6.1.4.1.14519.5.2.1.239227310086889655828929692292404853276</t>
  </si>
  <si>
    <t>ISPY2_624777</t>
  </si>
  <si>
    <t>[0, 156, 240, 324, 408, 492]</t>
  </si>
  <si>
    <t>2002/12/12</t>
  </si>
  <si>
    <t>1.3.6.1.4.1.14519.5.2.1.209086455054508628455721767065019084718</t>
  </si>
  <si>
    <t>ISPY2_625800</t>
  </si>
  <si>
    <t>[0, 130, 215, 301, 387, 473]</t>
  </si>
  <si>
    <t>1999/04/24</t>
  </si>
  <si>
    <t>1.3.6.1.4.1.14519.5.2.1.94445096959965750308664714746903737764</t>
  </si>
  <si>
    <t>ISPY2_625854</t>
  </si>
  <si>
    <t>[0, 97, 193, 290, 387, 484]</t>
  </si>
  <si>
    <t>2004/12/03</t>
  </si>
  <si>
    <t>1.3.6.1.4.1.14519.5.2.1.273815098458705316657668615761069138184</t>
  </si>
  <si>
    <t>ISPY2_627118</t>
  </si>
  <si>
    <t>[0, 278, 371, 464, 557, 648]</t>
  </si>
  <si>
    <t>1999/02/20</t>
  </si>
  <si>
    <t>1.3.6.1.4.1.14519.5.2.1.196155521324199825950279438190277149866</t>
  </si>
  <si>
    <t>ISPY2_627981</t>
  </si>
  <si>
    <t>1.3.6.1.4.1.14519.5.2.1.34672148100345675134482154406975404205</t>
  </si>
  <si>
    <t>ISPY2_628692</t>
  </si>
  <si>
    <t>[0, 340, 429, 513, 597, 682]</t>
  </si>
  <si>
    <t>1998/08/27</t>
  </si>
  <si>
    <t>1.3.6.1.4.1.14519.5.2.1.96657266384457902735018012218845355275</t>
  </si>
  <si>
    <t>ISPY2_628788</t>
  </si>
  <si>
    <t>1.3.6.1.4.1.14519.5.2.1.7695.4164.327395145625810010102069976322</t>
  </si>
  <si>
    <t>ISPY2_628823</t>
  </si>
  <si>
    <t>[0, 115, 203, 291, 378, 466]</t>
  </si>
  <si>
    <t>1.3.6.1.4.1.14519.5.2.1.7695.4164.227117351763386977418978237759</t>
  </si>
  <si>
    <t>ISPY2_629210</t>
  </si>
  <si>
    <t>[0, 197, 291, 385, 478, 572]</t>
  </si>
  <si>
    <t>1999/02/07</t>
  </si>
  <si>
    <t>1.3.6.1.4.1.14519.5.2.1.171077596437185885623599888773368798300</t>
  </si>
  <si>
    <t>ISPY2_629371</t>
  </si>
  <si>
    <t>[0, 181, 266, 350, 435, 519]</t>
  </si>
  <si>
    <t>1.3.6.1.4.1.14519.5.2.1.7695.4164.108311957234708245697890431325</t>
  </si>
  <si>
    <t>ISPY2_629606</t>
  </si>
  <si>
    <t>[0, 121, 210, 300, 390, 481]</t>
  </si>
  <si>
    <t>2001/04/18</t>
  </si>
  <si>
    <t>1.3.6.1.4.1.14519.5.2.1.7695.4164.251146318816609264036270862469</t>
  </si>
  <si>
    <t>ISPY2_630758</t>
  </si>
  <si>
    <t>[0, 276, 372, 468, 562, 656]</t>
  </si>
  <si>
    <t>1.3.6.1.4.1.14519.5.2.1.122464966227552935936239339331100451101</t>
  </si>
  <si>
    <t>ISPY2_631299</t>
  </si>
  <si>
    <t>[0, 157, 246, 335, 425, 514]</t>
  </si>
  <si>
    <t>1.3.6.1.4.1.14519.5.2.1.7695.4164.303620066684187367180366379107</t>
  </si>
  <si>
    <t>ISPY2_631337</t>
  </si>
  <si>
    <t>[0, 129, 226, 325, 422, 520]</t>
  </si>
  <si>
    <t>2001/06/27</t>
  </si>
  <si>
    <t>1.3.6.1.4.1.14519.5.2.1.285137602056919924279889342226816033823</t>
  </si>
  <si>
    <t>ISPY2_632408</t>
  </si>
  <si>
    <t>[0, 130, 222, 314, 406, 498]</t>
  </si>
  <si>
    <t>2000/10/04</t>
  </si>
  <si>
    <t>1.3.6.1.4.1.14519.5.2.1.336281911111141019415412151480898213214</t>
  </si>
  <si>
    <t>ISPY2_635632</t>
  </si>
  <si>
    <t>[0, 207, 294, 381, 468, 555]</t>
  </si>
  <si>
    <t>2002/04/06</t>
  </si>
  <si>
    <t>1.3.6.1.4.1.14519.5.2.1.7695.4164.223342197659725390445841354658</t>
  </si>
  <si>
    <t>ISPY2_635862</t>
  </si>
  <si>
    <t>[0, 210, 302, 395, 487, 580]</t>
  </si>
  <si>
    <t>1.3.6.1.4.1.14519.5.2.1.278571633925437921432829080595563228893</t>
  </si>
  <si>
    <t>ISPY2_636424</t>
  </si>
  <si>
    <t>[0, 186, 273, 359, 446, 532]</t>
  </si>
  <si>
    <t>2004/07/31</t>
  </si>
  <si>
    <t>1.3.6.1.4.1.14519.5.2.1.184536358899987436302677916850142613282</t>
  </si>
  <si>
    <t>ISPY2_637051</t>
  </si>
  <si>
    <t>[0, 271, 377, 482, 588, 693]</t>
  </si>
  <si>
    <t>2003/06/08</t>
  </si>
  <si>
    <t>1.3.6.1.4.1.14519.5.2.1.171054837661911005986663403777422316308</t>
  </si>
  <si>
    <t>ISPY2_637566</t>
  </si>
  <si>
    <t>[0, 158, 258, 359, 459, 560]</t>
  </si>
  <si>
    <t>2001/05/17</t>
  </si>
  <si>
    <t>1.3.6.1.4.1.14519.5.2.1.108665292540700011260365637749054971311</t>
  </si>
  <si>
    <t>ISPY2_637752</t>
  </si>
  <si>
    <t>[0.7552083135, 0.7552083135]</t>
  </si>
  <si>
    <t>[0, 121, 212, 303, 394, 485]</t>
  </si>
  <si>
    <t>2000/05/24</t>
  </si>
  <si>
    <t>1.3.6.1.4.1.14519.5.2.1.247183974018813530200395828380372354372</t>
  </si>
  <si>
    <t>ISPY2_638126</t>
  </si>
  <si>
    <t>[0, 164, 251, 338, 425, 512]</t>
  </si>
  <si>
    <t>1.3.6.1.4.1.14519.5.2.1.7695.4164.311986944422744476529583359696</t>
  </si>
  <si>
    <t>ISPY2_639663</t>
  </si>
  <si>
    <t>[0, 145, 225, 305, 385, 465]</t>
  </si>
  <si>
    <t>2001/11/29</t>
  </si>
  <si>
    <t>1.3.6.1.4.1.14519.5.2.1.133087012835093706878134479640488021221</t>
  </si>
  <si>
    <t>ISPY2_640043</t>
  </si>
  <si>
    <t>[0, 108, 193, 278, 364, 451]</t>
  </si>
  <si>
    <t>2004/03/14</t>
  </si>
  <si>
    <t>1.3.6.1.4.1.14519.5.2.1.173168997593571113069262595972296722858</t>
  </si>
  <si>
    <t>ISPY2_640463</t>
  </si>
  <si>
    <t>[0, 120, 211, 303, 394, 485]</t>
  </si>
  <si>
    <t>1999/11/24</t>
  </si>
  <si>
    <t>1.3.6.1.4.1.14519.5.2.1.311875959407099051699499138590860757922</t>
  </si>
  <si>
    <t>ISPY2_640927</t>
  </si>
  <si>
    <t>1.3.6.1.4.1.14519.5.2.1.95781153719745389471995793240791461219</t>
  </si>
  <si>
    <t>ISPY2_641246</t>
  </si>
  <si>
    <t>[0, 122, 222, 322, 422, 519]</t>
  </si>
  <si>
    <t>2000/12/23</t>
  </si>
  <si>
    <t>1.3.6.1.4.1.14519.5.2.1.7695.4164.721034564564417892869929255361</t>
  </si>
  <si>
    <t>ISPY2_641697</t>
  </si>
  <si>
    <t>[0, 122, 216, 308, 401, 494]</t>
  </si>
  <si>
    <t>2003/03/14</t>
  </si>
  <si>
    <t>1.3.6.1.4.1.14519.5.2.1.7695.4164.324864322480748630678597182134</t>
  </si>
  <si>
    <t>ISPY2_641977</t>
  </si>
  <si>
    <t>1.3.6.1.4.1.14519.5.2.1.7695.4164.178863511966565998225547830150</t>
  </si>
  <si>
    <t>ISPY2_644186</t>
  </si>
  <si>
    <t>[0, 155, 245, 334, 424, 513]</t>
  </si>
  <si>
    <t>1.3.6.1.4.1.14519.5.2.1.135229014473092612001115907910972436641</t>
  </si>
  <si>
    <t>ISPY2_644609</t>
  </si>
  <si>
    <t>[0, 104, 192, 280, 368, 456]</t>
  </si>
  <si>
    <t>1.3.6.1.4.1.14519.5.2.1.234801000700561229450251612665113362390</t>
  </si>
  <si>
    <t>ISPY2_646233</t>
  </si>
  <si>
    <t>[0, 217, 304, 391, 478, 565]</t>
  </si>
  <si>
    <t>1.3.6.1.4.1.14519.5.2.1.44061859053769647913213188621023493304</t>
  </si>
  <si>
    <t>ISPY2_646600</t>
  </si>
  <si>
    <t>[0, 132, 215, 299, 382, 465]</t>
  </si>
  <si>
    <t>2003/08/29</t>
  </si>
  <si>
    <t>1.3.6.1.4.1.14519.5.2.1.127319641237300378875399500144859650310</t>
  </si>
  <si>
    <t>ISPY2_649198</t>
  </si>
  <si>
    <t>[0, 121, 211, 302, 392, 482]</t>
  </si>
  <si>
    <t>2002/12/20</t>
  </si>
  <si>
    <t>1.3.6.1.4.1.14519.5.2.1.7695.4164.150996962897680319795529309382</t>
  </si>
  <si>
    <t>ISPY2_650589</t>
  </si>
  <si>
    <t>2000/09/30</t>
  </si>
  <si>
    <t>1.3.6.1.4.1.14519.5.2.1.191817768892049984275773801795106385221</t>
  </si>
  <si>
    <t>ISPY2_651145</t>
  </si>
  <si>
    <t>[0, 157, 244, 331, 418, 506]</t>
  </si>
  <si>
    <t>1.3.6.1.4.1.14519.5.2.1.7695.4164.460479574384872487031133061603</t>
  </si>
  <si>
    <t>ISPY2_651401</t>
  </si>
  <si>
    <t>[0, 193, 279, 366, 453, 539]</t>
  </si>
  <si>
    <t>2004/03/13</t>
  </si>
  <si>
    <t>1.3.6.1.4.1.14519.5.2.1.57901006230446054082353002394726115784</t>
  </si>
  <si>
    <t>ISPY2_651541</t>
  </si>
  <si>
    <t>2000/09/02</t>
  </si>
  <si>
    <t>1.3.6.1.4.1.14519.5.2.1.22791387631290689840404660749270101671</t>
  </si>
  <si>
    <t>ISPY2_652480</t>
  </si>
  <si>
    <t>[0, 119, 216, 313, 411, 508]</t>
  </si>
  <si>
    <t>2001/12/07</t>
  </si>
  <si>
    <t>1.3.6.1.4.1.14519.5.2.1.7695.4164.250756222575537582364149787031</t>
  </si>
  <si>
    <t>ISPY2_653325</t>
  </si>
  <si>
    <t>[0, 121, 207, 292, 376, 461]</t>
  </si>
  <si>
    <t>1.3.6.1.4.1.14519.5.2.1.7695.4164.219165632369614229924391766984</t>
  </si>
  <si>
    <t>ISPY2_653927</t>
  </si>
  <si>
    <t>1.3.6.1.4.1.14519.5.2.1.7695.4164.304784417770678926361064057316</t>
  </si>
  <si>
    <t>ISPY2_654021</t>
  </si>
  <si>
    <t>[0, 144, 231, 318, 405, 492]</t>
  </si>
  <si>
    <t>1.3.6.1.4.1.14519.5.2.1.7695.4164.149234510039654495907032241160</t>
  </si>
  <si>
    <t>ISPY2_654064</t>
  </si>
  <si>
    <t>2002/05/31</t>
  </si>
  <si>
    <t>1.3.6.1.4.1.14519.5.2.1.7695.4164.328900160589943584561505188971</t>
  </si>
  <si>
    <t>ISPY2_654956</t>
  </si>
  <si>
    <t>[0, 184, 261, 338, 415, 492]</t>
  </si>
  <si>
    <t>1998/12/03</t>
  </si>
  <si>
    <t>1.3.6.1.4.1.14519.5.2.1.186994601821819475695223038868049132894</t>
  </si>
  <si>
    <t>ISPY2_655128</t>
  </si>
  <si>
    <t>[0, 215, 302, 389, 476, 563]</t>
  </si>
  <si>
    <t>1.3.6.1.4.1.14519.5.2.1.7695.4164.135935435027806859329714711474</t>
  </si>
  <si>
    <t>ISPY2_655703</t>
  </si>
  <si>
    <t>2000/02/20</t>
  </si>
  <si>
    <t>1.3.6.1.4.1.14519.5.2.1.102306151792483479361490147715333029671</t>
  </si>
  <si>
    <t>ISPY2_655795</t>
  </si>
  <si>
    <t>[0, 121, 206, 290, 376, 461]</t>
  </si>
  <si>
    <t>2004/05/09</t>
  </si>
  <si>
    <t>1.3.6.1.4.1.14519.5.2.1.62478658038332328800778538397570832199</t>
  </si>
  <si>
    <t>ISPY2_658541</t>
  </si>
  <si>
    <t>[0, 129, 218, 307, 397, 486]</t>
  </si>
  <si>
    <t>2003/12/21</t>
  </si>
  <si>
    <t>1.3.6.1.4.1.14519.5.2.1.160020566255003265582928178952037353984</t>
  </si>
  <si>
    <t>ISPY2_660534</t>
  </si>
  <si>
    <t>[0, 227, 313, 401, 488, 575]</t>
  </si>
  <si>
    <t>2004/02/21</t>
  </si>
  <si>
    <t>1.3.6.1.4.1.14519.5.2.1.163886261506063832836365710995838209864</t>
  </si>
  <si>
    <t>ISPY2_660915</t>
  </si>
  <si>
    <t>[0, 200, 317, 420, 521, 626]</t>
  </si>
  <si>
    <t>1998/07/02</t>
  </si>
  <si>
    <t>1.3.6.1.4.1.14519.5.2.1.209651102266408573512345195732709636540</t>
  </si>
  <si>
    <t>ISPY2_661730</t>
  </si>
  <si>
    <t>[0, 110, 200, 290, 380, 470]</t>
  </si>
  <si>
    <t>1.3.6.1.4.1.14519.5.2.1.7695.4164.217222029293398281186496421865</t>
  </si>
  <si>
    <t>ISPY2_663144</t>
  </si>
  <si>
    <t>[0, 142, 240, 337, 435, 532]</t>
  </si>
  <si>
    <t>2001/10/17</t>
  </si>
  <si>
    <t>1.3.6.1.4.1.14519.5.2.1.7695.4164.570387255275992202896237158578</t>
  </si>
  <si>
    <t>ISPY2_663197</t>
  </si>
  <si>
    <t>[0, 126, 208, 290, 372, 454]</t>
  </si>
  <si>
    <t>2004/12/09</t>
  </si>
  <si>
    <t>1.3.6.1.4.1.14519.5.2.1.242487420067154395448015098559984085700</t>
  </si>
  <si>
    <t>ISPY2_663467</t>
  </si>
  <si>
    <t>[0, 137, 235, 333, 431, 529]</t>
  </si>
  <si>
    <t>1.3.6.1.4.1.14519.5.2.1.307839640403456244600383903202485287552</t>
  </si>
  <si>
    <t>ISPY2_664111</t>
  </si>
  <si>
    <t>[0, 191, 281, 371, 461, 551]</t>
  </si>
  <si>
    <t>2002/06/05</t>
  </si>
  <si>
    <t>1.3.6.1.4.1.14519.5.2.1.7695.4164.172847994935772203643459719209</t>
  </si>
  <si>
    <t>ISPY2_664658</t>
  </si>
  <si>
    <t>2004/09/16</t>
  </si>
  <si>
    <t>1.3.6.1.4.1.14519.5.2.1.99240009637081916602142213134188839166</t>
  </si>
  <si>
    <t>ISPY2_666147</t>
  </si>
  <si>
    <t>2002/01/05</t>
  </si>
  <si>
    <t>1.3.6.1.4.1.14519.5.2.1.220617712050323838840746669930605714187</t>
  </si>
  <si>
    <t>ISPY2_666450</t>
  </si>
  <si>
    <t>[0, 202, 298, 394, 487, 581]</t>
  </si>
  <si>
    <t>1.3.6.1.4.1.14519.5.2.1.334917006118374654647942934076463189912</t>
  </si>
  <si>
    <t>ISPY2_666715</t>
  </si>
  <si>
    <t>2003/05/10</t>
  </si>
  <si>
    <t>1.3.6.1.4.1.14519.5.2.1.48717974085886717453328965187771838022</t>
  </si>
  <si>
    <t>ISPY2_668752</t>
  </si>
  <si>
    <t>2004/07/11</t>
  </si>
  <si>
    <t>1.3.6.1.4.1.14519.5.2.1.119371481798364839967873329107766677017</t>
  </si>
  <si>
    <t>ISPY2_672734</t>
  </si>
  <si>
    <t>1.3.6.1.4.1.14519.5.2.1.311020096955953471417172736333885868040</t>
  </si>
  <si>
    <t>ISPY2_674897</t>
  </si>
  <si>
    <t>[0, 145, 236, 327, 418, 509]</t>
  </si>
  <si>
    <t>2003/10/29</t>
  </si>
  <si>
    <t>1.3.6.1.4.1.14519.5.2.1.120519614138244241331267401847238436379</t>
  </si>
  <si>
    <t>ISPY2_676048</t>
  </si>
  <si>
    <t>[0, 141, 226, 310, 395, 480]</t>
  </si>
  <si>
    <t>1999/06/26</t>
  </si>
  <si>
    <t>1.3.6.1.4.1.14519.5.2.1.79843077079311358924843239708261792306</t>
  </si>
  <si>
    <t>ISPY2_676365</t>
  </si>
  <si>
    <t>[0, 134, 233, 330, 434, 529]</t>
  </si>
  <si>
    <t>2003/08/08</t>
  </si>
  <si>
    <t>1.3.6.1.4.1.14519.5.2.1.26494992541482243145964066528656459816</t>
  </si>
  <si>
    <t>ISPY2_676630</t>
  </si>
  <si>
    <t>2003/02/13</t>
  </si>
  <si>
    <t>1.3.6.1.4.1.14519.5.2.1.219519547668098614151401478271813048059</t>
  </si>
  <si>
    <t>ISPY2_677910</t>
  </si>
  <si>
    <t>[0, 173, 257, 338, 426, 511]</t>
  </si>
  <si>
    <t>2002/09/07</t>
  </si>
  <si>
    <t>1.3.6.1.4.1.14519.5.2.1.7695.4164.747719945617160194899184035099</t>
  </si>
  <si>
    <t>ISPY2_677915</t>
  </si>
  <si>
    <t>[0, 189, 281, 373, 466, 558]</t>
  </si>
  <si>
    <t>2000/01/08</t>
  </si>
  <si>
    <t>1.3.6.1.4.1.14519.5.2.1.149088763693333781452862751150737453939</t>
  </si>
  <si>
    <t>ISPY2_679787</t>
  </si>
  <si>
    <t>[0, 135, 219, 303, 386, 470]</t>
  </si>
  <si>
    <t>2001/10/19</t>
  </si>
  <si>
    <t>1.3.6.1.4.1.14519.5.2.1.140885582672995349510693470480616146692</t>
  </si>
  <si>
    <t>ISPY2_680881</t>
  </si>
  <si>
    <t>[0, 109, 206, 303, 400, 497]</t>
  </si>
  <si>
    <t>2001/01/21</t>
  </si>
  <si>
    <t>1.3.6.1.4.1.14519.5.2.1.7695.4164.229770268161977103953618823434</t>
  </si>
  <si>
    <t>ISPY2_683173</t>
  </si>
  <si>
    <t>[0, 155, 242, 328, 415, 501]</t>
  </si>
  <si>
    <t>2004/09/25</t>
  </si>
  <si>
    <t>1.3.6.1.4.1.14519.5.2.1.335352691778308800570729440658905918670</t>
  </si>
  <si>
    <t>ISPY2_683374</t>
  </si>
  <si>
    <t>2000/07/06</t>
  </si>
  <si>
    <t>1.3.6.1.4.1.14519.5.2.1.50892846288785573621091026024223876226</t>
  </si>
  <si>
    <t>ISPY2_683457</t>
  </si>
  <si>
    <t>[0, 136, 220, 303, 387, 471]</t>
  </si>
  <si>
    <t>2001/08/30</t>
  </si>
  <si>
    <t>1.3.6.1.4.1.14519.5.2.1.236121720535145100791186994626933484683</t>
  </si>
  <si>
    <t>ISPY2_683896</t>
  </si>
  <si>
    <t>[0, 191, 275, 359, 444, 529]</t>
  </si>
  <si>
    <t>1.3.6.1.4.1.14519.5.2.1.7695.4164.267161600448705705705814694032</t>
  </si>
  <si>
    <t>ISPY2_685182</t>
  </si>
  <si>
    <t>[0, 146, 235, 324, 413, 502]</t>
  </si>
  <si>
    <t>2002/11/01</t>
  </si>
  <si>
    <t>1.3.6.1.4.1.14519.5.2.1.250105696643248808193426381940564121963</t>
  </si>
  <si>
    <t>ISPY2_685753</t>
  </si>
  <si>
    <t>2000/08/12</t>
  </si>
  <si>
    <t>1.3.6.1.4.1.14519.5.2.1.19489280966321559010050511668667001141</t>
  </si>
  <si>
    <t>ISPY2_685795</t>
  </si>
  <si>
    <t>2002/07/12</t>
  </si>
  <si>
    <t>1.3.6.1.4.1.14519.5.2.1.7695.4164.166721202556399184309304121707</t>
  </si>
  <si>
    <t>ISPY2_687288</t>
  </si>
  <si>
    <t>2002/06/15</t>
  </si>
  <si>
    <t>1.3.6.1.4.1.14519.5.2.1.7695.4164.219090477851817630377911753517</t>
  </si>
  <si>
    <t>ISPY2_687733</t>
  </si>
  <si>
    <t>[0, 137, 229, 322, 414, 506]</t>
  </si>
  <si>
    <t>2003/08/30</t>
  </si>
  <si>
    <t>1.3.6.1.4.1.14519.5.2.1.97415655738350450066061589122653571472</t>
  </si>
  <si>
    <t>ISPY2_688291</t>
  </si>
  <si>
    <t>[0, 127, 217, 307, 398, 488]</t>
  </si>
  <si>
    <t>2002/08/28</t>
  </si>
  <si>
    <t>1.3.6.1.4.1.14519.5.2.1.7695.4164.236100018857950335152866966382</t>
  </si>
  <si>
    <t>ISPY2_688955</t>
  </si>
  <si>
    <t>1.3.6.1.4.1.14519.5.2.1.7695.4164.139997040101020907114682481987</t>
  </si>
  <si>
    <t>ISPY2_689076</t>
  </si>
  <si>
    <t>[0, 100, 183, 267, 350, 434]</t>
  </si>
  <si>
    <t>2002/02/09</t>
  </si>
  <si>
    <t>1.3.6.1.4.1.14519.5.2.1.7695.4164.338977270738234564195542232085</t>
  </si>
  <si>
    <t>ISPY2_689188</t>
  </si>
  <si>
    <t>[0, 103, 192, 281, 371, 460]</t>
  </si>
  <si>
    <t>2003/08/10</t>
  </si>
  <si>
    <t>1.3.6.1.4.1.14519.5.2.1.31587934342690022748212732233880225220</t>
  </si>
  <si>
    <t>ISPY2_689452</t>
  </si>
  <si>
    <t>[0, 99, 182, 265, 349, 432]</t>
  </si>
  <si>
    <t>2002/08/18</t>
  </si>
  <si>
    <t>1.3.6.1.4.1.14519.5.2.1.7695.4164.261074161609615702484633417127</t>
  </si>
  <si>
    <t>ISPY2_689480</t>
  </si>
  <si>
    <t>1.3.6.1.4.1.14519.5.2.1.7695.4164.143432753107298201564894249449</t>
  </si>
  <si>
    <t>ISPY2_690089</t>
  </si>
  <si>
    <t>1.3.6.1.4.1.14519.5.2.1.7695.4164.144599525423687291409480995976</t>
  </si>
  <si>
    <t>ISPY2_690410</t>
  </si>
  <si>
    <t>[0, 142, 231, 320, 409, 498]</t>
  </si>
  <si>
    <t>2003/05/01</t>
  </si>
  <si>
    <t>1.3.6.1.4.1.14519.5.2.1.4535027388245650730310488060130493731</t>
  </si>
  <si>
    <t>ISPY2_691753</t>
  </si>
  <si>
    <t>1.3.6.1.4.1.14519.5.2.1.7695.4164.994026041279318891010181501111</t>
  </si>
  <si>
    <t>ISPY2_692885</t>
  </si>
  <si>
    <t>[0, 97, 193, 290, 386, 483]</t>
  </si>
  <si>
    <t>2004/07/07</t>
  </si>
  <si>
    <t>1.3.6.1.4.1.14519.5.2.1.302884771285204879223814611860580998531</t>
  </si>
  <si>
    <t>ISPY2_695521</t>
  </si>
  <si>
    <t>[0, 167, 257, 346, 436, 525]</t>
  </si>
  <si>
    <t>2002/07/07</t>
  </si>
  <si>
    <t>1.3.6.1.4.1.14519.5.2.1.7695.4164.198969771174490701205476176720</t>
  </si>
  <si>
    <t>ISPY2_697098</t>
  </si>
  <si>
    <t>[0, 127, 208, 289, 370, 451]</t>
  </si>
  <si>
    <t>1.3.6.1.4.1.14519.5.2.1.323306249584422980175502755164388775788</t>
  </si>
  <si>
    <t>ISPY2_697871</t>
  </si>
  <si>
    <t>1999/09/01</t>
  </si>
  <si>
    <t>1.3.6.1.4.1.14519.5.2.1.249163088476582724896187392239107270838</t>
  </si>
  <si>
    <t>ISPY2_698094</t>
  </si>
  <si>
    <t>[0, 215, 303, 390, 477, 564]</t>
  </si>
  <si>
    <t>2001/02/15</t>
  </si>
  <si>
    <t>1.3.6.1.4.1.14519.5.2.1.7695.4164.175971467439647602773300765589</t>
  </si>
  <si>
    <t>ISPY2_700549</t>
  </si>
  <si>
    <t>[0, 155, 242, 329, 416, 503]</t>
  </si>
  <si>
    <t>1.3.6.1.4.1.14519.5.2.1.7695.4164.323300377396682847140882330858</t>
  </si>
  <si>
    <t>ISPY2_701790</t>
  </si>
  <si>
    <t>[0, 109, 205, 301, 397, 495]</t>
  </si>
  <si>
    <t>2004/11/29</t>
  </si>
  <si>
    <t>1.3.6.1.4.1.14519.5.2.1.173223243412208096846186112680744254482</t>
  </si>
  <si>
    <t>ISPY2_703401</t>
  </si>
  <si>
    <t>[0, 125, 214, 303, 392, 482]</t>
  </si>
  <si>
    <t>1.3.6.1.4.1.14519.5.2.1.64348955373666660851660984826071140620</t>
  </si>
  <si>
    <t>ISPY2_703455</t>
  </si>
  <si>
    <t>[0, 115, 206, 296, 387, 477]</t>
  </si>
  <si>
    <t>1.3.6.1.4.1.14519.5.2.1.261673019972826616597787969056088687246</t>
  </si>
  <si>
    <t>ISPY2_705381</t>
  </si>
  <si>
    <t>1.3.6.1.4.1.14519.5.2.1.143574737978455710402688966261904527393</t>
  </si>
  <si>
    <t>ISPY2_706169</t>
  </si>
  <si>
    <t>[0, 123, 206, 289, 373, 456]</t>
  </si>
  <si>
    <t>2001/09/05</t>
  </si>
  <si>
    <t>1.3.6.1.4.1.14519.5.2.1.37322247142319510696282183591129107258</t>
  </si>
  <si>
    <t>ISPY2_706418</t>
  </si>
  <si>
    <t>[0, 140, 238, 337, 435, 534]</t>
  </si>
  <si>
    <t>2003/04/18</t>
  </si>
  <si>
    <t>1.3.6.1.4.1.14519.5.2.1.146800144137496539816564009248392111071</t>
  </si>
  <si>
    <t>ISPY2_706639</t>
  </si>
  <si>
    <t>2001/11/15</t>
  </si>
  <si>
    <t>1.3.6.1.4.1.14519.5.2.1.7695.4164.106581414066296068782866276082</t>
  </si>
  <si>
    <t>ISPY2_706943</t>
  </si>
  <si>
    <t>[0, 228, 320, 411, 503, 595]</t>
  </si>
  <si>
    <t>1999/05/12</t>
  </si>
  <si>
    <t>1.3.6.1.4.1.14519.5.2.1.86097715960426464370656532085673737401</t>
  </si>
  <si>
    <t>ISPY2_708387</t>
  </si>
  <si>
    <t>[0, 97, 195, 292, 389, 487]</t>
  </si>
  <si>
    <t>1999/08/12</t>
  </si>
  <si>
    <t>1.3.6.1.4.1.14519.5.2.1.275332437760163144933807578918170913757</t>
  </si>
  <si>
    <t>ISPY2_709559</t>
  </si>
  <si>
    <t>[0, 272, 458, 639]</t>
  </si>
  <si>
    <t>1998/06/11</t>
  </si>
  <si>
    <t>1.3.6.1.4.1.14519.5.2.1.288278933496496556315068238805474109683</t>
  </si>
  <si>
    <t>ISPY2_711476</t>
  </si>
  <si>
    <t>[0, 184, 273, 363, 452, 541]</t>
  </si>
  <si>
    <t>2001/10/18</t>
  </si>
  <si>
    <t>1.3.6.1.4.1.14519.5.2.1.7695.4164.102676653210913696936528318551</t>
  </si>
  <si>
    <t>ISPY2_712276</t>
  </si>
  <si>
    <t>[0, 148, 247, 346, 445, 544]</t>
  </si>
  <si>
    <t>1.3.6.1.4.1.14519.5.2.1.226796038473109276445002591295924830487</t>
  </si>
  <si>
    <t>ISPY2_712785</t>
  </si>
  <si>
    <t>[0, 160, 262, 364, 466, 569]</t>
  </si>
  <si>
    <t>2003/01/18</t>
  </si>
  <si>
    <t>1.3.6.1.4.1.14519.5.2.1.7695.4164.182955221182852835404715230604</t>
  </si>
  <si>
    <t>ISPY2_712917</t>
  </si>
  <si>
    <t>[0, 127, 212, 296, 381, 465]</t>
  </si>
  <si>
    <t>2003/01/11</t>
  </si>
  <si>
    <t>1.3.6.1.4.1.14519.5.2.1.269065408079406228068535910241212651185</t>
  </si>
  <si>
    <t>ISPY2_714205</t>
  </si>
  <si>
    <t>[0, 110, 207, 304, 401, 498]</t>
  </si>
  <si>
    <t>1999/11/06</t>
  </si>
  <si>
    <t>1.3.6.1.4.1.14519.5.2.1.263487903414696561553251300359345001127</t>
  </si>
  <si>
    <t>ISPY2_719713</t>
  </si>
  <si>
    <t>[0, 120, 211, 301, 391, 482]</t>
  </si>
  <si>
    <t>2003/06/15</t>
  </si>
  <si>
    <t>1.3.6.1.4.1.14519.5.2.1.155214193614479691540088379401518547416</t>
  </si>
  <si>
    <t>ISPY2_720065</t>
  </si>
  <si>
    <t>[0, 301, 396, 490, 585, 679]</t>
  </si>
  <si>
    <t>1999/05/22</t>
  </si>
  <si>
    <t>1.3.6.1.4.1.14519.5.2.1.246370459101529102615211094897194317398</t>
  </si>
  <si>
    <t>ISPY2_721099</t>
  </si>
  <si>
    <t>2002/05/19</t>
  </si>
  <si>
    <t>1.3.6.1.4.1.14519.5.2.1.7695.4164.572730875806676791545910256860</t>
  </si>
  <si>
    <t>ISPY2_723918</t>
  </si>
  <si>
    <t>[0.597014904, 0.597014904]</t>
  </si>
  <si>
    <t>[0, 87, 173, 260, 347, 434]</t>
  </si>
  <si>
    <t>2000/08/25</t>
  </si>
  <si>
    <t>1.3.6.1.4.1.14519.5.2.1.301275312394866245481955226963944489549</t>
  </si>
  <si>
    <t>ISPY2_724293</t>
  </si>
  <si>
    <t>[0, 96, 192, 288, 384, 480]</t>
  </si>
  <si>
    <t>2002/10/04</t>
  </si>
  <si>
    <t>1.3.6.1.4.1.14519.5.2.1.7695.4164.145191814975392264890379216375</t>
  </si>
  <si>
    <t>ISPY2_724384</t>
  </si>
  <si>
    <t>[0, 218, 305, 392, 479, 566]</t>
  </si>
  <si>
    <t>1.3.6.1.4.1.14519.5.2.1.7695.4164.748850913698442074771991950975</t>
  </si>
  <si>
    <t>ISPY2_725455</t>
  </si>
  <si>
    <t>[0, 185, 275, 366, 457, 548]</t>
  </si>
  <si>
    <t>1999/10/29</t>
  </si>
  <si>
    <t>1.3.6.1.4.1.14519.5.2.1.161440313859322201930469473734519870369</t>
  </si>
  <si>
    <t>ISPY2_726091</t>
  </si>
  <si>
    <t>[0, 122, 215, 309, 402, 495]</t>
  </si>
  <si>
    <t>2000/10/01</t>
  </si>
  <si>
    <t>1.3.6.1.4.1.14519.5.2.1.339470799048977354477459781217751965059</t>
  </si>
  <si>
    <t>ISPY2_726381</t>
  </si>
  <si>
    <t>[0, 98, 196, 294, 391, 489]</t>
  </si>
  <si>
    <t>1.3.6.1.4.1.14519.5.2.1.83871629489867767292029165437347395399</t>
  </si>
  <si>
    <t>ISPY2_726940</t>
  </si>
  <si>
    <t>[0, 214, 303, 391, 480, 568]</t>
  </si>
  <si>
    <t>1.3.6.1.4.1.14519.5.2.1.249281427667192235786676573864139662405</t>
  </si>
  <si>
    <t>ISPY2_727255</t>
  </si>
  <si>
    <t>1.3.6.1.4.1.14519.5.2.1.272861454977644451164326377877351698402</t>
  </si>
  <si>
    <t>ISPY2_727804</t>
  </si>
  <si>
    <t>[0, 137, 225, 313, 400, 488]</t>
  </si>
  <si>
    <t>2001/04/22</t>
  </si>
  <si>
    <t>1.3.6.1.4.1.14519.5.2.1.90238709841949328316796937126582819097</t>
  </si>
  <si>
    <t>ISPY2_728149</t>
  </si>
  <si>
    <t>2002/09/26</t>
  </si>
  <si>
    <t>1.3.6.1.4.1.14519.5.2.1.7695.4164.255781699079285016460870601644</t>
  </si>
  <si>
    <t>ISPY2_728182</t>
  </si>
  <si>
    <t>[0, 86, 172, 257, 343, 429]</t>
  </si>
  <si>
    <t>2000/12/13</t>
  </si>
  <si>
    <t>1.3.6.1.4.1.14519.5.2.1.7695.4164.127803334792803002807945189872</t>
  </si>
  <si>
    <t>ISPY2_728287</t>
  </si>
  <si>
    <t>2001/11/11</t>
  </si>
  <si>
    <t>1.3.6.1.4.1.14519.5.2.1.131998589116135080407168723517975375228</t>
  </si>
  <si>
    <t>ISPY2_728714</t>
  </si>
  <si>
    <t>[0, 129, 230, 330, 430, 530]</t>
  </si>
  <si>
    <t>2000/04/07</t>
  </si>
  <si>
    <t>1.3.6.1.4.1.14519.5.2.1.130005103959929867532321528131326183273</t>
  </si>
  <si>
    <t>ISPY2_729270</t>
  </si>
  <si>
    <t>1999/07/23</t>
  </si>
  <si>
    <t>1.3.6.1.4.1.14519.5.2.1.308836489462376115026851835121468927115</t>
  </si>
  <si>
    <t>ISPY2_729732</t>
  </si>
  <si>
    <t>2001/08/25</t>
  </si>
  <si>
    <t>1.3.6.1.4.1.14519.5.2.1.307881140256224906044754938264756667023</t>
  </si>
  <si>
    <t>ISPY2_732137</t>
  </si>
  <si>
    <t>[0, 125, 209, 293, 377, 460]</t>
  </si>
  <si>
    <t>2002/01/18</t>
  </si>
  <si>
    <t>1.3.6.1.4.1.14519.5.2.1.273204508004174280163084505047942760437</t>
  </si>
  <si>
    <t>ISPY2_733276</t>
  </si>
  <si>
    <t>[0, 127, 215, 304, 392, 481]</t>
  </si>
  <si>
    <t>2003/07/12</t>
  </si>
  <si>
    <t>1.3.6.1.4.1.14519.5.2.1.160482478772120197688479028155789264473</t>
  </si>
  <si>
    <t>ISPY2_734997</t>
  </si>
  <si>
    <t>1.3.6.1.4.1.14519.5.2.1.7695.4164.232895805758887062610213375360</t>
  </si>
  <si>
    <t>ISPY2_735673</t>
  </si>
  <si>
    <t>[0, 128, 215, 303, 391, 479]</t>
  </si>
  <si>
    <t>2004/10/23</t>
  </si>
  <si>
    <t>1.3.6.1.4.1.14519.5.2.1.266785660677132864548412517273700547409</t>
  </si>
  <si>
    <t>ISPY2_736721</t>
  </si>
  <si>
    <t>[0, 140, 220, 320, 420, 500]</t>
  </si>
  <si>
    <t>2002/05/15</t>
  </si>
  <si>
    <t>1.3.6.1.4.1.14519.5.2.1.7695.4164.155915027620974977590644180522</t>
  </si>
  <si>
    <t>ISPY2_738041</t>
  </si>
  <si>
    <t>2001/11/17</t>
  </si>
  <si>
    <t>1.3.6.1.4.1.14519.5.2.1.7695.4164.272684542360593319363877265749</t>
  </si>
  <si>
    <t>ISPY2_741535</t>
  </si>
  <si>
    <t>[0, 101, 176, 251, 326, 401]</t>
  </si>
  <si>
    <t>2002/11/08</t>
  </si>
  <si>
    <t>1.3.6.1.4.1.14519.5.2.1.187244859130109809007428203961816240513</t>
  </si>
  <si>
    <t>ISPY2_742477</t>
  </si>
  <si>
    <t>[0, 194, 280, 367, 453, 540]</t>
  </si>
  <si>
    <t>2000/10/26</t>
  </si>
  <si>
    <t>1.3.6.1.4.1.14519.5.2.1.27011436336269584143686151052260867716</t>
  </si>
  <si>
    <t>ISPY2_745633</t>
  </si>
  <si>
    <t>[0, 115, 204, 293, 382, 471]</t>
  </si>
  <si>
    <t>1.3.6.1.4.1.14519.5.2.1.142943256381935130952833118667257823796</t>
  </si>
  <si>
    <t>ISPY2_746265</t>
  </si>
  <si>
    <t>1.3.6.1.4.1.14519.5.2.1.5092284816800639649989312351132203505</t>
  </si>
  <si>
    <t>ISPY2_746731</t>
  </si>
  <si>
    <t>[0, 125, 210, 295, 380, 465]</t>
  </si>
  <si>
    <t>2000/02/26</t>
  </si>
  <si>
    <t>1.3.6.1.4.1.14519.5.2.1.301237549963740884382971954251554972511</t>
  </si>
  <si>
    <t>ISPY2_748583</t>
  </si>
  <si>
    <t>[0, 139, 229, 318, 407, 497]</t>
  </si>
  <si>
    <t>2002/02/10</t>
  </si>
  <si>
    <t>1.3.6.1.4.1.14519.5.2.1.7695.4164.164096663758049767542222220078</t>
  </si>
  <si>
    <t>ISPY2_748611</t>
  </si>
  <si>
    <t>[0, 153, 240, 327, 414, 501]</t>
  </si>
  <si>
    <t>1.3.6.1.4.1.14519.5.2.1.7695.4164.119410727329404761319096800107</t>
  </si>
  <si>
    <t>ISPY2_749097</t>
  </si>
  <si>
    <t>[0.7813000083, 0.7813000083]</t>
  </si>
  <si>
    <t>1.3.6.1.4.1.14519.5.2.1.310624508337185367939681899974588273844</t>
  </si>
  <si>
    <t>ISPY2_752372</t>
  </si>
  <si>
    <t>2002/02/23</t>
  </si>
  <si>
    <t>1.3.6.1.4.1.14519.5.2.1.113683163806574673303092653099399272129</t>
  </si>
  <si>
    <t>ISPY2_752469</t>
  </si>
  <si>
    <t>1.3.6.1.4.1.14519.5.2.1.158475719619958453977609999820863874431</t>
  </si>
  <si>
    <t>ISPY2_753109</t>
  </si>
  <si>
    <t>[0, 166, 253, 341, 428, 515]</t>
  </si>
  <si>
    <t>2002/02/14</t>
  </si>
  <si>
    <t>1.3.6.1.4.1.14519.5.2.1.7695.4164.214756675003541146976377083085</t>
  </si>
  <si>
    <t>ISPY2_755914</t>
  </si>
  <si>
    <t>[0, 128, 214, 299, 384, 469]</t>
  </si>
  <si>
    <t>1.3.6.1.4.1.14519.5.2.1.7695.4164.335850467104146683739596848616</t>
  </si>
  <si>
    <t>ISPY2_756412</t>
  </si>
  <si>
    <t>[0, 119, 219, 319, 418, 518]</t>
  </si>
  <si>
    <t>2000/08/11</t>
  </si>
  <si>
    <t>1.3.6.1.4.1.14519.5.2.1.54442691986837025033361890000721121429</t>
  </si>
  <si>
    <t>ISPY2_759015</t>
  </si>
  <si>
    <t>[0, 342, 440, 524, 609, 693]</t>
  </si>
  <si>
    <t>1998/06/25</t>
  </si>
  <si>
    <t>1.3.6.1.4.1.14519.5.2.1.154911071334023858342546124347170429936</t>
  </si>
  <si>
    <t>ISPY2_759418</t>
  </si>
  <si>
    <t>[0, 152, 246, 340, 434, 528]</t>
  </si>
  <si>
    <t>1.3.6.1.4.1.14519.5.2.1.194876860338276427914303568538009079615</t>
  </si>
  <si>
    <t>ISPY2_760011</t>
  </si>
  <si>
    <t>[0, 246, 326, 406, 486, 566]</t>
  </si>
  <si>
    <t>2002/11/09</t>
  </si>
  <si>
    <t>1.3.6.1.4.1.14519.5.2.1.7695.4164.152576867684886722320953774957</t>
  </si>
  <si>
    <t>ISPY2_760901</t>
  </si>
  <si>
    <t>[0, 109, 199, 289, 379, 469]</t>
  </si>
  <si>
    <t>1.3.6.1.4.1.14519.5.2.1.7695.4164.468901001611725736707466770783</t>
  </si>
  <si>
    <t>ISPY2_765671</t>
  </si>
  <si>
    <t>[0, 162, 246, 331, 413, 500]</t>
  </si>
  <si>
    <t>2001/03/16</t>
  </si>
  <si>
    <t>1.3.6.1.4.1.14519.5.2.1.7695.4164.661284499900115600474915903369</t>
  </si>
  <si>
    <t>ISPY2_765773</t>
  </si>
  <si>
    <t>[0, 143, 232, 322, 411, 500]</t>
  </si>
  <si>
    <t>1.3.6.1.4.1.14519.5.2.1.105710941083265560496122972844044133811</t>
  </si>
  <si>
    <t>ISPY2_766301</t>
  </si>
  <si>
    <t>[0, 183, 275, 368, 460, 553]</t>
  </si>
  <si>
    <t>1.3.6.1.4.1.14519.5.2.1.28216997827209134472246346300710808727</t>
  </si>
  <si>
    <t>ISPY2_766967</t>
  </si>
  <si>
    <t>1.3.6.1.4.1.14519.5.2.1.49378710977472239143527214948515435160</t>
  </si>
  <si>
    <t>ISPY2_767081</t>
  </si>
  <si>
    <t>[0, 149, 254, 360, 465, 571]</t>
  </si>
  <si>
    <t>2002/10/24</t>
  </si>
  <si>
    <t>1.3.6.1.4.1.14519.5.2.1.158555899593739686483669987852818801368</t>
  </si>
  <si>
    <t>ISPY2_767934</t>
  </si>
  <si>
    <t>[0, 118, 214, 310, 407, 503]</t>
  </si>
  <si>
    <t>1.3.6.1.4.1.14519.5.2.1.18821463089067959779351573042891578539</t>
  </si>
  <si>
    <t>ISPY2_768214</t>
  </si>
  <si>
    <t>[0, 127, 222, 317, 413, 508]</t>
  </si>
  <si>
    <t>1.3.6.1.4.1.14519.5.2.1.49094591527716888202892493722099603398</t>
  </si>
  <si>
    <t>ISPY2_769972</t>
  </si>
  <si>
    <t>[0, 191, 280, 370, 459, 549]</t>
  </si>
  <si>
    <t>1.3.6.1.4.1.14519.5.2.1.320794443892269828246425955546946532087</t>
  </si>
  <si>
    <t>ISPY2_771151</t>
  </si>
  <si>
    <t>[0, 156, 240, 325, 409, 494]</t>
  </si>
  <si>
    <t>2001/10/21</t>
  </si>
  <si>
    <t>1.3.6.1.4.1.14519.5.2.1.7695.4164.323302553009109555151779700025</t>
  </si>
  <si>
    <t>ISPY2_771443</t>
  </si>
  <si>
    <t>2001/02/10</t>
  </si>
  <si>
    <t>1.3.6.1.4.1.14519.5.2.1.7695.4164.265056507597596691125060379211</t>
  </si>
  <si>
    <t>ISPY2_771813</t>
  </si>
  <si>
    <t>[0, 154, 237, 320, 404, 487]</t>
  </si>
  <si>
    <t>2001/03/23</t>
  </si>
  <si>
    <t>1.3.6.1.4.1.14519.5.2.1.277256034872146731680148487519560602313</t>
  </si>
  <si>
    <t>ISPY2_774840</t>
  </si>
  <si>
    <t>2002/03/13</t>
  </si>
  <si>
    <t>1.3.6.1.4.1.14519.5.2.1.7695.4164.314664671422096552939738799519</t>
  </si>
  <si>
    <t>ISPY2_775346</t>
  </si>
  <si>
    <t>[0, 248, 336, 423, 510, 597]</t>
  </si>
  <si>
    <t>1.3.6.1.4.1.14519.5.2.1.7695.4164.262158279078532098068545049568</t>
  </si>
  <si>
    <t>ISPY2_778020</t>
  </si>
  <si>
    <t>[0, 206, 412, 618, 824, 1030]</t>
  </si>
  <si>
    <t>1999/05/07</t>
  </si>
  <si>
    <t>1.3.6.1.4.1.14519.5.2.1.294572119334372934109305966864571207872</t>
  </si>
  <si>
    <t>ISPY2_778527</t>
  </si>
  <si>
    <t>1.3.6.1.4.1.14519.5.2.1.88440129802734392599089505236176559765</t>
  </si>
  <si>
    <t>ISPY2_779739</t>
  </si>
  <si>
    <t>[0, 173, 260, 347, 434, 521]</t>
  </si>
  <si>
    <t>1.3.6.1.4.1.14519.5.2.1.7695.4164.189397792107836761946183406639</t>
  </si>
  <si>
    <t>ISPY2_780272</t>
  </si>
  <si>
    <t>[0, 154, 238, 322, 405, 489]</t>
  </si>
  <si>
    <t>2002/01/26</t>
  </si>
  <si>
    <t>1.3.6.1.4.1.14519.5.2.1.288387167375273205637085392374820674220</t>
  </si>
  <si>
    <t>ISPY2_781335</t>
  </si>
  <si>
    <t>[0, 161, 255, 349, 443, 536]</t>
  </si>
  <si>
    <t>1999/09/12</t>
  </si>
  <si>
    <t>1.3.6.1.4.1.14519.5.2.1.326149917744590610719918307662597004277</t>
  </si>
  <si>
    <t>ISPY2_781642</t>
  </si>
  <si>
    <t>2003/05/09</t>
  </si>
  <si>
    <t>1.3.6.1.4.1.14519.5.2.1.180268450421438163027008032829568095695</t>
  </si>
  <si>
    <t>ISPY2_782334</t>
  </si>
  <si>
    <t>[0, 84, 169, 253, 337, 422]</t>
  </si>
  <si>
    <t>1999/04/16</t>
  </si>
  <si>
    <t>1.3.6.1.4.1.14519.5.2.1.42115080119754632416240930110270797251</t>
  </si>
  <si>
    <t>ISPY2_783427</t>
  </si>
  <si>
    <t>[0, 109, 192, 275, 359, 442]</t>
  </si>
  <si>
    <t>2001/09/26</t>
  </si>
  <si>
    <t>1.3.6.1.4.1.14519.5.2.1.9775453652324259887844007235121616465</t>
  </si>
  <si>
    <t>ISPY2_783578</t>
  </si>
  <si>
    <t>[0, 80, 161, 241, 321, 401]</t>
  </si>
  <si>
    <t>1.3.6.1.4.1.14519.5.2.1.188615728793200140542428913481806055938</t>
  </si>
  <si>
    <t>ISPY2_783764</t>
  </si>
  <si>
    <t>[0, 114, 203, 293, 382, 471]</t>
  </si>
  <si>
    <t>1.3.6.1.4.1.14519.5.2.1.7695.4164.952853759044477303303512752232</t>
  </si>
  <si>
    <t>ISPY2_783771</t>
  </si>
  <si>
    <t>[0, 126, 213, 301, 389, 477]</t>
  </si>
  <si>
    <t>2004/10/29</t>
  </si>
  <si>
    <t>1.3.6.1.4.1.14519.5.2.1.224213958366929778218767961780303142077</t>
  </si>
  <si>
    <t>ISPY2_786003</t>
  </si>
  <si>
    <t>[0, 137, 236, 334, 433, 531]</t>
  </si>
  <si>
    <t>1.3.6.1.4.1.14519.5.2.1.150184493006974879197842527504138556585</t>
  </si>
  <si>
    <t>ISPY2_786480</t>
  </si>
  <si>
    <t>[0, 112, 210, 308, 406, 504]</t>
  </si>
  <si>
    <t>1.3.6.1.4.1.14519.5.2.1.156382508365821846031968557355948920861</t>
  </si>
  <si>
    <t>ISPY2_786753</t>
  </si>
  <si>
    <t>1.3.6.1.4.1.14519.5.2.1.7695.4164.250303971818654058920740726524</t>
  </si>
  <si>
    <t>ISPY2_787415</t>
  </si>
  <si>
    <t>2002/06/07</t>
  </si>
  <si>
    <t>1.3.6.1.4.1.14519.5.2.1.238634441404576577099364562402362128536</t>
  </si>
  <si>
    <t>ISPY2_788149</t>
  </si>
  <si>
    <t>2002/08/24</t>
  </si>
  <si>
    <t>1.3.6.1.4.1.14519.5.2.1.238344738984272065674407539833028950242</t>
  </si>
  <si>
    <t>ISPY2_789497</t>
  </si>
  <si>
    <t>[0, 106, 212, 319, 425, 531]</t>
  </si>
  <si>
    <t>2001/01/06</t>
  </si>
  <si>
    <t>1.3.6.1.4.1.14519.5.2.1.191663502105369580931122433346217108389</t>
  </si>
  <si>
    <t>ISPY2_790070</t>
  </si>
  <si>
    <t>[0, 177, 264, 351, 439, 525]</t>
  </si>
  <si>
    <t>1.3.6.1.4.1.14519.5.2.1.177235900409105747700964040904494105368</t>
  </si>
  <si>
    <t>ISPY2_790397</t>
  </si>
  <si>
    <t>[0.6067961454, 0.6067961454]</t>
  </si>
  <si>
    <t>[0, 167, 260, 353, 446, 539]</t>
  </si>
  <si>
    <t>2003/03/16</t>
  </si>
  <si>
    <t>1.3.6.1.4.1.14519.5.2.1.309174379315718392286661114044159465386</t>
  </si>
  <si>
    <t>ISPY2_790722</t>
  </si>
  <si>
    <t>[0, 241, 334, 426, 519, 611]</t>
  </si>
  <si>
    <t>2000/05/11</t>
  </si>
  <si>
    <t>1.3.6.1.4.1.14519.5.2.1.199206731515142135888434882363513118150</t>
  </si>
  <si>
    <t>ISPY2_791321</t>
  </si>
  <si>
    <t>1.3.6.1.4.1.14519.5.2.1.164785954700724263208288479026451488304</t>
  </si>
  <si>
    <t>ISPY2_791944</t>
  </si>
  <si>
    <t>1.3.6.1.4.1.14519.5.2.1.237827581271928208046164293521836599926</t>
  </si>
  <si>
    <t>ISPY2_792181</t>
  </si>
  <si>
    <t>2001/09/22</t>
  </si>
  <si>
    <t>1.3.6.1.4.1.14519.5.2.1.7695.4164.950013542780464274190820193502</t>
  </si>
  <si>
    <t>ISPY2_792412</t>
  </si>
  <si>
    <t>[0, 138, 234, 330, 427, 523]</t>
  </si>
  <si>
    <t>2004/12/04</t>
  </si>
  <si>
    <t>1.3.6.1.4.1.14519.5.2.1.201631053206603678724743700097723614412</t>
  </si>
  <si>
    <t>ISPY2_793155</t>
  </si>
  <si>
    <t>[0, 85, 169, 254, 338, 423]</t>
  </si>
  <si>
    <t>1.3.6.1.4.1.14519.5.2.1.7695.4164.980802683710662815249513433967</t>
  </si>
  <si>
    <t>ISPY2_793684</t>
  </si>
  <si>
    <t>[0, 128, 207, 287, 367, 447]</t>
  </si>
  <si>
    <t>1.3.6.1.4.1.14519.5.2.1.312287775948855213177648869185305132064</t>
  </si>
  <si>
    <t>ISPY2_794128</t>
  </si>
  <si>
    <t>[0, 157, 254, 350, 446, 543]</t>
  </si>
  <si>
    <t>1.3.6.1.4.1.14519.5.2.1.7695.4164.307181068091167775100378137902</t>
  </si>
  <si>
    <t>ISPY2_794428</t>
  </si>
  <si>
    <t>[0, 141, 233, 324, 416, 507]</t>
  </si>
  <si>
    <t>1999/08/08</t>
  </si>
  <si>
    <t>1.3.6.1.4.1.14519.5.2.1.193133784388254631776939854570662474955</t>
  </si>
  <si>
    <t>ISPY2_795996</t>
  </si>
  <si>
    <t>[0, 98, 195, 292, 389, 486]</t>
  </si>
  <si>
    <t>1.3.6.1.4.1.14519.5.2.1.7695.4164.140743979247984447696060822130</t>
  </si>
  <si>
    <t>ISPY2_796558</t>
  </si>
  <si>
    <t>[0, 160, 244, 328, 412, 495]</t>
  </si>
  <si>
    <t>2001/04/21</t>
  </si>
  <si>
    <t>1.3.6.1.4.1.14519.5.2.1.43158859211553203478729137559726944324</t>
  </si>
  <si>
    <t>ISPY2_797427</t>
  </si>
  <si>
    <t>[0, 297, 392, 486, 580, 677]</t>
  </si>
  <si>
    <t>1.3.6.1.4.1.14519.5.2.1.274374631993028422331510159826569210294</t>
  </si>
  <si>
    <t>ISPY2_797499</t>
  </si>
  <si>
    <t>[0, 130, 219, 309, 398, 488]</t>
  </si>
  <si>
    <t>2001/08/02</t>
  </si>
  <si>
    <t>1.3.6.1.4.1.14519.5.2.1.62263010361769971754280726077636220875</t>
  </si>
  <si>
    <t>ISPY2_797639</t>
  </si>
  <si>
    <t>[0, 126, 221, 316, 411, 506]</t>
  </si>
  <si>
    <t>2001/05/16</t>
  </si>
  <si>
    <t>1.3.6.1.4.1.14519.5.2.1.206814839387991606441555831151606739966</t>
  </si>
  <si>
    <t>ISPY2_798604</t>
  </si>
  <si>
    <t>[0, 142, 243, 342, 443, 543]</t>
  </si>
  <si>
    <t>2003/01/22</t>
  </si>
  <si>
    <t>1.3.6.1.4.1.14519.5.2.1.258582642863664769024166566151352023417</t>
  </si>
  <si>
    <t>ISPY2_799149</t>
  </si>
  <si>
    <t>[0, 165, 253, 340, 427, 514]</t>
  </si>
  <si>
    <t>1.3.6.1.4.1.14519.5.2.1.7695.4164.266395839939396977310300340969</t>
  </si>
  <si>
    <t>ISPY2_800447</t>
  </si>
  <si>
    <t>[0, 96, 192, 288, 383, 480]</t>
  </si>
  <si>
    <t>1.3.6.1.4.1.14519.5.2.1.7695.4164.181914666826829039069829814202</t>
  </si>
  <si>
    <t>ISPY2_800710</t>
  </si>
  <si>
    <t>[0, 209, 296, 383, 470, 557]</t>
  </si>
  <si>
    <t>2000/10/14</t>
  </si>
  <si>
    <t>1.3.6.1.4.1.14519.5.2.1.323238449706283517098380694107015258374</t>
  </si>
  <si>
    <t>ISPY2_801641</t>
  </si>
  <si>
    <t>2002/03/14</t>
  </si>
  <si>
    <t>1.3.6.1.4.1.14519.5.2.1.7695.4164.240841011610924117140166064808</t>
  </si>
  <si>
    <t>ISPY2_802105</t>
  </si>
  <si>
    <t>1.3.6.1.4.1.14519.5.2.1.222162165001453212895975082917165310862</t>
  </si>
  <si>
    <t>ISPY2_802308</t>
  </si>
  <si>
    <t>[0, 132, 222, 311, 400, 490]</t>
  </si>
  <si>
    <t>2003/01/29</t>
  </si>
  <si>
    <t>1.3.6.1.4.1.14519.5.2.1.7695.4164.306800134182458775989949752759</t>
  </si>
  <si>
    <t>ISPY2_802778</t>
  </si>
  <si>
    <t>[0, 129, 228, 327, 425, 524]</t>
  </si>
  <si>
    <t>2000/01/12</t>
  </si>
  <si>
    <t>1.3.6.1.4.1.14519.5.2.1.78609477956022887309030822458620363355</t>
  </si>
  <si>
    <t>ISPY2_803514</t>
  </si>
  <si>
    <t>[0, 97, 195, 293, 391, 490]</t>
  </si>
  <si>
    <t>1.3.6.1.4.1.14519.5.2.1.170917341805467204684730160926830108753</t>
  </si>
  <si>
    <t>ISPY2_803677</t>
  </si>
  <si>
    <t>[0, 111, 198, 286, 374, 462]</t>
  </si>
  <si>
    <t>2001/04/06</t>
  </si>
  <si>
    <t>1.3.6.1.4.1.14519.5.2.1.183147632208929612298574061069230581050</t>
  </si>
  <si>
    <t>ISPY2_804233</t>
  </si>
  <si>
    <t>[0, 162, 252, 341, 430, 519]</t>
  </si>
  <si>
    <t>2004/04/07</t>
  </si>
  <si>
    <t>1.3.6.1.4.1.14519.5.2.1.207739775426628336285814665352089665456</t>
  </si>
  <si>
    <t>ISPY2_804979</t>
  </si>
  <si>
    <t>2002/07/13</t>
  </si>
  <si>
    <t>1.3.6.1.4.1.14519.5.2.1.7695.4164.252486219217751143653438372127</t>
  </si>
  <si>
    <t>ISPY2_805136</t>
  </si>
  <si>
    <t>[0.8705357313, 0.8705357313]</t>
  </si>
  <si>
    <t>[0, 98, 188, 279, 369, 460]</t>
  </si>
  <si>
    <t>1.3.6.1.4.1.14519.5.2.1.7695.4164.284863438168217681935688389515</t>
  </si>
  <si>
    <t>ISPY2_808714</t>
  </si>
  <si>
    <t>1.3.6.1.4.1.14519.5.2.1.297662779876912994501726703068047595280</t>
  </si>
  <si>
    <t>ISPY2_809037</t>
  </si>
  <si>
    <t>1.3.6.1.4.1.14519.5.2.1.304132800277452658620002748415564314942</t>
  </si>
  <si>
    <t>ISPY2_809649</t>
  </si>
  <si>
    <t>[0, 143, 238, 333, 428, 523]</t>
  </si>
  <si>
    <t>1999/12/03</t>
  </si>
  <si>
    <t>1.3.6.1.4.1.14519.5.2.1.148834298275429631652419753411916581264</t>
  </si>
  <si>
    <t>ISPY2_810965</t>
  </si>
  <si>
    <t>[0, 174, 261, 348, 435, 522]</t>
  </si>
  <si>
    <t>1.3.6.1.4.1.14519.5.2.1.254689048493827012149407716614267802141</t>
  </si>
  <si>
    <t>ISPY2_812089</t>
  </si>
  <si>
    <t>[0, 107, 189, 271, 353, 435]</t>
  </si>
  <si>
    <t>2000/01/07</t>
  </si>
  <si>
    <t>1.3.6.1.4.1.14519.5.2.1.26707021800646509271492156136348378435</t>
  </si>
  <si>
    <t>ISPY2_814299</t>
  </si>
  <si>
    <t>[0, 265, 360, 455, 549, 644]</t>
  </si>
  <si>
    <t>1999/06/04</t>
  </si>
  <si>
    <t>1.3.6.1.4.1.14519.5.2.1.174043487979044302945923583680980266731</t>
  </si>
  <si>
    <t>ISPY2_815421</t>
  </si>
  <si>
    <t>[0, 191, 276, 361, 445, 530]</t>
  </si>
  <si>
    <t>1.3.6.1.4.1.14519.5.2.1.52157411800865999736632756065004227683</t>
  </si>
  <si>
    <t>ISPY2_815493</t>
  </si>
  <si>
    <t>[0, 133, 215, 297, 379, 461]</t>
  </si>
  <si>
    <t>2004/05/26</t>
  </si>
  <si>
    <t>1.3.6.1.4.1.14519.5.2.1.6670419387707849658208554932935663579</t>
  </si>
  <si>
    <t>ISPY2_819622</t>
  </si>
  <si>
    <t>[0, 298, 388, 478, 569, 661]</t>
  </si>
  <si>
    <t>1999/05/27</t>
  </si>
  <si>
    <t>1.3.6.1.4.1.14519.5.2.1.1995562303586142280422441930013661331</t>
  </si>
  <si>
    <t>ISPY2_820348</t>
  </si>
  <si>
    <t>2002/11/03</t>
  </si>
  <si>
    <t>1.3.6.1.4.1.14519.5.2.1.305067925364512892033290643619913167001</t>
  </si>
  <si>
    <t>ISPY2_820807</t>
  </si>
  <si>
    <t>[0, 180, 264, 348, 433, 518]</t>
  </si>
  <si>
    <t>1.3.6.1.4.1.14519.5.2.1.7695.4164.180130971261964998740019614817</t>
  </si>
  <si>
    <t>ISPY2_823618</t>
  </si>
  <si>
    <t>[0, 363, 443, 523, 603, 683]</t>
  </si>
  <si>
    <t>1.3.6.1.4.1.14519.5.2.1.312775972767509210762941011590499127163</t>
  </si>
  <si>
    <t>ISPY2_824234</t>
  </si>
  <si>
    <t>[0, 119, 217, 316, 414, 513]</t>
  </si>
  <si>
    <t>1.3.6.1.4.1.14519.5.2.1.172469670732997603356158043429756475735</t>
  </si>
  <si>
    <t>ISPY2_824350</t>
  </si>
  <si>
    <t>[0, 144, 247, 350, 454, 557]</t>
  </si>
  <si>
    <t>2003/07/16</t>
  </si>
  <si>
    <t>1.3.6.1.4.1.14519.5.2.1.141838114488234851262843766752687182595</t>
  </si>
  <si>
    <t>ISPY2_824512</t>
  </si>
  <si>
    <t>2002/12/14</t>
  </si>
  <si>
    <t>1.3.6.1.4.1.14519.5.2.1.196558355587028588000005205440958307247</t>
  </si>
  <si>
    <t>ISPY2_825363</t>
  </si>
  <si>
    <t>[0, 161, 241, 321, 402, 482]</t>
  </si>
  <si>
    <t>1.3.6.1.4.1.14519.5.2.1.190531143867684285666636118767575672823</t>
  </si>
  <si>
    <t>ISPY2_828199</t>
  </si>
  <si>
    <t>1.3.6.1.4.1.14519.5.2.1.284730969772130747295234610672377527070</t>
  </si>
  <si>
    <t>ISPY2_829491</t>
  </si>
  <si>
    <t>[0, 135, 232, 328, 429, 526]</t>
  </si>
  <si>
    <t>1.3.6.1.4.1.14519.5.2.1.215809785810182463955987523922573983925</t>
  </si>
  <si>
    <t>ISPY2_830486</t>
  </si>
  <si>
    <t>[0.6188119054, 0.6188119054]</t>
  </si>
  <si>
    <t>[0, 106, 191, 277, 362, 447]</t>
  </si>
  <si>
    <t>1.3.6.1.4.1.14519.5.2.1.337465896840911004510647554915817871298</t>
  </si>
  <si>
    <t>ISPY2_830958</t>
  </si>
  <si>
    <t>2004/07/03</t>
  </si>
  <si>
    <t>1.3.6.1.4.1.14519.5.2.1.63770984727829818286900657113539919928</t>
  </si>
  <si>
    <t>ISPY2_831702</t>
  </si>
  <si>
    <t>2003/07/02</t>
  </si>
  <si>
    <t>1.3.6.1.4.1.14519.5.2.1.253338346685594243796374816470996580110</t>
  </si>
  <si>
    <t>ISPY2_831848</t>
  </si>
  <si>
    <t>[0, 141, 230, 319, 409, 498]</t>
  </si>
  <si>
    <t>2001/09/06</t>
  </si>
  <si>
    <t>1.3.6.1.4.1.14519.5.2.1.7695.4164.578187634580757603180140634132</t>
  </si>
  <si>
    <t>ISPY2_832056</t>
  </si>
  <si>
    <t>[0, 107, 192, 276, 362, 448]</t>
  </si>
  <si>
    <t>2004/10/20</t>
  </si>
  <si>
    <t>1.3.6.1.4.1.14519.5.2.1.55743217293554644490419583713219948057</t>
  </si>
  <si>
    <t>ISPY2_833536</t>
  </si>
  <si>
    <t>[0, 150, 241, 331, 422, 513]</t>
  </si>
  <si>
    <t>1999/05/30</t>
  </si>
  <si>
    <t>1.3.6.1.4.1.14519.5.2.1.46032099547330902216174230544944642718</t>
  </si>
  <si>
    <t>ISPY2_834418</t>
  </si>
  <si>
    <t>[0, 121, 208, 295, 382, 469]</t>
  </si>
  <si>
    <t>1.3.6.1.4.1.14519.5.2.1.33952148543639054496022846321155953836</t>
  </si>
  <si>
    <t>ISPY2_835658</t>
  </si>
  <si>
    <t>1.3.6.1.4.1.14519.5.2.1.99700519599507599730329675139972466627</t>
  </si>
  <si>
    <t>ISPY2_836114</t>
  </si>
  <si>
    <t>[0, 243, 336, 429, 521, 614]</t>
  </si>
  <si>
    <t>2000/04/27</t>
  </si>
  <si>
    <t>1.3.6.1.4.1.14519.5.2.1.41837773012368583339427101877970890440</t>
  </si>
  <si>
    <t>ISPY2_836983</t>
  </si>
  <si>
    <t>1.3.6.1.4.1.14519.5.2.1.86670764684278543555626936095238867786</t>
  </si>
  <si>
    <t>ISPY2_839274</t>
  </si>
  <si>
    <t>[0.6428571343, 0.6428571343]</t>
  </si>
  <si>
    <t>2002/04/26</t>
  </si>
  <si>
    <t>1.3.6.1.4.1.14519.5.2.1.7695.4164.292135937223205180372242958606</t>
  </si>
  <si>
    <t>ISPY2_840501</t>
  </si>
  <si>
    <t>[0, 131, 223, 316, 409, 502]</t>
  </si>
  <si>
    <t>2000/06/22</t>
  </si>
  <si>
    <t>1.3.6.1.4.1.14519.5.2.1.109415869097174735458971899132362654067</t>
  </si>
  <si>
    <t>ISPY2_841336</t>
  </si>
  <si>
    <t>[0, 178, 266, 354, 441, 529]</t>
  </si>
  <si>
    <t>2004/02/25</t>
  </si>
  <si>
    <t>1.3.6.1.4.1.14519.5.2.1.206460671127485776835910315281875973619</t>
  </si>
  <si>
    <t>ISPY2_843554</t>
  </si>
  <si>
    <t>[0, 130, 215, 298, 384, 468]</t>
  </si>
  <si>
    <t>1.3.6.1.4.1.14519.5.2.1.7695.4164.145004255425729707970278698091</t>
  </si>
  <si>
    <t>ISPY2_845079</t>
  </si>
  <si>
    <t>[0, 110, 198, 287, 375, 463]</t>
  </si>
  <si>
    <t>1.3.6.1.4.1.14519.5.2.1.81547389905296834026840940594980285531</t>
  </si>
  <si>
    <t>ISPY2_845147</t>
  </si>
  <si>
    <t>1.3.6.1.4.1.14519.5.2.1.55456231086512051843257642894791360687</t>
  </si>
  <si>
    <t>ISPY2_845663</t>
  </si>
  <si>
    <t>[0, 152, 245, 337, 430, 522]</t>
  </si>
  <si>
    <t>1999/12/11</t>
  </si>
  <si>
    <t>1.3.6.1.4.1.14519.5.2.1.199799212166907113748548872521912708693</t>
  </si>
  <si>
    <t>ISPY2_845783</t>
  </si>
  <si>
    <t>1.3.6.1.4.1.14519.5.2.1.7695.4164.327418396862805206252123604032</t>
  </si>
  <si>
    <t>ISPY2_846156</t>
  </si>
  <si>
    <t>2003/07/18</t>
  </si>
  <si>
    <t>1.3.6.1.4.1.14519.5.2.1.45997331801211953100127604094196179879</t>
  </si>
  <si>
    <t>ISPY2_847272</t>
  </si>
  <si>
    <t>2003/09/24</t>
  </si>
  <si>
    <t>1.3.6.1.4.1.14519.5.2.1.33489295456106747796644998036196752889</t>
  </si>
  <si>
    <t>ISPY2_847753</t>
  </si>
  <si>
    <t>2004/04/25</t>
  </si>
  <si>
    <t>1.3.6.1.4.1.14519.5.2.1.301553662234392844823048923999720639330</t>
  </si>
  <si>
    <t>ISPY2_848003</t>
  </si>
  <si>
    <t>[0, 176, 263, 350, 436, 523]</t>
  </si>
  <si>
    <t>1.3.6.1.4.1.14519.5.2.1.7695.4164.176867538092737587649531771782</t>
  </si>
  <si>
    <t>ISPY2_848371</t>
  </si>
  <si>
    <t>[0, 167, 254, 341, 429, 516]</t>
  </si>
  <si>
    <t>2004/03/27</t>
  </si>
  <si>
    <t>1.3.6.1.4.1.14519.5.2.1.316781481145468063253217950094211873480</t>
  </si>
  <si>
    <t>ISPY2_849605</t>
  </si>
  <si>
    <t>[0, 132, 222, 313, 404, 495]</t>
  </si>
  <si>
    <t>1999/07/15</t>
  </si>
  <si>
    <t>1.3.6.1.4.1.14519.5.2.1.132381523635799643999776836691320158238</t>
  </si>
  <si>
    <t>ISPY2_851180</t>
  </si>
  <si>
    <t>[0, 90, 180, 270, 360, 450]</t>
  </si>
  <si>
    <t>1999/04/29</t>
  </si>
  <si>
    <t>1.3.6.1.4.1.14519.5.2.1.271093988150562979251555704496215586297</t>
  </si>
  <si>
    <t>ISPY2_851223</t>
  </si>
  <si>
    <t>2002/05/04</t>
  </si>
  <si>
    <t>1.3.6.1.4.1.14519.5.2.1.70116355083815376010901125016322681089</t>
  </si>
  <si>
    <t>ISPY2_851488</t>
  </si>
  <si>
    <t>[0, 148, 253, 358, 465, 574]</t>
  </si>
  <si>
    <t>1.3.6.1.4.1.14519.5.2.1.289022373156407838559133275791144367529</t>
  </si>
  <si>
    <t>ISPY2_856159</t>
  </si>
  <si>
    <t>[0, 147, 234, 321, 408, 495]</t>
  </si>
  <si>
    <t>1.3.6.1.4.1.14519.5.2.1.7695.4164.993104582840633323064132803198</t>
  </si>
  <si>
    <t>ISPY2_857165</t>
  </si>
  <si>
    <t>[0, 107, 196, 284, 373, 461]</t>
  </si>
  <si>
    <t>2004/06/17</t>
  </si>
  <si>
    <t>1.3.6.1.4.1.14519.5.2.1.27710210338328300195028717532863099765</t>
  </si>
  <si>
    <t>ISPY2_859699</t>
  </si>
  <si>
    <t>[0.9635416667, 0.9635416667]</t>
  </si>
  <si>
    <t>[0, 88, 175, 263, 350, 438]</t>
  </si>
  <si>
    <t>1.3.6.1.4.1.14519.5.2.1.41339103409687342357004598488965344327</t>
  </si>
  <si>
    <t>ISPY2_860243</t>
  </si>
  <si>
    <t>[0, 142, 232, 321, 410, 500]</t>
  </si>
  <si>
    <t>1.3.6.1.4.1.14519.5.2.1.7695.4164.232988947824078381595827918864</t>
  </si>
  <si>
    <t>ISPY2_860901</t>
  </si>
  <si>
    <t>2002/08/21</t>
  </si>
  <si>
    <t>1.3.6.1.4.1.14519.5.2.1.7695.4164.257192943636975610695025130721</t>
  </si>
  <si>
    <t>ISPY2_861745</t>
  </si>
  <si>
    <t>[0, 136, 220, 303, 386, 470]</t>
  </si>
  <si>
    <t>1.3.6.1.4.1.14519.5.2.1.7695.4164.303225164051948685419894984301</t>
  </si>
  <si>
    <t>ISPY2_862244</t>
  </si>
  <si>
    <t>[0, 108, 195, 283, 371, 459]</t>
  </si>
  <si>
    <t>1.3.6.1.4.1.14519.5.2.1.288118302287580734051234198547163824012</t>
  </si>
  <si>
    <t>ISPY2_863161</t>
  </si>
  <si>
    <t>[0, 119, 209, 299, 389, 480]</t>
  </si>
  <si>
    <t>1.3.6.1.4.1.14519.5.2.1.7695.4164.232891032496493480963586165749</t>
  </si>
  <si>
    <t>ISPY2_865416</t>
  </si>
  <si>
    <t>1.3.6.1.4.1.14519.5.2.1.57727235422591153157819292481895912531</t>
  </si>
  <si>
    <t>ISPY2_866660</t>
  </si>
  <si>
    <t>[0, 230, 317, 404, 491, 578]</t>
  </si>
  <si>
    <t>1.3.6.1.4.1.14519.5.2.1.7695.4164.999717032526665634316154836009</t>
  </si>
  <si>
    <t>ISPY2_870077</t>
  </si>
  <si>
    <t>[0, 104, 193, 283, 372, 461]</t>
  </si>
  <si>
    <t>2002/05/11</t>
  </si>
  <si>
    <t>1.3.6.1.4.1.14519.5.2.1.7695.4164.622097110781098852937923497727</t>
  </si>
  <si>
    <t>ISPY2_872188</t>
  </si>
  <si>
    <t>[0, 133, 224, 316, 408, 499]</t>
  </si>
  <si>
    <t>2000/04/14</t>
  </si>
  <si>
    <t>1.3.6.1.4.1.14519.5.2.1.57922006782749371027143355164448475656</t>
  </si>
  <si>
    <t>ISPY2_873686</t>
  </si>
  <si>
    <t>[0, 87, 173, 260, 347, 433]</t>
  </si>
  <si>
    <t>2004/05/30</t>
  </si>
  <si>
    <t>1.3.6.1.4.1.14519.5.2.1.170401828053493117728860774699726388639</t>
  </si>
  <si>
    <t>ISPY2_875089</t>
  </si>
  <si>
    <t>[0, 119, 203, 289, 373, 459]</t>
  </si>
  <si>
    <t>1.3.6.1.4.1.14519.5.2.1.7695.4164.531397707615229510299072938634</t>
  </si>
  <si>
    <t>ISPY2_876511</t>
  </si>
  <si>
    <t>[0, 77, 155, 232, 310, 387]</t>
  </si>
  <si>
    <t>1999/08/28</t>
  </si>
  <si>
    <t>1.3.6.1.4.1.14519.5.2.1.196201609769680248360089885057783552544</t>
  </si>
  <si>
    <t>ISPY2_877463</t>
  </si>
  <si>
    <t>[0, 125, 217, 310, 402, 496]</t>
  </si>
  <si>
    <t>1.3.6.1.4.1.14519.5.2.1.236195108746351907606026396165204431408</t>
  </si>
  <si>
    <t>ISPY2_879224</t>
  </si>
  <si>
    <t>[0, 148, 233, 318, 403, 488]</t>
  </si>
  <si>
    <t>1.3.6.1.4.1.14519.5.2.1.7695.4164.156727451078667509223301990901</t>
  </si>
  <si>
    <t>ISPY2_882538</t>
  </si>
  <si>
    <t>2002/09/25</t>
  </si>
  <si>
    <t>1.3.6.1.4.1.14519.5.2.1.37157780746668885496112856225862694686</t>
  </si>
  <si>
    <t>ISPY2_882553</t>
  </si>
  <si>
    <t>[0, 190, 278, 364, 451, 539]</t>
  </si>
  <si>
    <t>1.3.6.1.4.1.14519.5.2.1.7695.4164.193515745300598297377227349634</t>
  </si>
  <si>
    <t>ISPY2_883696</t>
  </si>
  <si>
    <t>[0, 137, 228, 320, 412, 503]</t>
  </si>
  <si>
    <t>2000/05/21</t>
  </si>
  <si>
    <t>1.3.6.1.4.1.14519.5.2.1.216965681809814385670045361888410727104</t>
  </si>
  <si>
    <t>ISPY2_883886</t>
  </si>
  <si>
    <t>[0, 134, 224, 314, 403, 493]</t>
  </si>
  <si>
    <t>1999/07/10</t>
  </si>
  <si>
    <t>1.3.6.1.4.1.14519.5.2.1.44430508278092904886213607941769155165</t>
  </si>
  <si>
    <t>ISPY2_884011</t>
  </si>
  <si>
    <t>[0, 195, 283, 370, 457, 544]</t>
  </si>
  <si>
    <t>2001/10/13</t>
  </si>
  <si>
    <t>1.3.6.1.4.1.14519.5.2.1.7695.4164.176985702410853745944802958204</t>
  </si>
  <si>
    <t>ISPY2_884266</t>
  </si>
  <si>
    <t>[0, 171, 269, 367, 465, 563]</t>
  </si>
  <si>
    <t>1.3.6.1.4.1.14519.5.2.1.262832021146911746461227538901862958973</t>
  </si>
  <si>
    <t>ISPY2_885590</t>
  </si>
  <si>
    <t>[0, 114, 206, 300, 393, 485]</t>
  </si>
  <si>
    <t>2000/06/10</t>
  </si>
  <si>
    <t>1.3.6.1.4.1.14519.5.2.1.45132207794595796327483230643552320300</t>
  </si>
  <si>
    <t>ISPY2_885871</t>
  </si>
  <si>
    <t>[0, 126, 230, 335, 439, 544]</t>
  </si>
  <si>
    <t>2002/04/19</t>
  </si>
  <si>
    <t>1.3.6.1.4.1.14519.5.2.1.167569743394649129074020932033833181883</t>
  </si>
  <si>
    <t>ISPY2_887594</t>
  </si>
  <si>
    <t>1.3.6.1.4.1.14519.5.2.1.7695.4164.147014196883447455185979562898</t>
  </si>
  <si>
    <t>ISPY2_889049</t>
  </si>
  <si>
    <t>2000/08/03</t>
  </si>
  <si>
    <t>1.3.6.1.4.1.14519.5.2.1.169577148538860900364122271624889112740</t>
  </si>
  <si>
    <t>ISPY2_889225</t>
  </si>
  <si>
    <t>1.3.6.1.4.1.14519.5.2.1.61409420772576442396286744975096465164</t>
  </si>
  <si>
    <t>ISPY2_889721</t>
  </si>
  <si>
    <t>[0, 158, 247, 336, 425, 514]</t>
  </si>
  <si>
    <t>2003/02/19</t>
  </si>
  <si>
    <t>1.3.6.1.4.1.14519.5.2.1.148504761832825534986117121227174505908</t>
  </si>
  <si>
    <t>ISPY2_890372</t>
  </si>
  <si>
    <t>[0, 120, 210, 299, 388, 478]</t>
  </si>
  <si>
    <t>2002/10/20</t>
  </si>
  <si>
    <t>1.3.6.1.4.1.14519.5.2.1.7695.4164.141069031826129348689364571643</t>
  </si>
  <si>
    <t>ISPY2_890414</t>
  </si>
  <si>
    <t>1.3.6.1.4.1.14519.5.2.1.84413367621151383262486118998944013054</t>
  </si>
  <si>
    <t>ISPY2_891645</t>
  </si>
  <si>
    <t>2000/09/17</t>
  </si>
  <si>
    <t>1.3.6.1.4.1.14519.5.2.1.82549446705369323648530916888423603512</t>
  </si>
  <si>
    <t>ISPY2_892390</t>
  </si>
  <si>
    <t>[0, 119, 203, 288, 374, 459]</t>
  </si>
  <si>
    <t>2004/04/22</t>
  </si>
  <si>
    <t>1.3.6.1.4.1.14519.5.2.1.49887082930975982463735258470166533009</t>
  </si>
  <si>
    <t>ISPY2_893874</t>
  </si>
  <si>
    <t>[0, 155, 244, 334, 423, 513]</t>
  </si>
  <si>
    <t>2002/11/30</t>
  </si>
  <si>
    <t>1.3.6.1.4.1.14519.5.2.1.136056550956122244191964146292442344791</t>
  </si>
  <si>
    <t>ISPY2_894128</t>
  </si>
  <si>
    <t>[0, 119, 214, 309, 404, 499]</t>
  </si>
  <si>
    <t>1.3.6.1.4.1.14519.5.2.1.10359832062354018368577921490933520946</t>
  </si>
  <si>
    <t>ISPY2_894491</t>
  </si>
  <si>
    <t>[0, 295, 393, 467, 541, 615]</t>
  </si>
  <si>
    <t>1998/09/05</t>
  </si>
  <si>
    <t>1.3.6.1.4.1.14519.5.2.1.40720240658381886522557791981861755951</t>
  </si>
  <si>
    <t>ISPY2_894673</t>
  </si>
  <si>
    <t>[0, 120, 205, 299, 385, 480]</t>
  </si>
  <si>
    <t>2001/06/17</t>
  </si>
  <si>
    <t>1.3.6.1.4.1.14519.5.2.1.7695.4164.259264903749316460985715719420</t>
  </si>
  <si>
    <t>ISPY2_895653</t>
  </si>
  <si>
    <t>[0, 135, 224, 314, 403, 492]</t>
  </si>
  <si>
    <t>2002/11/17</t>
  </si>
  <si>
    <t>1.3.6.1.4.1.14519.5.2.1.7695.4164.286144511155023799125849437773</t>
  </si>
  <si>
    <t>ISPY2_896621</t>
  </si>
  <si>
    <t>1.3.6.1.4.1.14519.5.2.1.158059071613732286800035550418570373152</t>
  </si>
  <si>
    <t>ISPY2_896852</t>
  </si>
  <si>
    <t>[0, 179, 266, 353, 440, 527]</t>
  </si>
  <si>
    <t>1.3.6.1.4.1.14519.5.2.1.7695.4164.250191093984036819935334524222</t>
  </si>
  <si>
    <t>ISPY2_896939</t>
  </si>
  <si>
    <t>[0, 130, 215, 300, 386, 473]</t>
  </si>
  <si>
    <t>2004/04/24</t>
  </si>
  <si>
    <t>1.3.6.1.4.1.14519.5.2.1.162308191558532775276617022334878084293</t>
  </si>
  <si>
    <t>ISPY2_898618</t>
  </si>
  <si>
    <t>[0, 146, 235, 325, 414, 504]</t>
  </si>
  <si>
    <t>2002/07/06</t>
  </si>
  <si>
    <t>1.3.6.1.4.1.14519.5.2.1.77996407193798501305586980733964896336</t>
  </si>
  <si>
    <t>ISPY2_899381</t>
  </si>
  <si>
    <t>[0, 237, 324, 412, 500, 587]</t>
  </si>
  <si>
    <t>2003/12/13</t>
  </si>
  <si>
    <t>1.3.6.1.4.1.14519.5.2.1.265776533548139838705874754105550210239</t>
  </si>
  <si>
    <t>ISPY2_899692</t>
  </si>
  <si>
    <t>[0, 115, 205, 295, 385, 475]</t>
  </si>
  <si>
    <t>2002/07/19</t>
  </si>
  <si>
    <t>1.3.6.1.4.1.14519.5.2.1.7695.4164.251068814745015833807514479277</t>
  </si>
  <si>
    <t>ISPY2_900959</t>
  </si>
  <si>
    <t>[0, 96, 193, 289, 385, 481]</t>
  </si>
  <si>
    <t>2002/06/10</t>
  </si>
  <si>
    <t>1.3.6.1.4.1.14519.5.2.1.7695.4164.186353172001509869961884268281</t>
  </si>
  <si>
    <t>ISPY2_901705</t>
  </si>
  <si>
    <t>2002/10/31</t>
  </si>
  <si>
    <t>1.3.6.1.4.1.14519.5.2.1.7695.4164.246705567885723939936559127039</t>
  </si>
  <si>
    <t>ISPY2_903880</t>
  </si>
  <si>
    <t>1.3.6.1.4.1.14519.5.2.1.120025437371169099656002822885163357442</t>
  </si>
  <si>
    <t>ISPY2_904269</t>
  </si>
  <si>
    <t>[0, 323, 417, 509, 601, 693]</t>
  </si>
  <si>
    <t>1999/02/25</t>
  </si>
  <si>
    <t>1.3.6.1.4.1.14519.5.2.1.253544667626507427113524633874205592654</t>
  </si>
  <si>
    <t>ISPY2_905264</t>
  </si>
  <si>
    <t>[0, 154, 237, 321, 404, 487]</t>
  </si>
  <si>
    <t>1.3.6.1.4.1.14519.5.2.1.93127041643384514216710591906316161807</t>
  </si>
  <si>
    <t>ISPY2_906042</t>
  </si>
  <si>
    <t>[0.5696202517, 0.5696202517]</t>
  </si>
  <si>
    <t>1.3.6.1.4.1.14519.5.2.1.77426503500268967730064875837367077878</t>
  </si>
  <si>
    <t>ISPY2_906795</t>
  </si>
  <si>
    <t>[0, 176, 260, 344, 428, 512]</t>
  </si>
  <si>
    <t>2001/08/16</t>
  </si>
  <si>
    <t>1.3.6.1.4.1.14519.5.2.1.229876019752205696349826860315765481764</t>
  </si>
  <si>
    <t>ISPY2_910188</t>
  </si>
  <si>
    <t>[0, 122, 219, 318, 415, 512]</t>
  </si>
  <si>
    <t>2001/06/30</t>
  </si>
  <si>
    <t>1.3.6.1.4.1.14519.5.2.1.49495885604787408389026974430853007874</t>
  </si>
  <si>
    <t>ISPY2_910706</t>
  </si>
  <si>
    <t>[0, 499, 579, 659, 739, 819]</t>
  </si>
  <si>
    <t>1.3.6.1.4.1.14519.5.2.1.227349709112062587554828614360178231514</t>
  </si>
  <si>
    <t>ISPY2_912836</t>
  </si>
  <si>
    <t>2003/05/22</t>
  </si>
  <si>
    <t>1.3.6.1.4.1.14519.5.2.1.16017157427768273794821992693878935211</t>
  </si>
  <si>
    <t>ISPY2_913225</t>
  </si>
  <si>
    <t>[0, 198, 291, 383, 476, 568]</t>
  </si>
  <si>
    <t>1999/09/18</t>
  </si>
  <si>
    <t>1.3.6.1.4.1.14519.5.2.1.171286923775568409197926780063502788795</t>
  </si>
  <si>
    <t>ISPY2_913527</t>
  </si>
  <si>
    <t>1.3.6.1.4.1.14519.5.2.1.7695.4164.994523858490708543122168408758</t>
  </si>
  <si>
    <t>ISPY2_914968</t>
  </si>
  <si>
    <t>[0, 113, 206, 300, 394, 488]</t>
  </si>
  <si>
    <t>1.3.6.1.4.1.14519.5.2.1.24940940602917901198629070960481349686</t>
  </si>
  <si>
    <t>ISPY2_916586</t>
  </si>
  <si>
    <t>2003/04/03</t>
  </si>
  <si>
    <t>1.3.6.1.4.1.14519.5.2.1.107770264585790804144138180728296229657</t>
  </si>
  <si>
    <t>ISPY2_916645</t>
  </si>
  <si>
    <t>[0, 300, 416, 508, 601, 693]</t>
  </si>
  <si>
    <t>1.3.6.1.4.1.14519.5.2.1.317127813349296851638702023818152753969</t>
  </si>
  <si>
    <t>ISPY2_917762</t>
  </si>
  <si>
    <t>[0, 121, 216, 310, 405, 499]</t>
  </si>
  <si>
    <t>2002/03/16</t>
  </si>
  <si>
    <t>1.3.6.1.4.1.14519.5.2.1.72354704719141508784745383322229608151</t>
  </si>
  <si>
    <t>ISPY2_918979</t>
  </si>
  <si>
    <t>[0.5733944774, 0.5733944774]</t>
  </si>
  <si>
    <t>[0, 106, 193, 280, 367, 454]</t>
  </si>
  <si>
    <t>2003/03/28</t>
  </si>
  <si>
    <t>1.3.6.1.4.1.14519.5.2.1.150367731382673361829075582409312751553</t>
  </si>
  <si>
    <t>ISPY2_920479</t>
  </si>
  <si>
    <t>[0, 164, 265, 366, 468, 569]</t>
  </si>
  <si>
    <t>1999/10/07</t>
  </si>
  <si>
    <t>1.3.6.1.4.1.14519.5.2.1.69881381076573345563016714528921454267</t>
  </si>
  <si>
    <t>ISPY2_922872</t>
  </si>
  <si>
    <t>[0, 247, 346, 444, 542, 641]</t>
  </si>
  <si>
    <t>2004/10/24</t>
  </si>
  <si>
    <t>1.3.6.1.4.1.14519.5.2.1.41982439161152939786064490999814140651</t>
  </si>
  <si>
    <t>ISPY2_923968</t>
  </si>
  <si>
    <t>[0, 128, 225, 323, 420, 517]</t>
  </si>
  <si>
    <t>2001/08/09</t>
  </si>
  <si>
    <t>1.3.6.1.4.1.14519.5.2.1.248799930986294190959553785490155869997</t>
  </si>
  <si>
    <t>ISPY2_924071</t>
  </si>
  <si>
    <t>[0, 138, 228, 318, 408, 498]</t>
  </si>
  <si>
    <t>2001/04/20</t>
  </si>
  <si>
    <t>1.3.6.1.4.1.14519.5.2.1.7695.4164.327224434996564836108344179022</t>
  </si>
  <si>
    <t>ISPY2_924812</t>
  </si>
  <si>
    <t>[0, 206, 290, 373, 457, 541]</t>
  </si>
  <si>
    <t>1.3.6.1.4.1.14519.5.2.1.234264149800066544307503071575161842226</t>
  </si>
  <si>
    <t>ISPY2_924868</t>
  </si>
  <si>
    <t>1.3.6.1.4.1.14519.5.2.1.159377336292398418601832247224333526996</t>
  </si>
  <si>
    <t>ISPY2_924895</t>
  </si>
  <si>
    <t>[0, 124, 216, 308, 400, 492]</t>
  </si>
  <si>
    <t>2003/01/03</t>
  </si>
  <si>
    <t>1.3.6.1.4.1.14519.5.2.1.219915228203117658766444972953915627726</t>
  </si>
  <si>
    <t>ISPY2_925691</t>
  </si>
  <si>
    <t>[0, 141, 240, 338, 437, 535]</t>
  </si>
  <si>
    <t>1999/11/21</t>
  </si>
  <si>
    <t>1.3.6.1.4.1.14519.5.2.1.316774303127358107508864136982287225445</t>
  </si>
  <si>
    <t>ISPY2_928170</t>
  </si>
  <si>
    <t>[0, 133, 235, 336, 438, 540]</t>
  </si>
  <si>
    <t>1.3.6.1.4.1.14519.5.2.1.7695.4164.182779576261864967131221549376</t>
  </si>
  <si>
    <t>ISPY2_928446</t>
  </si>
  <si>
    <t>[0, 82, 164, 245, 327, 408]</t>
  </si>
  <si>
    <t>2002/08/09</t>
  </si>
  <si>
    <t>1.3.6.1.4.1.14519.5.2.1.7695.4164.101776447200343044202962899017</t>
  </si>
  <si>
    <t>ISPY2_928815</t>
  </si>
  <si>
    <t>[0, 139, 227, 314, 401, 488]</t>
  </si>
  <si>
    <t>1.3.6.1.4.1.14519.5.2.1.7695.4164.147018710271291498225388821097</t>
  </si>
  <si>
    <t>ISPY2_929391</t>
  </si>
  <si>
    <t>1.3.6.1.4.1.14519.5.2.1.7695.4164.242297120244096930109838802285</t>
  </si>
  <si>
    <t>ISPY2_929980</t>
  </si>
  <si>
    <t>[0, 118, 208, 299, 390, 481]</t>
  </si>
  <si>
    <t>1.3.6.1.4.1.14519.5.2.1.7695.4164.163937147754244275642156683122</t>
  </si>
  <si>
    <t>ISPY2_930172</t>
  </si>
  <si>
    <t>[0, 87, 174, 262, 349]</t>
  </si>
  <si>
    <t>1.3.6.1.4.1.14519.5.2.1.322167053243506509243075081538846267331</t>
  </si>
  <si>
    <t>ISPY2_930853</t>
  </si>
  <si>
    <t>[0, 206, 293, 381, 468, 556]</t>
  </si>
  <si>
    <t>1.3.6.1.4.1.14519.5.2.1.264152918724550095086196029897853081318</t>
  </si>
  <si>
    <t>ISPY2_930903</t>
  </si>
  <si>
    <t>[0, 98, 196, 293, 391, 488]</t>
  </si>
  <si>
    <t>1.3.6.1.4.1.14519.5.2.1.60290670274973291242569194582991983879</t>
  </si>
  <si>
    <t>ISPY2_932200</t>
  </si>
  <si>
    <t>[0, 327, 433, 535, 638, 739]</t>
  </si>
  <si>
    <t>1998/06/27</t>
  </si>
  <si>
    <t>1.3.6.1.4.1.14519.5.2.1.34001696879371064955353635926961952963</t>
  </si>
  <si>
    <t>ISPY2_934459</t>
  </si>
  <si>
    <t>[1.3671875, 1.3671875]</t>
  </si>
  <si>
    <t>[0, 119, 217, 308, 401, 494]</t>
  </si>
  <si>
    <t>1999/05/29</t>
  </si>
  <si>
    <t>1.3.6.1.4.1.14519.5.2.1.224710258482453009024246573133939651543</t>
  </si>
  <si>
    <t>ISPY2_934906</t>
  </si>
  <si>
    <t>[0, 182, 268, 354, 441, 528]</t>
  </si>
  <si>
    <t>2004/01/01</t>
  </si>
  <si>
    <t>1.3.6.1.4.1.14519.5.2.1.15475914561786810368247979520051959479</t>
  </si>
  <si>
    <t>ISPY2_935460</t>
  </si>
  <si>
    <t>[0, 147, 246, 345, 443, 542]</t>
  </si>
  <si>
    <t>1.3.6.1.4.1.14519.5.2.1.269193551872231052810222811751159570323</t>
  </si>
  <si>
    <t>ISPY2_938719</t>
  </si>
  <si>
    <t>[0, 129, 228, 326, 424, 522]</t>
  </si>
  <si>
    <t>2001/10/28</t>
  </si>
  <si>
    <t>1.3.6.1.4.1.14519.5.2.1.7695.4164.166472943815846589840140541873</t>
  </si>
  <si>
    <t>ISPY2_940186</t>
  </si>
  <si>
    <t>[0, 275, 363, 450, 537, 624]</t>
  </si>
  <si>
    <t>2003/07/26</t>
  </si>
  <si>
    <t>1.3.6.1.4.1.14519.5.2.1.267034340464082140128706524509704730564</t>
  </si>
  <si>
    <t>ISPY2_941191</t>
  </si>
  <si>
    <t>1.3.6.1.4.1.14519.5.2.1.21841919512702115986907764700632610066</t>
  </si>
  <si>
    <t>ISPY2_941926</t>
  </si>
  <si>
    <t>[0, 129, 226, 323, 420, 517]</t>
  </si>
  <si>
    <t>2003/06/13</t>
  </si>
  <si>
    <t>1.3.6.1.4.1.14519.5.2.1.68418354485289472933268523046128780240</t>
  </si>
  <si>
    <t>ISPY2_942017</t>
  </si>
  <si>
    <t>[0, 126, 223, 320, 418, 515]</t>
  </si>
  <si>
    <t>2001/01/03</t>
  </si>
  <si>
    <t>1.3.6.1.4.1.14519.5.2.1.7695.4164.762091440303574494113380887257</t>
  </si>
  <si>
    <t>ISPY2_943633</t>
  </si>
  <si>
    <t>[0, 122, 211, 301, 426, 515]</t>
  </si>
  <si>
    <t>1.3.6.1.4.1.14519.5.2.1.7695.4164.260581036891650904562337800450</t>
  </si>
  <si>
    <t>ISPY2_943879</t>
  </si>
  <si>
    <t>[0, 144, 242, 342, 441, 540]</t>
  </si>
  <si>
    <t>1.3.6.1.4.1.14519.5.2.1.324475766435801152470430560014841658383</t>
  </si>
  <si>
    <t>ISPY2_944419</t>
  </si>
  <si>
    <t>[0, 182, 278, 374, 469, 563]</t>
  </si>
  <si>
    <t>1999/05/08</t>
  </si>
  <si>
    <t>1.3.6.1.4.1.14519.5.2.1.201282754734331057609420952835049817437</t>
  </si>
  <si>
    <t>ISPY2_944536</t>
  </si>
  <si>
    <t>[0, 110, 194, 279, 363, 448]</t>
  </si>
  <si>
    <t>1999/11/18</t>
  </si>
  <si>
    <t>1.3.6.1.4.1.14519.5.2.1.18721701331264344220507347308945270834</t>
  </si>
  <si>
    <t>ISPY2_946927</t>
  </si>
  <si>
    <t>[0, 241, 328, 416, 503, 591]</t>
  </si>
  <si>
    <t>2001/03/31</t>
  </si>
  <si>
    <t>1.3.6.1.4.1.14519.5.2.1.7695.4164.286633213112814629594300061440</t>
  </si>
  <si>
    <t>ISPY2_947398</t>
  </si>
  <si>
    <t>[0, 152, 239, 326, 413, 500]</t>
  </si>
  <si>
    <t>1.3.6.1.4.1.14519.5.2.1.7695.4164.323951350026853395352416803833</t>
  </si>
  <si>
    <t>ISPY2_949444</t>
  </si>
  <si>
    <t>2002/01/10</t>
  </si>
  <si>
    <t>1.3.6.1.4.1.14519.5.2.1.7695.4164.951286347780153072117876777743</t>
  </si>
  <si>
    <t>ISPY2_950131</t>
  </si>
  <si>
    <t>[0, 160, 247, 333, 420, 507]</t>
  </si>
  <si>
    <t>1.3.6.1.4.1.14519.5.2.1.120220728153716045600864872462778520228</t>
  </si>
  <si>
    <t>ISPY2_950742</t>
  </si>
  <si>
    <t>[0, 118, 214, 311, 413, 529]</t>
  </si>
  <si>
    <t>1.3.6.1.4.1.14519.5.2.1.7695.4164.157651053923565027795216805790</t>
  </si>
  <si>
    <t>ISPY2_953262</t>
  </si>
  <si>
    <t>[1.2890625, 1.2890625]</t>
  </si>
  <si>
    <t>[0, 145, 239, 339, 432, 525]</t>
  </si>
  <si>
    <t>2000/07/28</t>
  </si>
  <si>
    <t>1.3.6.1.4.1.14519.5.2.1.239227025666020628855280680537956855458</t>
  </si>
  <si>
    <t>ISPY2_953885</t>
  </si>
  <si>
    <t>1.3.6.1.4.1.14519.5.2.1.87020458866570925239755235571753258080</t>
  </si>
  <si>
    <t>ISPY2_955035</t>
  </si>
  <si>
    <t>[0, 130, 219, 309, 398, 487]</t>
  </si>
  <si>
    <t>2002/12/28</t>
  </si>
  <si>
    <t>1.3.6.1.4.1.14519.5.2.1.7695.4164.292300097071465612008514074958</t>
  </si>
  <si>
    <t>ISPY2_955953</t>
  </si>
  <si>
    <t>1.3.6.1.4.1.14519.5.2.1.298917761112923309121677035552574553212</t>
  </si>
  <si>
    <t>ISPY2_957408</t>
  </si>
  <si>
    <t>2000/08/24</t>
  </si>
  <si>
    <t>1.3.6.1.4.1.14519.5.2.1.2017124389746366782116497201625141485</t>
  </si>
  <si>
    <t>ISPY2_959366</t>
  </si>
  <si>
    <t>[0, 126, 217, 308, 399, 489]</t>
  </si>
  <si>
    <t>1.3.6.1.4.1.14519.5.2.1.65980182831992965708697238290533720412</t>
  </si>
  <si>
    <t>ISPY2_960029</t>
  </si>
  <si>
    <t>[0, 172, 259, 346, 433, 520]</t>
  </si>
  <si>
    <t>1.3.6.1.4.1.14519.5.2.1.7695.4164.150230533485119474637043572893</t>
  </si>
  <si>
    <t>ISPY2_960490</t>
  </si>
  <si>
    <t>1.3.6.1.4.1.14519.5.2.1.297665171987711458020951880425130885311</t>
  </si>
  <si>
    <t>ISPY2_960963</t>
  </si>
  <si>
    <t>[0, 192, 292, 392, 492, 592]</t>
  </si>
  <si>
    <t>2000/11/17</t>
  </si>
  <si>
    <t>1.3.6.1.4.1.14519.5.2.1.87508706530686018052479879534759433475</t>
  </si>
  <si>
    <t>ISPY2_962153</t>
  </si>
  <si>
    <t>1.3.6.1.4.1.14519.5.2.1.7695.4164.790924212298108033115240995690</t>
  </si>
  <si>
    <t>ISPY2_962472</t>
  </si>
  <si>
    <t>[0, 130, 214, 297, 381, 465]</t>
  </si>
  <si>
    <t>2000/03/15</t>
  </si>
  <si>
    <t>1.3.6.1.4.1.14519.5.2.1.322785193829468406066864173142189992311</t>
  </si>
  <si>
    <t>ISPY2_962664</t>
  </si>
  <si>
    <t>[0, 117, 189, 262, 334, 407]</t>
  </si>
  <si>
    <t>1.3.6.1.4.1.14519.5.2.1.198482486542389965598871750139464151176</t>
  </si>
  <si>
    <t>ISPY2_962827</t>
  </si>
  <si>
    <t>1.3.6.1.4.1.14519.5.2.1.62319075332352580318588541786571982624</t>
  </si>
  <si>
    <t>ISPY2_963303</t>
  </si>
  <si>
    <t>[0, 178, 264, 351, 438, 525]</t>
  </si>
  <si>
    <t>1.3.6.1.4.1.14519.5.2.1.7695.4164.295070873935559238562084230473</t>
  </si>
  <si>
    <t>ISPY2_963604</t>
  </si>
  <si>
    <t>[0, 171, 260, 350, 439, 528]</t>
  </si>
  <si>
    <t>2001/09/30</t>
  </si>
  <si>
    <t>1.3.6.1.4.1.14519.5.2.1.7695.4164.297766786177204214946007683804</t>
  </si>
  <si>
    <t>ISPY2_965265</t>
  </si>
  <si>
    <t>[0, 132, 232, 331, 431, 530]</t>
  </si>
  <si>
    <t>1.3.6.1.4.1.14519.5.2.1.176054627178241138719090697472593480955</t>
  </si>
  <si>
    <t>ISPY2_966016</t>
  </si>
  <si>
    <t>[0, 151, 239, 327, 416, 504]</t>
  </si>
  <si>
    <t>2003/03/29</t>
  </si>
  <si>
    <t>1.3.6.1.4.1.14519.5.2.1.232440875644505290707657942727525172247</t>
  </si>
  <si>
    <t>ISPY2_970839</t>
  </si>
  <si>
    <t>1.3.6.1.4.1.14519.5.2.1.7695.4164.302078756027002226023945589068</t>
  </si>
  <si>
    <t>ISPY2_971492</t>
  </si>
  <si>
    <t>[0, 121, 220, 320, 420, 519]</t>
  </si>
  <si>
    <t>1.3.6.1.4.1.14519.5.2.1.7695.4164.248202454011532698598532598273</t>
  </si>
  <si>
    <t>ISPY2_972307</t>
  </si>
  <si>
    <t>2000/06/14</t>
  </si>
  <si>
    <t>1.3.6.1.4.1.14519.5.2.1.245296146148445118429586510972489293366</t>
  </si>
  <si>
    <t>ISPY2_973837</t>
  </si>
  <si>
    <t>2001/03/22</t>
  </si>
  <si>
    <t>1.3.6.1.4.1.14519.5.2.1.7695.4164.951680013190246813582834468580</t>
  </si>
  <si>
    <t>ISPY2_974181</t>
  </si>
  <si>
    <t>[0, 126, 224, 322, 420, 518]</t>
  </si>
  <si>
    <t>1.3.6.1.4.1.14519.5.2.1.292799832315382386078788525916465378221</t>
  </si>
  <si>
    <t>ISPY2_974618</t>
  </si>
  <si>
    <t>2000/08/26</t>
  </si>
  <si>
    <t>1.3.6.1.4.1.14519.5.2.1.26226965842572848751465494485053755044</t>
  </si>
  <si>
    <t>ISPY2_981461</t>
  </si>
  <si>
    <t>[0.6793478131, 0.6793478131]</t>
  </si>
  <si>
    <t>[0, 102, 186, 269, 353, 437]</t>
  </si>
  <si>
    <t>1.3.6.1.4.1.14519.5.2.1.325119107577425870490065708491597532557</t>
  </si>
  <si>
    <t>ISPY2_981664</t>
  </si>
  <si>
    <t>[0.694444418, 0.694444418]</t>
  </si>
  <si>
    <t>[0, 136, 228, 321, 413, 506]</t>
  </si>
  <si>
    <t>1.3.6.1.4.1.14519.5.2.1.70809830838222294448080287922000250666</t>
  </si>
  <si>
    <t>ISPY2_982086</t>
  </si>
  <si>
    <t>[0, 188, 275, 362, 449, 536]</t>
  </si>
  <si>
    <t>2002/06/29</t>
  </si>
  <si>
    <t>1.3.6.1.4.1.14519.5.2.1.7695.4164.177120296550625736576753356184</t>
  </si>
  <si>
    <t>ISPY2_982505</t>
  </si>
  <si>
    <t>1.3.6.1.4.1.14519.5.2.1.122070944310809326718209180036123490121</t>
  </si>
  <si>
    <t>ISPY2_983841</t>
  </si>
  <si>
    <t>[0, 95, 191, 286, 382, 479]</t>
  </si>
  <si>
    <t>2003/11/08</t>
  </si>
  <si>
    <t>1.3.6.1.4.1.14519.5.2.1.194038449777143118645640227561958613609</t>
  </si>
  <si>
    <t>ISPY2_986734</t>
  </si>
  <si>
    <t>[0, 134, 226, 319, 411, 504]</t>
  </si>
  <si>
    <t>2003/07/20</t>
  </si>
  <si>
    <t>1.3.6.1.4.1.14519.5.2.1.39913716875306434995461229186649664274</t>
  </si>
  <si>
    <t>ISPY2_987728</t>
  </si>
  <si>
    <t>[0, 172, 260, 347, 434, 521]</t>
  </si>
  <si>
    <t>1.3.6.1.4.1.14519.5.2.1.7695.4164.181482735153711623589622426977</t>
  </si>
  <si>
    <t>ISPY2_987914</t>
  </si>
  <si>
    <t>[0, 136, 226, 315, 404, 493]</t>
  </si>
  <si>
    <t>1.3.6.1.4.1.14519.5.2.1.7695.4164.190810685964331252356949983215</t>
  </si>
  <si>
    <t>ISPY2_987995</t>
  </si>
  <si>
    <t>[0, 153, 237, 321, 405, 488]</t>
  </si>
  <si>
    <t>1.3.6.1.4.1.14519.5.2.1.108889919858166768234633436541165481461</t>
  </si>
  <si>
    <t>ISPY2_988443</t>
  </si>
  <si>
    <t>[0, 138, 236, 335, 433, 532]</t>
  </si>
  <si>
    <t>1.3.6.1.4.1.14519.5.2.1.61605290923344096272831042845038080422</t>
  </si>
  <si>
    <t>ISPY2_988665</t>
  </si>
  <si>
    <t>[0, 147, 245, 342, 440, 537]</t>
  </si>
  <si>
    <t>2003/10/11</t>
  </si>
  <si>
    <t>1.3.6.1.4.1.14519.5.2.1.194587089728546020148520797843184856255</t>
  </si>
  <si>
    <t>ISPY2_990443</t>
  </si>
  <si>
    <t>1.3.6.1.4.1.14519.5.2.1.131765342719762188354248357852815323940</t>
  </si>
  <si>
    <t>ISPY2_991818</t>
  </si>
  <si>
    <t>[0, 107, 204, 301, 398, 495]</t>
  </si>
  <si>
    <t>2002/09/06</t>
  </si>
  <si>
    <t>1.3.6.1.4.1.14519.5.2.1.7695.4164.251083026270794293229309832293</t>
  </si>
  <si>
    <t>ISPY2_992609</t>
  </si>
  <si>
    <t>[0, 107, 204, 301, 399, 496]</t>
  </si>
  <si>
    <t>1.3.6.1.4.1.14519.5.2.1.7695.4164.201723803213223262853744299790</t>
  </si>
  <si>
    <t>ISPY2_994987</t>
  </si>
  <si>
    <t>[0, 102, 194, 286, 378, 470]</t>
  </si>
  <si>
    <t>1.3.6.1.4.1.14519.5.2.1.79456709536543298540393421397731781870</t>
  </si>
  <si>
    <t>ISPY2_995480</t>
  </si>
  <si>
    <t>[0, 157, 256, 354, 453, 552]</t>
  </si>
  <si>
    <t>1.3.6.1.4.1.14519.5.2.1.7695.4164.652917190017313212567306627987</t>
  </si>
  <si>
    <t>ISPY2_997702</t>
  </si>
  <si>
    <t>1.3.6.1.4.1.14519.5.2.1.184364749063175176166292303399018748528</t>
  </si>
  <si>
    <t>ISPY2_999264</t>
  </si>
  <si>
    <t>[0, 121, 209, 297, 385, 473]</t>
  </si>
  <si>
    <t>1.3.6.1.4.1.14519.5.2.1.34871386468128810157393069616198744198</t>
  </si>
  <si>
    <t>ISPY2_999733</t>
  </si>
  <si>
    <t>[0, 132, 221, 309, 398, 486]</t>
  </si>
  <si>
    <t>1.3.6.1.4.1.14519.5.2.1.68018571385251590656125406050739529714</t>
  </si>
  <si>
    <t>NACT_01</t>
  </si>
  <si>
    <t>NACT</t>
  </si>
  <si>
    <t>Anthracycline</t>
  </si>
  <si>
    <t>[0, 421, 782]</t>
  </si>
  <si>
    <t>1990/03/29</t>
  </si>
  <si>
    <t>1.3.6.1.4.1.14519.5.2.1.7695.2311.276179587512723772690569828306</t>
  </si>
  <si>
    <t>NACT_02</t>
  </si>
  <si>
    <t>[0, 434, 830]</t>
  </si>
  <si>
    <t>1989/11/08</t>
  </si>
  <si>
    <t>1.3.6.1.4.1.14519.5.2.1.7695.2311.150119974913248339600296391186</t>
  </si>
  <si>
    <t>NACT_03</t>
  </si>
  <si>
    <t>[0, 381, 732]</t>
  </si>
  <si>
    <t>1992/09/01</t>
  </si>
  <si>
    <t>1.3.6.1.4.1.14519.5.2.1.7695.2311.931165824591849265847896892682</t>
  </si>
  <si>
    <t>NACT_04</t>
  </si>
  <si>
    <t>[0, 602, 941]</t>
  </si>
  <si>
    <t>1990/12/24</t>
  </si>
  <si>
    <t>1.3.6.1.4.1.14519.5.2.1.7695.2311.834804827142692685281369722076</t>
  </si>
  <si>
    <t>NACT_06</t>
  </si>
  <si>
    <t>[0, 407, 761]</t>
  </si>
  <si>
    <t>1991/08/08</t>
  </si>
  <si>
    <t>1.3.6.1.4.1.14519.5.2.1.7695.2311.301418062006848930267168549521</t>
  </si>
  <si>
    <t>NACT_07</t>
  </si>
  <si>
    <t>[0, 353, 788]</t>
  </si>
  <si>
    <t>1991/06/18</t>
  </si>
  <si>
    <t>1.3.6.1.4.1.14519.5.2.1.7695.2311.886866774259741801692639664301</t>
  </si>
  <si>
    <t>NACT_08</t>
  </si>
  <si>
    <t>Anthracycline + Taxane</t>
  </si>
  <si>
    <t>[0, 372, 710]</t>
  </si>
  <si>
    <t>1992/07/14</t>
  </si>
  <si>
    <t>1.3.6.1.4.1.14519.5.2.1.7695.2311.127634707143657037210625305145</t>
  </si>
  <si>
    <t>NACT_09</t>
  </si>
  <si>
    <t>[0, 577, 1047]</t>
  </si>
  <si>
    <t>1986/11/26</t>
  </si>
  <si>
    <t>1.3.6.1.4.1.14519.5.2.1.7695.2311.129335796611412485807622418253</t>
  </si>
  <si>
    <t>NACT_11</t>
  </si>
  <si>
    <t>[0, 493, 806]</t>
  </si>
  <si>
    <t>1992/04/30</t>
  </si>
  <si>
    <t>1.3.6.1.4.1.14519.5.2.1.7695.2311.247962526918347900437381395490</t>
  </si>
  <si>
    <t>NACT_12</t>
  </si>
  <si>
    <t>[0, 373, 698]</t>
  </si>
  <si>
    <t>1994/02/14</t>
  </si>
  <si>
    <t>1.3.6.1.4.1.14519.5.2.1.7695.2311.593636178993104967980816590394</t>
  </si>
  <si>
    <t>NACT_13</t>
  </si>
  <si>
    <t>[0, 578, 1038]</t>
  </si>
  <si>
    <t>1.3.6.1.4.1.14519.5.2.1.7695.2311.719897674268106292046558339451</t>
  </si>
  <si>
    <t>NACT_14</t>
  </si>
  <si>
    <t>[0, 418, 711]</t>
  </si>
  <si>
    <t>1992/08/27</t>
  </si>
  <si>
    <t>1.3.6.1.4.1.14519.5.2.1.7695.2311.913808813764818297925146016090</t>
  </si>
  <si>
    <t>NACT_15</t>
  </si>
  <si>
    <t>[0, 403, 737]</t>
  </si>
  <si>
    <t>1991/03/06</t>
  </si>
  <si>
    <t>1.3.6.1.4.1.14519.5.2.1.7695.2311.887811067927940778703419879366</t>
  </si>
  <si>
    <t>NACT_17</t>
  </si>
  <si>
    <t>[0, 426, 745]</t>
  </si>
  <si>
    <t>1992/12/03</t>
  </si>
  <si>
    <t>1.3.6.1.4.1.14519.5.2.1.7695.2311.133871731749882407434486842181</t>
  </si>
  <si>
    <t>NACT_18</t>
  </si>
  <si>
    <t>[0, 752, 1187, 1622]</t>
  </si>
  <si>
    <t>1988/06/16</t>
  </si>
  <si>
    <t>1.3.6.1.4.1.14519.5.2.1.7695.2311.175731527369182761509187531498</t>
  </si>
  <si>
    <t>NACT_19</t>
  </si>
  <si>
    <t>[0, 414, 732]</t>
  </si>
  <si>
    <t>1993/05/25</t>
  </si>
  <si>
    <t>1.3.6.1.4.1.14519.5.2.1.7695.2311.123089406024610450946249836464</t>
  </si>
  <si>
    <t>NACT_20</t>
  </si>
  <si>
    <t>[0, 370, 671, 954]</t>
  </si>
  <si>
    <t>1991/12/17</t>
  </si>
  <si>
    <t>1.3.6.1.4.1.14519.5.2.1.7695.2311.119408779453763820700029261710</t>
  </si>
  <si>
    <t>NACT_21</t>
  </si>
  <si>
    <t>[0, 404, 710]</t>
  </si>
  <si>
    <t>1992/04/21</t>
  </si>
  <si>
    <t>1.3.6.1.4.1.14519.5.2.1.7695.2311.257013197882512894458807710299</t>
  </si>
  <si>
    <t>NACT_22</t>
  </si>
  <si>
    <t>[0, 525, 909]</t>
  </si>
  <si>
    <t>1990/09/27</t>
  </si>
  <si>
    <t>1.3.6.1.4.1.14519.5.2.1.7695.2311.733198728079396637464384537849</t>
  </si>
  <si>
    <t>NACT_23</t>
  </si>
  <si>
    <t>[0.351562, 0.351562]</t>
  </si>
  <si>
    <t>[0, 498, 816, 1131]</t>
  </si>
  <si>
    <t>1991/10/10</t>
  </si>
  <si>
    <t>1.3.6.1.4.1.14519.5.2.1.7695.2311.194773971507006150383951110625</t>
  </si>
  <si>
    <t>NACT_24</t>
  </si>
  <si>
    <t>[0, 395, 700]</t>
  </si>
  <si>
    <t>1993/01/06</t>
  </si>
  <si>
    <t>1.3.6.1.4.1.14519.5.2.1.7695.2311.152065425852423694670625722656</t>
  </si>
  <si>
    <t>NACT_25</t>
  </si>
  <si>
    <t>[0, 428, 738]</t>
  </si>
  <si>
    <t>1992/01/23</t>
  </si>
  <si>
    <t>1.3.6.1.4.1.14519.5.2.1.7695.2311.262774262366044402202267481716</t>
  </si>
  <si>
    <t>NACT_26</t>
  </si>
  <si>
    <t>[0, 510, 867]</t>
  </si>
  <si>
    <t>1991/02/25</t>
  </si>
  <si>
    <t>1.3.6.1.4.1.14519.5.2.1.7695.2311.465391563075771504393447652521</t>
  </si>
  <si>
    <t>NACT_27</t>
  </si>
  <si>
    <t>[0, 368, 762]</t>
  </si>
  <si>
    <t>1991/05/16</t>
  </si>
  <si>
    <t>1.3.6.1.4.1.14519.5.2.1.7695.2311.250052975129384328230531912925</t>
  </si>
  <si>
    <t>NACT_28</t>
  </si>
  <si>
    <t>[0, 429, 730]</t>
  </si>
  <si>
    <t>1993/03/09</t>
  </si>
  <si>
    <t>1.3.6.1.4.1.14519.5.2.1.7695.2311.148082446061099024911824793161</t>
  </si>
  <si>
    <t>NACT_29</t>
  </si>
  <si>
    <t>[0, 420, 829]</t>
  </si>
  <si>
    <t>1989/04/27</t>
  </si>
  <si>
    <t>1.3.6.1.4.1.14519.5.2.1.7695.2311.183184209657576861496178461895</t>
  </si>
  <si>
    <t>NACT_30</t>
  </si>
  <si>
    <t>Anthracycline + Taxane (incomplete)</t>
  </si>
  <si>
    <t>[0, 485, 784]</t>
  </si>
  <si>
    <t>1.3.6.1.4.1.14519.5.2.1.7695.2311.249928055365599074561966073970</t>
  </si>
  <si>
    <t>NACT_31</t>
  </si>
  <si>
    <t>[0, 408, 708]</t>
  </si>
  <si>
    <t>1993/03/23</t>
  </si>
  <si>
    <t>1.3.6.1.4.1.14519.5.2.1.7695.2311.125117075621424822092636206651</t>
  </si>
  <si>
    <t>NACT_32</t>
  </si>
  <si>
    <t>[0, 483, 861]</t>
  </si>
  <si>
    <t>1990/10/08</t>
  </si>
  <si>
    <t>1.3.6.1.4.1.14519.5.2.1.7695.2311.336371684607985850727416050027</t>
  </si>
  <si>
    <t>NACT_33</t>
  </si>
  <si>
    <t>FEC100</t>
  </si>
  <si>
    <t>[0, 432, 739]</t>
  </si>
  <si>
    <t>1993/06/03</t>
  </si>
  <si>
    <t>1.3.6.1.4.1.14519.5.2.1.7695.2311.147275707635784019734363674841</t>
  </si>
  <si>
    <t>NACT_34</t>
  </si>
  <si>
    <t>[0.742188, 0.742188]</t>
  </si>
  <si>
    <t>[0, 378, 754]</t>
  </si>
  <si>
    <t>1992/01/27</t>
  </si>
  <si>
    <t>1.3.6.1.4.1.14519.5.2.1.7695.2311.290177190298198358781935454079</t>
  </si>
  <si>
    <t>NACT_35</t>
  </si>
  <si>
    <t>[0, 331, 726]</t>
  </si>
  <si>
    <t>1990/09/19</t>
  </si>
  <si>
    <t>1.3.6.1.4.1.14519.5.2.1.7695.2311.285765280118757073745945908046</t>
  </si>
  <si>
    <t>NACT_36</t>
  </si>
  <si>
    <t>[0, 427, 727, 1011, 1300]</t>
  </si>
  <si>
    <t>1992/03/17</t>
  </si>
  <si>
    <t>1.3.6.1.4.1.14519.5.2.1.7695.2311.339820925056993794210802934722</t>
  </si>
  <si>
    <t>NACT_37</t>
  </si>
  <si>
    <t>[0, 373, 704]</t>
  </si>
  <si>
    <t>1992/07/09</t>
  </si>
  <si>
    <t>1.3.6.1.4.1.14519.5.2.1.7695.2311.320580819974469898987390928235</t>
  </si>
  <si>
    <t>NACT_39</t>
  </si>
  <si>
    <t>[0, 515, 915]</t>
  </si>
  <si>
    <t>1989/10/03</t>
  </si>
  <si>
    <t>1.3.6.1.4.1.14519.5.2.1.7695.2311.307587222411842260711680295919</t>
  </si>
  <si>
    <t>NACT_40</t>
  </si>
  <si>
    <t>[0, 480, 794]</t>
  </si>
  <si>
    <t>1993/07/20</t>
  </si>
  <si>
    <t>1.3.6.1.4.1.14519.5.2.1.7695.2311.288173215658866327221636288284</t>
  </si>
  <si>
    <t>NACT_41</t>
  </si>
  <si>
    <t>[0, 591, 1492]</t>
  </si>
  <si>
    <t>1989/10/11</t>
  </si>
  <si>
    <t>1.3.6.1.4.1.14519.5.2.1.7695.2311.159054840553483678053175716494</t>
  </si>
  <si>
    <t>NACT_42</t>
  </si>
  <si>
    <t>[0, 494, 791, 1075, 1361, 1647]</t>
  </si>
  <si>
    <t>1991/12/26</t>
  </si>
  <si>
    <t>1.3.6.1.4.1.14519.5.2.1.7695.2311.854514195305586295465103080741</t>
  </si>
  <si>
    <t>NACT_43</t>
  </si>
  <si>
    <t>[0, 348, 714]</t>
  </si>
  <si>
    <t>1991/06/17</t>
  </si>
  <si>
    <t>1.3.6.1.4.1.14519.5.2.1.7695.2311.413406046890281890271259791700</t>
  </si>
  <si>
    <t>NACT_44</t>
  </si>
  <si>
    <t>[0, 543, 940]</t>
  </si>
  <si>
    <t>1989/02/14</t>
  </si>
  <si>
    <t>1.3.6.1.4.1.14519.5.2.1.7695.2311.768226266208523372585712064433</t>
  </si>
  <si>
    <t>NACT_45</t>
  </si>
  <si>
    <t>[0, 381, 694]</t>
  </si>
  <si>
    <t>1990/05/31</t>
  </si>
  <si>
    <t>1.3.6.1.4.1.14519.5.2.1.7695.2311.241672653605066133403728212170</t>
  </si>
  <si>
    <t>NACT_46</t>
  </si>
  <si>
    <t>[0, 399, 689]</t>
  </si>
  <si>
    <t>1993/02/16</t>
  </si>
  <si>
    <t>1.3.6.1.4.1.14519.5.2.1.7695.2311.508767137662786499717462536945</t>
  </si>
  <si>
    <t>NACT_47</t>
  </si>
  <si>
    <t>[0, 568, 886]</t>
  </si>
  <si>
    <t>1991/03/27</t>
  </si>
  <si>
    <t>1.3.6.1.4.1.14519.5.2.1.7695.2311.174442172417037816220891063563</t>
  </si>
  <si>
    <t>NACT_48</t>
  </si>
  <si>
    <t>[0, 628, 979]</t>
  </si>
  <si>
    <t>1991/10/15</t>
  </si>
  <si>
    <t>1.3.6.1.4.1.14519.5.2.1.7695.2311.243516592539420566300592302886</t>
  </si>
  <si>
    <t>NACT_49</t>
  </si>
  <si>
    <t>[0, 435, 821]</t>
  </si>
  <si>
    <t>1.3.6.1.4.1.14519.5.2.1.7695.2311.123746959162750677294400893957</t>
  </si>
  <si>
    <t>NACT_50</t>
  </si>
  <si>
    <t>[0, 388, 701]</t>
  </si>
  <si>
    <t>1993/01/27</t>
  </si>
  <si>
    <t>1.3.6.1.4.1.14519.5.2.1.7695.2311.774657730865614083222635427750</t>
  </si>
  <si>
    <t>NACT_51</t>
  </si>
  <si>
    <t>[0, 443, 791]</t>
  </si>
  <si>
    <t>1991/05/28</t>
  </si>
  <si>
    <t>1.3.6.1.4.1.14519.5.2.1.7695.2311.332991490450654658268791250075</t>
  </si>
  <si>
    <t>NACT_52</t>
  </si>
  <si>
    <t>[0, 360, 697]</t>
  </si>
  <si>
    <t>1993/02/10</t>
  </si>
  <si>
    <t>1.3.6.1.4.1.14519.5.2.1.7695.2311.116682152060466535752330500081</t>
  </si>
  <si>
    <t>NACT_53</t>
  </si>
  <si>
    <t>[0, 406, 743]</t>
  </si>
  <si>
    <t>1993/12/07</t>
  </si>
  <si>
    <t>1.3.6.1.4.1.14519.5.2.1.7695.2311.568252341737524771847267635520</t>
  </si>
  <si>
    <t>NACT_54</t>
  </si>
  <si>
    <t>[0, 400, 757]</t>
  </si>
  <si>
    <t>1991/07/09</t>
  </si>
  <si>
    <t>1.3.6.1.4.1.14519.5.2.1.7695.2311.125144195382324494832777719875</t>
  </si>
  <si>
    <t>NACT_55</t>
  </si>
  <si>
    <t>[0, 365, 676]</t>
  </si>
  <si>
    <t>1993/09/23</t>
  </si>
  <si>
    <t>1.3.6.1.4.1.14519.5.2.1.7695.2311.195696217683443956493635760522</t>
  </si>
  <si>
    <t>NACT_56</t>
  </si>
  <si>
    <t>[0, 433, 970]</t>
  </si>
  <si>
    <t>1993/10/07</t>
  </si>
  <si>
    <t>1.3.6.1.4.1.14519.5.2.1.7695.2311.130726855969236266782432816297</t>
  </si>
  <si>
    <t>NACT_57</t>
  </si>
  <si>
    <t>[0, 571, 935]</t>
  </si>
  <si>
    <t>1994/01/12</t>
  </si>
  <si>
    <t>1.3.6.1.4.1.14519.5.2.1.7695.2311.145607343851539596865678641638</t>
  </si>
  <si>
    <t>NACT_58</t>
  </si>
  <si>
    <t>[0, 398, 700]</t>
  </si>
  <si>
    <t>1991/11/05</t>
  </si>
  <si>
    <t>1.3.6.1.4.1.14519.5.2.1.7695.2311.523066925549146651642254364234</t>
  </si>
  <si>
    <t>NACT_59</t>
  </si>
  <si>
    <t>[0, 389, 705]</t>
  </si>
  <si>
    <t>1991/06/13</t>
  </si>
  <si>
    <t>1.3.6.1.4.1.14519.5.2.1.7695.2311.102930174665051601227388951639</t>
  </si>
  <si>
    <t>NACT_60</t>
  </si>
  <si>
    <t>[0, 424, 906]</t>
  </si>
  <si>
    <t>1989/09/04</t>
  </si>
  <si>
    <t>1.3.6.1.4.1.14519.5.2.1.7695.2311.943330457040733590733138492689</t>
  </si>
  <si>
    <t>NACT_61</t>
  </si>
  <si>
    <t>[0, 375, 781]</t>
  </si>
  <si>
    <t>1994/02/15</t>
  </si>
  <si>
    <t>1.3.6.1.4.1.14519.5.2.1.7695.2311.740794040047400404728471604013</t>
  </si>
  <si>
    <t>NACT_62</t>
  </si>
  <si>
    <t>[0, 462, 790]</t>
  </si>
  <si>
    <t>1991/02/20</t>
  </si>
  <si>
    <t>1.3.6.1.4.1.14519.5.2.1.7695.2311.169153904956814921451558647097</t>
  </si>
  <si>
    <t>NACT_63</t>
  </si>
  <si>
    <t>[0, 460, 788]</t>
  </si>
  <si>
    <t>1991/03/18</t>
  </si>
  <si>
    <t>1.3.6.1.4.1.14519.5.2.1.7695.2311.190733056922140271966390434817</t>
  </si>
  <si>
    <t>NACT_64</t>
  </si>
  <si>
    <t>[0, 403, 751]</t>
  </si>
  <si>
    <t>1994/02/23</t>
  </si>
  <si>
    <t>1.3.6.1.4.1.14519.5.2.1.7695.2311.188949018082825179375297999846</t>
  </si>
  <si>
    <t>NACT_65</t>
  </si>
  <si>
    <t>[0, 380, 686]</t>
  </si>
  <si>
    <t>1992/06/16</t>
  </si>
  <si>
    <t>1.3.6.1.4.1.14519.5.2.1.7695.2311.196765391224378653163057250175</t>
  </si>
  <si>
    <t>NACT_66</t>
  </si>
  <si>
    <t>[0, 362, 678, 962]</t>
  </si>
  <si>
    <t>1992/01/07</t>
  </si>
  <si>
    <t>1.3.6.1.4.1.14519.5.2.1.7695.2311.757338311647228214048193561115</t>
  </si>
  <si>
    <t>NACT_67</t>
  </si>
  <si>
    <t>[0, 441, 947]</t>
  </si>
  <si>
    <t>1988/04/21</t>
  </si>
  <si>
    <t>1.3.6.1.4.1.14519.5.2.1.7695.2311.298593028606918004911779421166</t>
  </si>
  <si>
    <t>NACT_68</t>
  </si>
  <si>
    <t>[0, 361, 738]</t>
  </si>
  <si>
    <t>1991/04/11</t>
  </si>
  <si>
    <t>1.3.6.1.4.1.14519.5.2.1.7695.2311.189236515346138476541981713123</t>
  </si>
  <si>
    <t>Field</t>
  </si>
  <si>
    <t>Description</t>
  </si>
  <si>
    <t>Options</t>
  </si>
  <si>
    <t>Unnamed: 3</t>
  </si>
  <si>
    <t>Dataset and identfication number (ID) of the patient</t>
  </si>
  <si>
    <t>The ID number of the source dataset is kept</t>
  </si>
  <si>
    <t>Name of the source dataset from TCIA</t>
  </si>
  <si>
    <t>DUKE </t>
  </si>
  <si>
    <t>ISPY1 </t>
  </si>
  <si>
    <t>ISPY2 </t>
  </si>
  <si>
    <t>The patient has bilateral breast cancer</t>
  </si>
  <si>
    <t>0: no, 1: yes, empty: no info available</t>
  </si>
  <si>
    <t>multifocal cancer</t>
  </si>
  <si>
    <t>The patient has two or more distinct tumor masses in the same breast</t>
  </si>
  <si>
    <t xml:space="preserve">Treatment agent </t>
  </si>
  <si>
    <t>Taxane</t>
  </si>
  <si>
    <t>T-DM1</t>
  </si>
  <si>
    <t>Pertuzumab</t>
  </si>
  <si>
    <t>Trastuzumab</t>
  </si>
  <si>
    <t>Ganitumab</t>
  </si>
  <si>
    <t>Ganetespib</t>
  </si>
  <si>
    <t>Neratinib</t>
  </si>
  <si>
    <t>AMG 386</t>
  </si>
  <si>
    <t>ABT 888</t>
  </si>
  <si>
    <t>MK-2206</t>
  </si>
  <si>
    <t>Carboplatin</t>
  </si>
  <si>
    <t>The patient received endocrine therapy</t>
  </si>
  <si>
    <t>The patient received anti _HER2 neu therapy</t>
  </si>
  <si>
    <t>Pathological complete response to neoadjuvant chemotherapy</t>
  </si>
  <si>
    <t>Mastectomy surgery after nac treatment</t>
  </si>
  <si>
    <t>Number of days until the last follow up or death</t>
  </si>
  <si>
    <t>days, if empty no ifo is available</t>
  </si>
  <si>
    <t>Number of days until tumor recurrence</t>
  </si>
  <si>
    <t>0: no recurrence</t>
  </si>
  <si>
    <t>&gt;0: days to recurrence</t>
  </si>
  <si>
    <t>empty: no info available</t>
  </si>
  <si>
    <t>Number of days until death</t>
  </si>
  <si>
    <t>0: no death</t>
  </si>
  <si>
    <t>&gt;0: days to death</t>
  </si>
  <si>
    <t>Number of days until tumor recurrence with metastasis</t>
  </si>
  <si>
    <t>0: no metastasis</t>
  </si>
  <si>
    <t>&gt;0: days to metastasis</t>
  </si>
  <si>
    <t>Hormone Receptor</t>
  </si>
  <si>
    <t>0: negative, 1: positive, empty: no info available</t>
  </si>
  <si>
    <t>Estrogen Receptor</t>
  </si>
  <si>
    <t>Progesterone Receptor</t>
  </si>
  <si>
    <t>Human Epidermal growth factor Receptor 2</t>
  </si>
  <si>
    <t>MammaPrint 70-gene assay test score. MammaPrint risk class.</t>
  </si>
  <si>
    <t>0: low risk, 1: high risk, empty: no info available</t>
  </si>
  <si>
    <t>oncotype</t>
  </si>
  <si>
    <t>Oncotype DX Recurrence Score (RS)</t>
  </si>
  <si>
    <t>recurrence score from 0 to 100, empty: no info available</t>
  </si>
  <si>
    <t>Nottingham grade</t>
  </si>
  <si>
    <t>low, intermediate, high</t>
  </si>
  <si>
    <t>Tumor subtype established from receptor status</t>
  </si>
  <si>
    <t>Not enough info to categorize as A or B</t>
  </si>
  <si>
    <t>Age at first screening</t>
  </si>
  <si>
    <t>years, empty: no info avaiable</t>
  </si>
  <si>
    <t>Menopausal status at first screening</t>
  </si>
  <si>
    <t>pre, peri, post</t>
  </si>
  <si>
    <t>Ethnicity provided in TCIA</t>
  </si>
  <si>
    <t>african american </t>
  </si>
  <si>
    <t>american indian </t>
  </si>
  <si>
    <t>american indian/alaskan native </t>
  </si>
  <si>
    <t>asian </t>
  </si>
  <si>
    <t>caucasian </t>
  </si>
  <si>
    <t>hawaian </t>
  </si>
  <si>
    <t>hawaian/pacific islander </t>
  </si>
  <si>
    <t>hispanic </t>
  </si>
  <si>
    <t>Patient has breast implant</t>
  </si>
  <si>
    <t>0: no, 1: yes</t>
  </si>
  <si>
    <t>Patient weight specified in the original DICOM metadata</t>
  </si>
  <si>
    <t>kg</t>
  </si>
  <si>
    <t>Patient size specified in the original DICOM metadata</t>
  </si>
  <si>
    <t>cm</t>
  </si>
  <si>
    <t>Body Mass Index category. If patient_size is unknown, a default size of 1.65cm was used to determine bmi group.</t>
  </si>
  <si>
    <t>obesity_class1</t>
  </si>
  <si>
    <t>obesity_class2</t>
  </si>
  <si>
    <t>obesity_class3</t>
  </si>
  <si>
    <t>fatty</t>
  </si>
  <si>
    <t>scattered fibroglandular</t>
  </si>
  <si>
    <t>heterogeneously dense</t>
  </si>
  <si>
    <t>extremely dense</t>
  </si>
  <si>
    <t>MRI acquisition plane</t>
  </si>
  <si>
    <t>axial, sagittal</t>
  </si>
  <si>
    <t>Bilateral MRI</t>
  </si>
  <si>
    <t>0: unilateral, 1: bilateral</t>
  </si>
  <si>
    <t>Number of phases (1 pre-contrast phase and 2 or more post-contrast phases)</t>
  </si>
  <si>
    <t>min: 3, max: 11</t>
  </si>
  <si>
    <t>Fat suppression was applied</t>
  </si>
  <si>
    <t>Field strength of the MRI (Tesla)</t>
  </si>
  <si>
    <t>1.5, 3</t>
  </si>
  <si>
    <t>Number of rows of the MRI</t>
  </si>
  <si>
    <t>Number of columns of the MRI</t>
  </si>
  <si>
    <t>Number of slices of the MRI</t>
  </si>
  <si>
    <t>Pixel spacing of the MRI in [x,y,z] (mm)</t>
  </si>
  <si>
    <t>Slice thickness of the MRI (mm)</t>
  </si>
  <si>
    <t>min: 0.88, max:4.0</t>
  </si>
  <si>
    <t>Clinical trial site ID</t>
  </si>
  <si>
    <t>Scanner manufacturer</t>
  </si>
  <si>
    <t>Scanner model</t>
  </si>
  <si>
    <t>Achieva, Avanto, Signa HD and HDxt, Skyra, Optima MR450w, TrioTim, Genesis Signa, Espree, Discovery MR750 and MR750w, Sonata, Verio, Symphony, SymphonyTim, Signa Excite, Prisma fit, Magnetom Vision and Vision plus, Intera, Gyroscan Intera</t>
  </si>
  <si>
    <t>Most significant bit for pixel sample data</t>
  </si>
  <si>
    <t>Window center for display</t>
  </si>
  <si>
    <t>Window width for display</t>
  </si>
  <si>
    <t>Time in between the middle of the excitation pulse and the peak of the echo produced</t>
  </si>
  <si>
    <t>milliseconds</t>
  </si>
  <si>
    <t>Period of time in between the beginning of a pulse sequence and the beginning of the succeeding pulse sequence</t>
  </si>
  <si>
    <t>Time difference between the corresponding phase compared to the pre-contrast phase</t>
  </si>
  <si>
    <t>list of seconds</t>
  </si>
  <si>
    <t>Date of MRI acquisition. May not correspond to real dates due to anonymization</t>
  </si>
  <si>
    <t>date: yyyy/mm/dd</t>
  </si>
  <si>
    <t>Unique identifier of the series in TCIA</t>
  </si>
  <si>
    <t>Bilateral</t>
  </si>
  <si>
    <t>Multifocal</t>
  </si>
  <si>
    <t>Pre-menopause</t>
  </si>
  <si>
    <t>Post-menopause</t>
  </si>
  <si>
    <t>Num Patients</t>
  </si>
  <si>
    <t>A</t>
  </si>
  <si>
    <t>B</t>
  </si>
  <si>
    <t>C</t>
  </si>
  <si>
    <t>D</t>
  </si>
  <si>
    <t>Unlabeled</t>
  </si>
  <si>
    <t>Unilateral/Unifocal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</si>
</sst>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3">
    <xf numFmtId="0" fontId="0" fillId="0" borderId="0" xfId="0"/>
    <xf numFmtId="0" fontId="1" fillId="0" borderId="1" xfId="0" applyFont="1" applyBorder="1" applyAlignment="1">
      <alignment horizontal="center" vertical="top"/>
    </xf>
    <xf numFmtId="9" fontId="0" fillId="0" borderId="0" xfId="1" applyFon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Menopausal</a:t>
            </a:r>
            <a:r>
              <a:rPr lang="en-US" baseline="0"/>
              <a: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analysis!$A$5</c:f>
              <c:strCache>
                <c:ptCount val="1"/>
                <c:pt idx="0">
                  <c:v>Num Patients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D7-47A0-AA4C-44D1EAF8D2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D7-47A0-AA4C-44D1EAF8D2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D7-47A0-AA4C-44D1EAF8D2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analysis!$B$4:$D$4</c:f>
              <c:strCache>
                <c:ptCount val="3"/>
                <c:pt idx="0">
                  <c:v>Unlabeled</c:v>
                </c:pt>
                <c:pt idx="1">
                  <c:v>Pre-menopause</c:v>
                </c:pt>
                <c:pt idx="2">
                  <c:v>Post-menopause</c:v>
                </c:pt>
              </c:strCache>
            </c:strRef>
          </c:cat>
          <c:val>
            <c:numRef>
              <c:f>analysis!$B$5:$D$5</c:f>
              <c:numCache>
                <c:formatCode>General</c:formatCode>
                <c:ptCount val="3"/>
                <c:pt idx="0">
                  <c:v>408</c:v>
                </c:pt>
                <c:pt idx="1">
                  <c:v>678</c:v>
                </c:pt>
                <c:pt idx="2">
                  <c:v>420</c:v>
                </c:pt>
              </c:numCache>
            </c:numRef>
          </c:val>
          <c:extLst>
            <c:ext xmlns:c16="http://schemas.microsoft.com/office/drawing/2014/chart" uri="{C3380CC4-5D6E-409C-BE32-E72D297353CC}">
              <c16:uniqueId val="{00000000-9C8A-4C45-8090-A216964673A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Tumor Focality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analysis!$A$2</c:f>
              <c:strCache>
                <c:ptCount val="1"/>
                <c:pt idx="0">
                  <c:v>Num Patients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FB-46C2-9E47-7BC2D41964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FB-46C2-9E47-7BC2D41964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FB-46C2-9E47-7BC2D41964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analysis!$B$1:$D$1</c:f>
              <c:strCache>
                <c:ptCount val="3"/>
                <c:pt idx="0">
                  <c:v>Unilateral/Unifocal</c:v>
                </c:pt>
                <c:pt idx="1">
                  <c:v>Multifocal</c:v>
                </c:pt>
                <c:pt idx="2">
                  <c:v>Bilateral</c:v>
                </c:pt>
              </c:strCache>
            </c:strRef>
          </c:cat>
          <c:val>
            <c:numRef>
              <c:f>analysis!$B$2:$D$2</c:f>
              <c:numCache>
                <c:formatCode>General</c:formatCode>
                <c:ptCount val="3"/>
                <c:pt idx="0">
                  <c:v>937</c:v>
                </c:pt>
                <c:pt idx="1">
                  <c:v>539</c:v>
                </c:pt>
                <c:pt idx="2">
                  <c:v>30</c:v>
                </c:pt>
              </c:numCache>
            </c:numRef>
          </c:val>
          <c:extLst>
            <c:ext xmlns:c16="http://schemas.microsoft.com/office/drawing/2014/chart" uri="{C3380CC4-5D6E-409C-BE32-E72D297353CC}">
              <c16:uniqueId val="{00000000-3BE2-4E8F-9842-CC03565DEFC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Breast</a:t>
            </a:r>
            <a:r>
              <a:rPr lang="en-US" baseline="0"/>
              <a:t> Density Labels</a:t>
            </a:r>
            <a:endParaRPr lang="en-US"/>
          </a:p>
        </c:rich>
      </c:tx>
      <c:layout>
        <c:manualLayout>
          <c:xMode val="edge"/>
          <c:yMode val="edge"/>
          <c:x val="0.25363507425559723"/>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analysis!$A$8</c:f>
              <c:strCache>
                <c:ptCount val="1"/>
                <c:pt idx="0">
                  <c:v>Num Patients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072F-40D9-A025-CB0CBC52C1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2F-40D9-A025-CB0CBC52C1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1-072F-40D9-A025-CB0CBC52C1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072F-40D9-A025-CB0CBC52C1D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072F-40D9-A025-CB0CBC52C1DF}"/>
              </c:ext>
            </c:extLst>
          </c:dPt>
          <c:dLbls>
            <c:dLbl>
              <c:idx val="0"/>
              <c:layout>
                <c:manualLayout>
                  <c:x val="-6.3910176613954581E-2"/>
                  <c:y val="-0.17789916885389326"/>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72F-40D9-A025-CB0CBC52C1DF}"/>
                </c:ext>
              </c:extLst>
            </c:dLbl>
            <c:dLbl>
              <c:idx val="1"/>
              <c:layout>
                <c:manualLayout>
                  <c:x val="-9.4108076079763042E-2"/>
                  <c:y val="5.722769028871391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72F-40D9-A025-CB0CBC52C1DF}"/>
                </c:ext>
              </c:extLst>
            </c:dLbl>
            <c:dLbl>
              <c:idx val="2"/>
              <c:layout>
                <c:manualLayout>
                  <c:x val="-2.1439389782648078E-2"/>
                  <c:y val="-2.974628171478567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72F-40D9-A025-CB0CBC52C1DF}"/>
                </c:ext>
              </c:extLst>
            </c:dLbl>
            <c:dLbl>
              <c:idx val="3"/>
              <c:layout>
                <c:manualLayout>
                  <c:x val="6.5413404538436304E-2"/>
                  <c:y val="-2.529709827938174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72F-40D9-A025-CB0CBC52C1DF}"/>
                </c:ext>
              </c:extLst>
            </c:dLbl>
            <c:dLbl>
              <c:idx val="4"/>
              <c:layout>
                <c:manualLayout>
                  <c:x val="0.14025968691538787"/>
                  <c:y val="1.877260134149897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72F-40D9-A025-CB0CBC52C1D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analysis!$B$7:$F$7</c:f>
              <c:strCache>
                <c:ptCount val="5"/>
                <c:pt idx="0">
                  <c:v>Unlabeled</c:v>
                </c:pt>
                <c:pt idx="1">
                  <c:v>A</c:v>
                </c:pt>
                <c:pt idx="2">
                  <c:v>B</c:v>
                </c:pt>
                <c:pt idx="3">
                  <c:v>C</c:v>
                </c:pt>
                <c:pt idx="4">
                  <c:v>D</c:v>
                </c:pt>
              </c:strCache>
            </c:strRef>
          </c:cat>
          <c:val>
            <c:numRef>
              <c:f>analysis!$B$8:$F$8</c:f>
              <c:numCache>
                <c:formatCode>General</c:formatCode>
                <c:ptCount val="5"/>
                <c:pt idx="0">
                  <c:v>1446</c:v>
                </c:pt>
                <c:pt idx="1">
                  <c:v>3</c:v>
                </c:pt>
                <c:pt idx="2">
                  <c:v>14</c:v>
                </c:pt>
                <c:pt idx="3">
                  <c:v>31</c:v>
                </c:pt>
                <c:pt idx="4">
                  <c:v>12</c:v>
                </c:pt>
              </c:numCache>
            </c:numRef>
          </c:val>
          <c:extLst>
            <c:ext xmlns:c16="http://schemas.microsoft.com/office/drawing/2014/chart" uri="{C3380CC4-5D6E-409C-BE32-E72D297353CC}">
              <c16:uniqueId val="{00000000-072F-40D9-A025-CB0CBC52C1DF}"/>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b"/>
      <c:layout>
        <c:manualLayout>
          <c:xMode val="edge"/>
          <c:yMode val="edge"/>
          <c:x val="0.24951744360519665"/>
          <c:y val="0.86713012015327706"/>
          <c:w val="0.50096511278960654"/>
          <c:h val="7.964656035183419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Phase</a:t>
            </a:r>
            <a:r>
              <a:rPr lang="en-US" baseline="0"/>
              <a:t> Images per Patient</a:t>
            </a:r>
          </a:p>
          <a:p>
            <a:pPr>
              <a:defRPr/>
            </a:pPr>
            <a:r>
              <a:rPr lang="en-US" baseline="0"/>
              <a:t>(Including pre-contrast)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3053921816332315"/>
          <c:y val="0.22477544473607466"/>
          <c:w val="0.53892124981129041"/>
          <c:h val="0.62593467483231258"/>
        </c:manualLayout>
      </c:layout>
      <c:pieChart>
        <c:varyColors val="1"/>
        <c:ser>
          <c:idx val="0"/>
          <c:order val="0"/>
          <c:tx>
            <c:strRef>
              <c:f>analysis!$A$11</c:f>
              <c:strCache>
                <c:ptCount val="1"/>
                <c:pt idx="0">
                  <c:v>Num Patients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93-4347-AF7C-314D648FC3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93-4347-AF7C-314D648FC3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93-4347-AF7C-314D648FC3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293-4347-AF7C-314D648FC3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f>analysis!$B$10:$E$10</c:f>
              <c:numCache>
                <c:formatCode>General</c:formatCode>
                <c:ptCount val="4"/>
                <c:pt idx="0">
                  <c:v>3</c:v>
                </c:pt>
                <c:pt idx="1">
                  <c:v>4</c:v>
                </c:pt>
                <c:pt idx="2">
                  <c:v>5</c:v>
                </c:pt>
                <c:pt idx="3">
                  <c:v>6</c:v>
                </c:pt>
              </c:numCache>
            </c:numRef>
          </c:cat>
          <c:val>
            <c:numRef>
              <c:f>analysis!$B$11:$E$11</c:f>
              <c:numCache>
                <c:formatCode>General</c:formatCode>
                <c:ptCount val="4"/>
                <c:pt idx="0">
                  <c:v>205</c:v>
                </c:pt>
                <c:pt idx="1">
                  <c:v>179</c:v>
                </c:pt>
                <c:pt idx="2">
                  <c:v>137</c:v>
                </c:pt>
                <c:pt idx="3">
                  <c:v>985</c:v>
                </c:pt>
              </c:numCache>
            </c:numRef>
          </c:val>
          <c:extLst>
            <c:ext xmlns:c16="http://schemas.microsoft.com/office/drawing/2014/chart" uri="{C3380CC4-5D6E-409C-BE32-E72D297353CC}">
              <c16:uniqueId val="{00000000-4CC0-47C8-A625-4456EE6135C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Patient Age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Patient Age Distribution</a:t>
          </a:r>
        </a:p>
      </cx:txPr>
    </cx:title>
    <cx:plotArea>
      <cx:plotAreaRegion>
        <cx:series layoutId="clusteredColumn" uniqueId="{7382C910-1E4F-4DB8-AA0A-58CD819F3FBF}">
          <cx:tx>
            <cx:txData>
              <cx:f>_xlchart.v1.0</cx:f>
              <cx:v>age</cx:v>
            </cx:txData>
          </cx:tx>
          <cx:dataLabels>
            <cx:visibility seriesName="0" categoryName="0" value="1"/>
          </cx:dataLabels>
          <cx:dataId val="0"/>
          <cx:layoutPr>
            <cx:binning intervalClosed="r">
              <cx:binSize val="3"/>
            </cx:binning>
          </cx:layoutPr>
        </cx:series>
      </cx:plotAreaRegion>
      <cx:axis id="0">
        <cx:catScaling gapWidth="0"/>
        <cx:majorTickMarks type="cross"/>
        <cx:tickLabels/>
        <cx:numFmt formatCode="General" sourceLinked="0"/>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14</xdr:col>
      <xdr:colOff>171450</xdr:colOff>
      <xdr:row>2</xdr:row>
      <xdr:rowOff>176212</xdr:rowOff>
    </xdr:from>
    <xdr:to>
      <xdr:col>19</xdr:col>
      <xdr:colOff>371476</xdr:colOff>
      <xdr:row>17</xdr:row>
      <xdr:rowOff>61912</xdr:rowOff>
    </xdr:to>
    <xdr:graphicFrame macro="">
      <xdr:nvGraphicFramePr>
        <xdr:cNvPr id="3" name="Chart 2">
          <a:extLst>
            <a:ext uri="{FF2B5EF4-FFF2-40B4-BE49-F238E27FC236}">
              <a16:creationId xmlns:a16="http://schemas.microsoft.com/office/drawing/2014/main" id="{A29121FE-35B8-5B96-D96B-93E4C2F94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552450</xdr:colOff>
      <xdr:row>18</xdr:row>
      <xdr:rowOff>123825</xdr:rowOff>
    </xdr:from>
    <xdr:to>
      <xdr:col>19</xdr:col>
      <xdr:colOff>247650</xdr:colOff>
      <xdr:row>33</xdr:row>
      <xdr:rowOff>9525</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AC136FF9-25DE-4FD5-BF9B-0E6E4967EB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334375" y="35528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661988</xdr:colOff>
      <xdr:row>18</xdr:row>
      <xdr:rowOff>42862</xdr:rowOff>
    </xdr:from>
    <xdr:to>
      <xdr:col>11</xdr:col>
      <xdr:colOff>133351</xdr:colOff>
      <xdr:row>32</xdr:row>
      <xdr:rowOff>119062</xdr:rowOff>
    </xdr:to>
    <xdr:graphicFrame macro="">
      <xdr:nvGraphicFramePr>
        <xdr:cNvPr id="10" name="Chart 9">
          <a:extLst>
            <a:ext uri="{FF2B5EF4-FFF2-40B4-BE49-F238E27FC236}">
              <a16:creationId xmlns:a16="http://schemas.microsoft.com/office/drawing/2014/main" id="{36A26859-E905-6052-E315-B3110327EE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242887</xdr:colOff>
      <xdr:row>2</xdr:row>
      <xdr:rowOff>176211</xdr:rowOff>
    </xdr:from>
    <xdr:to>
      <xdr:col>13</xdr:col>
      <xdr:colOff>457200</xdr:colOff>
      <xdr:row>17</xdr:row>
      <xdr:rowOff>9524</xdr:rowOff>
    </xdr:to>
    <xdr:graphicFrame macro="">
      <xdr:nvGraphicFramePr>
        <xdr:cNvPr id="11" name="Chart 10">
          <a:extLst>
            <a:ext uri="{FF2B5EF4-FFF2-40B4-BE49-F238E27FC236}">
              <a16:creationId xmlns:a16="http://schemas.microsoft.com/office/drawing/2014/main" id="{3A283B91-C654-BA92-0AE5-15C440B7C9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328612</xdr:colOff>
      <xdr:row>18</xdr:row>
      <xdr:rowOff>14287</xdr:rowOff>
    </xdr:from>
    <xdr:to>
      <xdr:col>5</xdr:col>
      <xdr:colOff>457200</xdr:colOff>
      <xdr:row>32</xdr:row>
      <xdr:rowOff>90487</xdr:rowOff>
    </xdr:to>
    <xdr:graphicFrame macro="">
      <xdr:nvGraphicFramePr>
        <xdr:cNvPr id="12" name="Chart 11">
          <a:extLst>
            <a:ext uri="{FF2B5EF4-FFF2-40B4-BE49-F238E27FC236}">
              <a16:creationId xmlns:a16="http://schemas.microsoft.com/office/drawing/2014/main" id="{EFFB13F2-E505-9A0D-0CF4-0299CCD26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509"/>
  <sheetViews>
    <sheetView tabSelected="1" workbookViewId="0">
      <pane ySplit="1" topLeftCell="A1494" activePane="bottomLeft" state="frozen"/>
      <selection activeCell="S1" sqref="S1"/>
      <selection pane="bottomLeft" activeCell="H1509" sqref="H1509"/>
    </sheetView>
  </sheetViews>
  <sheetFormatPr defaultRowHeight="15" x14ac:dyDescent="0.25"/>
  <cols>
    <col min="1" max="1" width="10.85546875" customWidth="1"/>
    <col min="3" max="3" width="24.28515625" customWidth="1"/>
    <col min="4" max="4" width="17.140625" customWidth="1"/>
    <col min="5" max="5" width="21.28515625" customWidth="1"/>
    <col min="6" max="6" width="20.85546875" customWidth="1"/>
    <col min="7" max="7" width="27" customWidth="1"/>
    <col min="8" max="8" width="8.28515625" customWidth="1"/>
    <col min="9" max="9" width="23.28515625" customWidth="1"/>
    <col min="10" max="10" width="19" customWidth="1"/>
    <col min="11" max="11" width="21.5703125" customWidth="1"/>
    <col min="12" max="12" width="20" customWidth="1"/>
    <col min="13" max="13" width="17.140625" customWidth="1"/>
    <col min="18" max="18" width="14.85546875" customWidth="1"/>
    <col min="19" max="19" width="17.28515625" customWidth="1"/>
    <col min="20" max="20" width="19.5703125" customWidth="1"/>
    <col min="21" max="21" width="18.42578125" customWidth="1"/>
    <col min="23" max="23" width="16.140625" customWidth="1"/>
    <col min="25" max="25" width="14.42578125" customWidth="1"/>
    <col min="27" max="27" width="11.5703125" customWidth="1"/>
    <col min="28" max="28" width="14.85546875" customWidth="1"/>
    <col min="29" max="29" width="14.140625" customWidth="1"/>
    <col min="31" max="31" width="15.140625" customWidth="1"/>
    <col min="32" max="32" width="13.28515625" customWidth="1"/>
    <col min="33" max="33" width="15.42578125" customWidth="1"/>
    <col min="34" max="34" width="13.7109375" customWidth="1"/>
    <col min="35" max="35" width="13.42578125" customWidth="1"/>
    <col min="36" max="36" width="14.7109375" customWidth="1"/>
    <col min="37" max="37" width="13" customWidth="1"/>
    <col min="38" max="38" width="12" customWidth="1"/>
    <col min="39" max="39" width="14.28515625" customWidth="1"/>
  </cols>
  <sheetData>
    <row r="1" spans="1:5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x14ac:dyDescent="0.25">
      <c r="A2" t="s">
        <v>50</v>
      </c>
      <c r="B2" t="s">
        <v>51</v>
      </c>
      <c r="C2">
        <v>0</v>
      </c>
      <c r="D2">
        <v>0</v>
      </c>
      <c r="F2">
        <v>0</v>
      </c>
      <c r="G2">
        <v>1</v>
      </c>
      <c r="H2">
        <v>0</v>
      </c>
      <c r="I2">
        <v>0</v>
      </c>
      <c r="J2">
        <v>2940</v>
      </c>
      <c r="K2">
        <v>0</v>
      </c>
      <c r="M2">
        <v>0</v>
      </c>
      <c r="N2">
        <v>0</v>
      </c>
      <c r="O2">
        <v>0</v>
      </c>
      <c r="P2">
        <v>0</v>
      </c>
      <c r="Q2">
        <v>1</v>
      </c>
      <c r="T2" t="s">
        <v>52</v>
      </c>
      <c r="U2" t="s">
        <v>53</v>
      </c>
      <c r="V2">
        <v>41</v>
      </c>
      <c r="W2" t="s">
        <v>54</v>
      </c>
      <c r="X2" t="s">
        <v>55</v>
      </c>
      <c r="Y2">
        <v>0</v>
      </c>
      <c r="Z2">
        <v>90.264893112300001</v>
      </c>
      <c r="AA2">
        <v>1.6002032024999999</v>
      </c>
      <c r="AB2" t="s">
        <v>56</v>
      </c>
      <c r="AD2" t="s">
        <v>57</v>
      </c>
      <c r="AE2">
        <v>1</v>
      </c>
      <c r="AF2">
        <v>5</v>
      </c>
      <c r="AG2">
        <v>1</v>
      </c>
      <c r="AH2">
        <v>1.5</v>
      </c>
      <c r="AI2">
        <v>448</v>
      </c>
      <c r="AJ2">
        <v>448</v>
      </c>
      <c r="AK2">
        <v>160</v>
      </c>
      <c r="AL2" t="s">
        <v>58</v>
      </c>
      <c r="AM2">
        <v>1.1000000238419001</v>
      </c>
      <c r="AN2" t="s">
        <v>51</v>
      </c>
      <c r="AO2" t="s">
        <v>59</v>
      </c>
      <c r="AP2" t="s">
        <v>60</v>
      </c>
      <c r="AQ2">
        <v>11</v>
      </c>
      <c r="AR2">
        <v>53</v>
      </c>
      <c r="AS2">
        <v>145</v>
      </c>
      <c r="AT2">
        <v>1.36</v>
      </c>
      <c r="AU2">
        <v>4.12</v>
      </c>
      <c r="AV2" t="s">
        <v>61</v>
      </c>
      <c r="AX2" t="s">
        <v>62</v>
      </c>
    </row>
    <row r="3" spans="1:50" x14ac:dyDescent="0.25">
      <c r="A3" t="s">
        <v>63</v>
      </c>
      <c r="B3" t="s">
        <v>51</v>
      </c>
      <c r="C3">
        <v>0</v>
      </c>
      <c r="D3">
        <v>0</v>
      </c>
      <c r="F3">
        <v>0</v>
      </c>
      <c r="G3">
        <v>0</v>
      </c>
      <c r="H3">
        <v>0</v>
      </c>
      <c r="I3">
        <v>0</v>
      </c>
      <c r="J3">
        <v>1649</v>
      </c>
      <c r="K3">
        <v>0</v>
      </c>
      <c r="M3">
        <v>0</v>
      </c>
      <c r="N3">
        <v>0</v>
      </c>
      <c r="O3">
        <v>0</v>
      </c>
      <c r="P3">
        <v>0</v>
      </c>
      <c r="Q3">
        <v>0</v>
      </c>
      <c r="T3" t="s">
        <v>64</v>
      </c>
      <c r="U3" t="s">
        <v>65</v>
      </c>
      <c r="V3">
        <v>38</v>
      </c>
      <c r="W3" t="s">
        <v>54</v>
      </c>
      <c r="X3" t="s">
        <v>55</v>
      </c>
      <c r="Y3">
        <v>0</v>
      </c>
      <c r="AD3" t="s">
        <v>57</v>
      </c>
      <c r="AE3">
        <v>1</v>
      </c>
      <c r="AF3">
        <v>4</v>
      </c>
      <c r="AG3">
        <v>1</v>
      </c>
      <c r="AH3">
        <v>3</v>
      </c>
      <c r="AI3">
        <v>512</v>
      </c>
      <c r="AJ3">
        <v>512</v>
      </c>
      <c r="AK3">
        <v>142</v>
      </c>
      <c r="AL3" t="s">
        <v>66</v>
      </c>
      <c r="AM3">
        <v>1.3</v>
      </c>
      <c r="AN3" t="s">
        <v>51</v>
      </c>
      <c r="AO3" t="s">
        <v>67</v>
      </c>
      <c r="AP3" t="s">
        <v>68</v>
      </c>
      <c r="AQ3">
        <v>15</v>
      </c>
      <c r="AR3">
        <v>326</v>
      </c>
      <c r="AS3">
        <v>652</v>
      </c>
      <c r="AT3">
        <v>2.7040000000000002</v>
      </c>
      <c r="AU3">
        <v>6.9180000000000001</v>
      </c>
      <c r="AV3" t="s">
        <v>69</v>
      </c>
      <c r="AX3" t="s">
        <v>70</v>
      </c>
    </row>
    <row r="4" spans="1:50" x14ac:dyDescent="0.25">
      <c r="A4" t="s">
        <v>71</v>
      </c>
      <c r="B4" t="s">
        <v>51</v>
      </c>
      <c r="C4">
        <v>0</v>
      </c>
      <c r="D4">
        <v>1</v>
      </c>
      <c r="F4">
        <v>0</v>
      </c>
      <c r="G4">
        <v>1</v>
      </c>
      <c r="H4">
        <v>1</v>
      </c>
      <c r="I4">
        <v>1</v>
      </c>
      <c r="J4">
        <v>1845</v>
      </c>
      <c r="K4">
        <v>0</v>
      </c>
      <c r="M4">
        <v>0</v>
      </c>
      <c r="N4">
        <v>1</v>
      </c>
      <c r="O4">
        <v>1</v>
      </c>
      <c r="P4">
        <v>0</v>
      </c>
      <c r="Q4">
        <v>1</v>
      </c>
      <c r="T4" t="s">
        <v>64</v>
      </c>
      <c r="U4" t="s">
        <v>72</v>
      </c>
      <c r="V4">
        <v>38</v>
      </c>
      <c r="W4" t="s">
        <v>54</v>
      </c>
      <c r="X4" t="s">
        <v>73</v>
      </c>
      <c r="Y4">
        <v>0</v>
      </c>
      <c r="Z4">
        <v>54.431091324</v>
      </c>
      <c r="AA4">
        <v>1.6256032533333</v>
      </c>
      <c r="AB4" t="s">
        <v>74</v>
      </c>
      <c r="AD4" t="s">
        <v>57</v>
      </c>
      <c r="AE4">
        <v>1</v>
      </c>
      <c r="AF4">
        <v>4</v>
      </c>
      <c r="AG4">
        <v>1</v>
      </c>
      <c r="AH4">
        <v>1.5</v>
      </c>
      <c r="AI4">
        <v>448</v>
      </c>
      <c r="AJ4">
        <v>448</v>
      </c>
      <c r="AK4">
        <v>160</v>
      </c>
      <c r="AL4" t="s">
        <v>75</v>
      </c>
      <c r="AM4">
        <v>1</v>
      </c>
      <c r="AN4" t="s">
        <v>51</v>
      </c>
      <c r="AO4" t="s">
        <v>59</v>
      </c>
      <c r="AP4" t="s">
        <v>60</v>
      </c>
      <c r="AQ4">
        <v>11</v>
      </c>
      <c r="AR4">
        <v>106</v>
      </c>
      <c r="AS4">
        <v>288</v>
      </c>
      <c r="AT4">
        <v>1.34</v>
      </c>
      <c r="AU4">
        <v>4.2699999999999996</v>
      </c>
      <c r="AV4" t="s">
        <v>76</v>
      </c>
      <c r="AX4" t="s">
        <v>77</v>
      </c>
    </row>
    <row r="5" spans="1:50" x14ac:dyDescent="0.25">
      <c r="A5" t="s">
        <v>78</v>
      </c>
      <c r="B5" t="s">
        <v>51</v>
      </c>
      <c r="C5">
        <v>0</v>
      </c>
      <c r="D5">
        <v>1</v>
      </c>
      <c r="F5">
        <v>0</v>
      </c>
      <c r="G5">
        <v>0</v>
      </c>
      <c r="H5">
        <v>1</v>
      </c>
      <c r="I5">
        <v>0</v>
      </c>
      <c r="J5">
        <v>1554</v>
      </c>
      <c r="K5">
        <v>0</v>
      </c>
      <c r="M5">
        <v>0</v>
      </c>
      <c r="N5">
        <v>0</v>
      </c>
      <c r="O5">
        <v>0</v>
      </c>
      <c r="P5">
        <v>0</v>
      </c>
      <c r="Q5">
        <v>0</v>
      </c>
      <c r="T5" t="s">
        <v>64</v>
      </c>
      <c r="U5" t="s">
        <v>65</v>
      </c>
      <c r="V5">
        <v>56</v>
      </c>
      <c r="W5" t="s">
        <v>79</v>
      </c>
      <c r="X5" t="s">
        <v>80</v>
      </c>
      <c r="Y5">
        <v>0</v>
      </c>
      <c r="AD5" t="s">
        <v>57</v>
      </c>
      <c r="AE5">
        <v>1</v>
      </c>
      <c r="AF5">
        <v>4</v>
      </c>
      <c r="AG5">
        <v>1</v>
      </c>
      <c r="AH5">
        <v>3</v>
      </c>
      <c r="AI5">
        <v>512</v>
      </c>
      <c r="AJ5">
        <v>512</v>
      </c>
      <c r="AK5">
        <v>156</v>
      </c>
      <c r="AL5" t="s">
        <v>81</v>
      </c>
      <c r="AM5">
        <v>1.1000000000000001</v>
      </c>
      <c r="AN5" t="s">
        <v>51</v>
      </c>
      <c r="AO5" t="s">
        <v>67</v>
      </c>
      <c r="AP5" t="s">
        <v>68</v>
      </c>
      <c r="AQ5">
        <v>15</v>
      </c>
      <c r="AR5">
        <v>231</v>
      </c>
      <c r="AS5">
        <v>462</v>
      </c>
      <c r="AT5">
        <v>2.6040000000000001</v>
      </c>
      <c r="AU5">
        <v>6.032</v>
      </c>
      <c r="AV5" t="s">
        <v>82</v>
      </c>
      <c r="AX5" t="s">
        <v>83</v>
      </c>
    </row>
    <row r="6" spans="1:50" x14ac:dyDescent="0.25">
      <c r="A6" t="s">
        <v>84</v>
      </c>
      <c r="B6" t="s">
        <v>51</v>
      </c>
      <c r="C6">
        <v>0</v>
      </c>
      <c r="D6">
        <v>1</v>
      </c>
      <c r="F6">
        <v>0</v>
      </c>
      <c r="G6">
        <v>0</v>
      </c>
      <c r="H6">
        <v>0</v>
      </c>
      <c r="I6">
        <v>1</v>
      </c>
      <c r="J6">
        <v>384</v>
      </c>
      <c r="K6">
        <v>407</v>
      </c>
      <c r="M6">
        <v>471</v>
      </c>
      <c r="N6">
        <v>0</v>
      </c>
      <c r="O6">
        <v>0</v>
      </c>
      <c r="P6">
        <v>0</v>
      </c>
      <c r="Q6">
        <v>0</v>
      </c>
      <c r="T6" t="s">
        <v>64</v>
      </c>
      <c r="U6" t="s">
        <v>65</v>
      </c>
      <c r="V6">
        <v>67</v>
      </c>
      <c r="W6" t="s">
        <v>79</v>
      </c>
      <c r="X6" t="s">
        <v>80</v>
      </c>
      <c r="Y6">
        <v>0</v>
      </c>
      <c r="AD6" t="s">
        <v>57</v>
      </c>
      <c r="AE6">
        <v>1</v>
      </c>
      <c r="AF6">
        <v>4</v>
      </c>
      <c r="AG6">
        <v>1</v>
      </c>
      <c r="AH6">
        <v>3</v>
      </c>
      <c r="AI6">
        <v>512</v>
      </c>
      <c r="AJ6">
        <v>512</v>
      </c>
      <c r="AK6">
        <v>146</v>
      </c>
      <c r="AL6" t="s">
        <v>81</v>
      </c>
      <c r="AM6">
        <v>1</v>
      </c>
      <c r="AN6" t="s">
        <v>51</v>
      </c>
      <c r="AO6" t="s">
        <v>67</v>
      </c>
      <c r="AP6" t="s">
        <v>68</v>
      </c>
      <c r="AQ6">
        <v>15</v>
      </c>
      <c r="AR6">
        <v>532</v>
      </c>
      <c r="AS6">
        <v>1064</v>
      </c>
      <c r="AT6">
        <v>2.4359999999999999</v>
      </c>
      <c r="AU6">
        <v>5.6680000000000001</v>
      </c>
      <c r="AV6" t="s">
        <v>85</v>
      </c>
      <c r="AX6" t="s">
        <v>86</v>
      </c>
    </row>
    <row r="7" spans="1:50" x14ac:dyDescent="0.25">
      <c r="A7" t="s">
        <v>87</v>
      </c>
      <c r="B7" t="s">
        <v>51</v>
      </c>
      <c r="C7">
        <v>0</v>
      </c>
      <c r="D7">
        <v>1</v>
      </c>
      <c r="F7">
        <v>0</v>
      </c>
      <c r="G7">
        <v>0</v>
      </c>
      <c r="H7">
        <v>0</v>
      </c>
      <c r="I7">
        <v>1</v>
      </c>
      <c r="J7">
        <v>256</v>
      </c>
      <c r="K7">
        <v>319</v>
      </c>
      <c r="M7">
        <v>414</v>
      </c>
      <c r="N7">
        <v>0</v>
      </c>
      <c r="O7">
        <v>0</v>
      </c>
      <c r="P7">
        <v>0</v>
      </c>
      <c r="Q7">
        <v>0</v>
      </c>
      <c r="T7" t="s">
        <v>64</v>
      </c>
      <c r="U7" t="s">
        <v>65</v>
      </c>
      <c r="V7">
        <v>43</v>
      </c>
      <c r="W7" t="s">
        <v>54</v>
      </c>
      <c r="X7" t="s">
        <v>55</v>
      </c>
      <c r="Y7">
        <v>0</v>
      </c>
      <c r="AD7" t="s">
        <v>57</v>
      </c>
      <c r="AE7">
        <v>1</v>
      </c>
      <c r="AF7">
        <v>4</v>
      </c>
      <c r="AG7">
        <v>1</v>
      </c>
      <c r="AH7">
        <v>1.5</v>
      </c>
      <c r="AI7">
        <v>512</v>
      </c>
      <c r="AJ7">
        <v>512</v>
      </c>
      <c r="AK7">
        <v>178</v>
      </c>
      <c r="AL7" t="s">
        <v>88</v>
      </c>
      <c r="AM7">
        <v>1.2</v>
      </c>
      <c r="AN7" t="s">
        <v>51</v>
      </c>
      <c r="AO7" t="s">
        <v>67</v>
      </c>
      <c r="AP7" t="s">
        <v>89</v>
      </c>
      <c r="AQ7">
        <v>15</v>
      </c>
      <c r="AR7">
        <v>339</v>
      </c>
      <c r="AS7">
        <v>678</v>
      </c>
      <c r="AT7">
        <v>2.4359999999999999</v>
      </c>
      <c r="AU7">
        <v>5.2080000000000002</v>
      </c>
      <c r="AV7" t="s">
        <v>90</v>
      </c>
      <c r="AX7" t="s">
        <v>91</v>
      </c>
    </row>
    <row r="8" spans="1:50" x14ac:dyDescent="0.25">
      <c r="A8" t="s">
        <v>92</v>
      </c>
      <c r="B8" t="s">
        <v>51</v>
      </c>
      <c r="C8">
        <v>0</v>
      </c>
      <c r="D8">
        <v>1</v>
      </c>
      <c r="F8">
        <v>0</v>
      </c>
      <c r="G8">
        <v>0</v>
      </c>
      <c r="H8">
        <v>0</v>
      </c>
      <c r="I8">
        <v>1</v>
      </c>
      <c r="J8">
        <v>2183</v>
      </c>
      <c r="K8">
        <v>0</v>
      </c>
      <c r="M8">
        <v>0</v>
      </c>
      <c r="N8">
        <v>1</v>
      </c>
      <c r="O8">
        <v>1</v>
      </c>
      <c r="P8">
        <v>1</v>
      </c>
      <c r="Q8">
        <v>0</v>
      </c>
      <c r="T8" t="s">
        <v>52</v>
      </c>
      <c r="U8" t="s">
        <v>93</v>
      </c>
      <c r="V8">
        <v>35</v>
      </c>
      <c r="W8" t="s">
        <v>54</v>
      </c>
      <c r="X8" t="s">
        <v>80</v>
      </c>
      <c r="Y8">
        <v>0</v>
      </c>
      <c r="Z8">
        <v>70.306826293499995</v>
      </c>
      <c r="AA8">
        <v>1.6764033549999999</v>
      </c>
      <c r="AB8" t="s">
        <v>94</v>
      </c>
      <c r="AD8" t="s">
        <v>57</v>
      </c>
      <c r="AE8">
        <v>1</v>
      </c>
      <c r="AF8">
        <v>4</v>
      </c>
      <c r="AG8">
        <v>1</v>
      </c>
      <c r="AH8">
        <v>1.5</v>
      </c>
      <c r="AI8">
        <v>320</v>
      </c>
      <c r="AJ8">
        <v>320</v>
      </c>
      <c r="AK8">
        <v>160</v>
      </c>
      <c r="AL8" t="s">
        <v>95</v>
      </c>
      <c r="AM8">
        <v>1.1000000238419001</v>
      </c>
      <c r="AN8" t="s">
        <v>51</v>
      </c>
      <c r="AO8" t="s">
        <v>59</v>
      </c>
      <c r="AP8" t="s">
        <v>60</v>
      </c>
      <c r="AQ8">
        <v>11</v>
      </c>
      <c r="AR8">
        <v>47</v>
      </c>
      <c r="AS8">
        <v>128</v>
      </c>
      <c r="AT8">
        <v>1.5</v>
      </c>
      <c r="AU8">
        <v>4.26</v>
      </c>
      <c r="AV8" t="s">
        <v>96</v>
      </c>
      <c r="AX8" t="s">
        <v>97</v>
      </c>
    </row>
    <row r="9" spans="1:50" x14ac:dyDescent="0.25">
      <c r="A9" t="s">
        <v>98</v>
      </c>
      <c r="B9" t="s">
        <v>51</v>
      </c>
      <c r="C9">
        <v>0</v>
      </c>
      <c r="D9">
        <v>1</v>
      </c>
      <c r="F9">
        <v>0</v>
      </c>
      <c r="G9">
        <v>0</v>
      </c>
      <c r="H9">
        <v>0</v>
      </c>
      <c r="I9">
        <v>1</v>
      </c>
      <c r="J9">
        <v>1416</v>
      </c>
      <c r="K9">
        <v>0</v>
      </c>
      <c r="M9">
        <v>0</v>
      </c>
      <c r="N9">
        <v>1</v>
      </c>
      <c r="O9">
        <v>1</v>
      </c>
      <c r="P9">
        <v>1</v>
      </c>
      <c r="Q9">
        <v>0</v>
      </c>
      <c r="T9" t="s">
        <v>52</v>
      </c>
      <c r="U9" t="s">
        <v>93</v>
      </c>
      <c r="V9">
        <v>43</v>
      </c>
      <c r="W9" t="s">
        <v>79</v>
      </c>
      <c r="X9" t="s">
        <v>80</v>
      </c>
      <c r="Y9">
        <v>0</v>
      </c>
      <c r="Z9">
        <v>97.52</v>
      </c>
      <c r="AB9" t="s">
        <v>56</v>
      </c>
      <c r="AD9" t="s">
        <v>57</v>
      </c>
      <c r="AE9">
        <v>1</v>
      </c>
      <c r="AF9">
        <v>4</v>
      </c>
      <c r="AG9">
        <v>1</v>
      </c>
      <c r="AH9">
        <v>1.5</v>
      </c>
      <c r="AI9">
        <v>512</v>
      </c>
      <c r="AJ9">
        <v>512</v>
      </c>
      <c r="AK9">
        <v>176</v>
      </c>
      <c r="AL9" t="s">
        <v>88</v>
      </c>
      <c r="AM9">
        <v>1</v>
      </c>
      <c r="AN9" t="s">
        <v>51</v>
      </c>
      <c r="AO9" t="s">
        <v>67</v>
      </c>
      <c r="AP9" t="s">
        <v>89</v>
      </c>
      <c r="AQ9">
        <v>15</v>
      </c>
      <c r="AR9">
        <v>390</v>
      </c>
      <c r="AS9">
        <v>780</v>
      </c>
      <c r="AT9">
        <v>2.4359999999999999</v>
      </c>
      <c r="AU9">
        <v>5.2839999999999998</v>
      </c>
      <c r="AV9" t="s">
        <v>99</v>
      </c>
      <c r="AX9" t="s">
        <v>100</v>
      </c>
    </row>
    <row r="10" spans="1:50" x14ac:dyDescent="0.25">
      <c r="A10" t="s">
        <v>101</v>
      </c>
      <c r="B10" t="s">
        <v>51</v>
      </c>
      <c r="C10">
        <v>0</v>
      </c>
      <c r="D10">
        <v>1</v>
      </c>
      <c r="F10">
        <v>0</v>
      </c>
      <c r="G10">
        <v>1</v>
      </c>
      <c r="H10">
        <v>0</v>
      </c>
      <c r="I10">
        <v>0</v>
      </c>
      <c r="J10">
        <v>2014</v>
      </c>
      <c r="K10">
        <v>0</v>
      </c>
      <c r="M10">
        <v>0</v>
      </c>
      <c r="N10">
        <v>1</v>
      </c>
      <c r="O10">
        <v>1</v>
      </c>
      <c r="P10">
        <v>1</v>
      </c>
      <c r="Q10">
        <v>1</v>
      </c>
      <c r="U10" t="s">
        <v>72</v>
      </c>
      <c r="V10">
        <v>53</v>
      </c>
      <c r="W10" t="s">
        <v>79</v>
      </c>
      <c r="X10" t="s">
        <v>80</v>
      </c>
      <c r="Y10">
        <v>0</v>
      </c>
      <c r="Z10">
        <v>76.657120281299996</v>
      </c>
      <c r="AB10" t="s">
        <v>94</v>
      </c>
      <c r="AC10" t="s">
        <v>102</v>
      </c>
      <c r="AD10" t="s">
        <v>57</v>
      </c>
      <c r="AE10">
        <v>1</v>
      </c>
      <c r="AF10">
        <v>5</v>
      </c>
      <c r="AG10">
        <v>1</v>
      </c>
      <c r="AH10">
        <v>1.5</v>
      </c>
      <c r="AI10">
        <v>448</v>
      </c>
      <c r="AJ10">
        <v>448</v>
      </c>
      <c r="AK10">
        <v>160</v>
      </c>
      <c r="AL10" t="s">
        <v>103</v>
      </c>
      <c r="AM10">
        <v>1.1000000238419001</v>
      </c>
      <c r="AN10" t="s">
        <v>51</v>
      </c>
      <c r="AO10" t="s">
        <v>59</v>
      </c>
      <c r="AP10" t="s">
        <v>60</v>
      </c>
      <c r="AQ10">
        <v>11</v>
      </c>
      <c r="AR10">
        <v>46</v>
      </c>
      <c r="AS10">
        <v>123</v>
      </c>
      <c r="AT10">
        <v>1.4</v>
      </c>
      <c r="AU10">
        <v>4.1399999999999997</v>
      </c>
      <c r="AV10" t="s">
        <v>104</v>
      </c>
      <c r="AX10" t="s">
        <v>105</v>
      </c>
    </row>
    <row r="11" spans="1:50" x14ac:dyDescent="0.25">
      <c r="A11" t="s">
        <v>106</v>
      </c>
      <c r="B11" t="s">
        <v>51</v>
      </c>
      <c r="C11">
        <v>0</v>
      </c>
      <c r="D11">
        <v>0</v>
      </c>
      <c r="F11">
        <v>0</v>
      </c>
      <c r="G11">
        <v>0</v>
      </c>
      <c r="H11">
        <v>0</v>
      </c>
      <c r="I11">
        <v>1</v>
      </c>
      <c r="J11">
        <v>162</v>
      </c>
      <c r="K11">
        <v>197</v>
      </c>
      <c r="M11">
        <v>0</v>
      </c>
      <c r="N11">
        <v>0</v>
      </c>
      <c r="O11">
        <v>0</v>
      </c>
      <c r="P11">
        <v>0</v>
      </c>
      <c r="Q11">
        <v>0</v>
      </c>
      <c r="T11" t="s">
        <v>64</v>
      </c>
      <c r="U11" t="s">
        <v>65</v>
      </c>
      <c r="V11">
        <v>41</v>
      </c>
      <c r="W11" t="s">
        <v>54</v>
      </c>
      <c r="X11" t="s">
        <v>80</v>
      </c>
      <c r="Y11">
        <v>0</v>
      </c>
      <c r="AD11" t="s">
        <v>57</v>
      </c>
      <c r="AE11">
        <v>1</v>
      </c>
      <c r="AF11">
        <v>4</v>
      </c>
      <c r="AG11">
        <v>1</v>
      </c>
      <c r="AH11">
        <v>3</v>
      </c>
      <c r="AI11">
        <v>448</v>
      </c>
      <c r="AJ11">
        <v>448</v>
      </c>
      <c r="AK11">
        <v>208</v>
      </c>
      <c r="AL11" t="s">
        <v>75</v>
      </c>
      <c r="AM11">
        <v>1</v>
      </c>
      <c r="AN11" t="s">
        <v>51</v>
      </c>
      <c r="AO11" t="s">
        <v>59</v>
      </c>
      <c r="AP11" t="s">
        <v>107</v>
      </c>
      <c r="AQ11">
        <v>15</v>
      </c>
      <c r="AR11">
        <v>47</v>
      </c>
      <c r="AS11">
        <v>134</v>
      </c>
      <c r="AT11">
        <v>1.44</v>
      </c>
      <c r="AU11">
        <v>3.77</v>
      </c>
      <c r="AV11" t="s">
        <v>108</v>
      </c>
      <c r="AX11" t="s">
        <v>109</v>
      </c>
    </row>
    <row r="12" spans="1:50" x14ac:dyDescent="0.25">
      <c r="A12" t="s">
        <v>110</v>
      </c>
      <c r="B12" t="s">
        <v>51</v>
      </c>
      <c r="C12">
        <v>0</v>
      </c>
      <c r="D12">
        <v>1</v>
      </c>
      <c r="F12">
        <v>0</v>
      </c>
      <c r="G12">
        <v>0</v>
      </c>
      <c r="H12">
        <v>0</v>
      </c>
      <c r="I12">
        <v>1</v>
      </c>
      <c r="J12">
        <v>1525</v>
      </c>
      <c r="K12">
        <v>0</v>
      </c>
      <c r="M12">
        <v>0</v>
      </c>
      <c r="N12">
        <v>1</v>
      </c>
      <c r="O12">
        <v>1</v>
      </c>
      <c r="P12">
        <v>1</v>
      </c>
      <c r="Q12">
        <v>0</v>
      </c>
      <c r="S12">
        <v>18</v>
      </c>
      <c r="U12" t="s">
        <v>93</v>
      </c>
      <c r="V12">
        <v>48</v>
      </c>
      <c r="W12" t="s">
        <v>54</v>
      </c>
      <c r="X12" t="s">
        <v>111</v>
      </c>
      <c r="Y12">
        <v>0</v>
      </c>
      <c r="Z12">
        <v>58.966999999999999</v>
      </c>
      <c r="AB12" t="s">
        <v>74</v>
      </c>
      <c r="AC12" t="s">
        <v>112</v>
      </c>
      <c r="AD12" t="s">
        <v>57</v>
      </c>
      <c r="AE12">
        <v>1</v>
      </c>
      <c r="AF12">
        <v>5</v>
      </c>
      <c r="AG12">
        <v>1</v>
      </c>
      <c r="AH12">
        <v>1.5</v>
      </c>
      <c r="AI12">
        <v>512</v>
      </c>
      <c r="AJ12">
        <v>512</v>
      </c>
      <c r="AK12">
        <v>178</v>
      </c>
      <c r="AL12" t="s">
        <v>113</v>
      </c>
      <c r="AM12">
        <v>1</v>
      </c>
      <c r="AN12" t="s">
        <v>51</v>
      </c>
      <c r="AO12" t="s">
        <v>67</v>
      </c>
      <c r="AP12" t="s">
        <v>114</v>
      </c>
      <c r="AQ12">
        <v>15</v>
      </c>
      <c r="AR12">
        <v>447</v>
      </c>
      <c r="AS12">
        <v>895</v>
      </c>
      <c r="AT12">
        <v>2.3719999999999999</v>
      </c>
      <c r="AU12">
        <v>4.9880000000000004</v>
      </c>
      <c r="AV12" t="s">
        <v>115</v>
      </c>
      <c r="AX12" t="s">
        <v>116</v>
      </c>
    </row>
    <row r="13" spans="1:50" x14ac:dyDescent="0.25">
      <c r="A13" t="s">
        <v>117</v>
      </c>
      <c r="B13" t="s">
        <v>51</v>
      </c>
      <c r="C13">
        <v>0</v>
      </c>
      <c r="D13">
        <v>0</v>
      </c>
      <c r="F13">
        <v>0</v>
      </c>
      <c r="G13">
        <v>0</v>
      </c>
      <c r="I13">
        <v>1</v>
      </c>
      <c r="J13">
        <v>1819</v>
      </c>
      <c r="K13">
        <v>0</v>
      </c>
      <c r="M13">
        <v>0</v>
      </c>
      <c r="N13">
        <v>1</v>
      </c>
      <c r="O13">
        <v>1</v>
      </c>
      <c r="P13">
        <v>1</v>
      </c>
      <c r="Q13">
        <v>0</v>
      </c>
      <c r="U13" t="s">
        <v>93</v>
      </c>
      <c r="V13">
        <v>48</v>
      </c>
      <c r="W13" t="s">
        <v>54</v>
      </c>
      <c r="X13" t="s">
        <v>80</v>
      </c>
      <c r="Y13">
        <v>0</v>
      </c>
      <c r="Z13">
        <v>83.915000000000006</v>
      </c>
      <c r="AB13" t="s">
        <v>118</v>
      </c>
      <c r="AD13" t="s">
        <v>57</v>
      </c>
      <c r="AE13">
        <v>1</v>
      </c>
      <c r="AF13">
        <v>5</v>
      </c>
      <c r="AG13">
        <v>1</v>
      </c>
      <c r="AH13">
        <v>3</v>
      </c>
      <c r="AI13">
        <v>512</v>
      </c>
      <c r="AJ13">
        <v>512</v>
      </c>
      <c r="AK13">
        <v>148</v>
      </c>
      <c r="AL13" t="s">
        <v>119</v>
      </c>
      <c r="AM13">
        <v>1.2</v>
      </c>
      <c r="AN13" t="s">
        <v>51</v>
      </c>
      <c r="AO13" t="s">
        <v>67</v>
      </c>
      <c r="AP13" t="s">
        <v>114</v>
      </c>
      <c r="AQ13">
        <v>15</v>
      </c>
      <c r="AR13">
        <v>1054</v>
      </c>
      <c r="AS13">
        <v>2109</v>
      </c>
      <c r="AT13">
        <v>2.3879999999999999</v>
      </c>
      <c r="AU13">
        <v>5.1740000000000004</v>
      </c>
      <c r="AV13" t="s">
        <v>120</v>
      </c>
      <c r="AX13" t="s">
        <v>121</v>
      </c>
    </row>
    <row r="14" spans="1:50" x14ac:dyDescent="0.25">
      <c r="A14" t="s">
        <v>122</v>
      </c>
      <c r="B14" t="s">
        <v>51</v>
      </c>
      <c r="C14">
        <v>0</v>
      </c>
      <c r="D14">
        <v>1</v>
      </c>
      <c r="F14">
        <v>0</v>
      </c>
      <c r="G14">
        <v>0</v>
      </c>
      <c r="H14">
        <v>0</v>
      </c>
      <c r="I14">
        <v>0</v>
      </c>
      <c r="J14">
        <v>1985</v>
      </c>
      <c r="K14">
        <v>0</v>
      </c>
      <c r="M14">
        <v>0</v>
      </c>
      <c r="N14">
        <v>1</v>
      </c>
      <c r="O14">
        <v>1</v>
      </c>
      <c r="P14">
        <v>1</v>
      </c>
      <c r="Q14">
        <v>0</v>
      </c>
      <c r="U14" t="s">
        <v>93</v>
      </c>
      <c r="V14">
        <v>48</v>
      </c>
      <c r="W14" t="s">
        <v>54</v>
      </c>
      <c r="X14" t="s">
        <v>55</v>
      </c>
      <c r="Y14">
        <v>0</v>
      </c>
      <c r="Z14">
        <v>99.790334094000002</v>
      </c>
      <c r="AB14" t="s">
        <v>56</v>
      </c>
      <c r="AD14" t="s">
        <v>57</v>
      </c>
      <c r="AE14">
        <v>1</v>
      </c>
      <c r="AF14">
        <v>5</v>
      </c>
      <c r="AG14">
        <v>1</v>
      </c>
      <c r="AH14">
        <v>3</v>
      </c>
      <c r="AI14">
        <v>448</v>
      </c>
      <c r="AJ14">
        <v>448</v>
      </c>
      <c r="AK14">
        <v>160</v>
      </c>
      <c r="AL14" t="s">
        <v>123</v>
      </c>
      <c r="AM14">
        <v>1.1000000238419001</v>
      </c>
      <c r="AN14" t="s">
        <v>51</v>
      </c>
      <c r="AO14" t="s">
        <v>59</v>
      </c>
      <c r="AP14" t="s">
        <v>124</v>
      </c>
      <c r="AQ14">
        <v>11</v>
      </c>
      <c r="AR14">
        <v>54</v>
      </c>
      <c r="AS14">
        <v>174</v>
      </c>
      <c r="AT14">
        <v>1.36</v>
      </c>
      <c r="AU14">
        <v>3.54</v>
      </c>
      <c r="AV14" t="s">
        <v>125</v>
      </c>
      <c r="AX14" t="s">
        <v>126</v>
      </c>
    </row>
    <row r="15" spans="1:50" x14ac:dyDescent="0.25">
      <c r="A15" t="s">
        <v>127</v>
      </c>
      <c r="B15" t="s">
        <v>51</v>
      </c>
      <c r="C15">
        <v>0</v>
      </c>
      <c r="D15">
        <v>0</v>
      </c>
      <c r="F15">
        <v>0</v>
      </c>
      <c r="G15">
        <v>0</v>
      </c>
      <c r="H15">
        <v>0</v>
      </c>
      <c r="I15">
        <v>1</v>
      </c>
      <c r="J15">
        <v>2567</v>
      </c>
      <c r="K15">
        <v>0</v>
      </c>
      <c r="M15">
        <v>0</v>
      </c>
      <c r="N15">
        <v>1</v>
      </c>
      <c r="O15">
        <v>1</v>
      </c>
      <c r="P15">
        <v>1</v>
      </c>
      <c r="Q15">
        <v>0</v>
      </c>
      <c r="S15">
        <v>27</v>
      </c>
      <c r="T15" t="s">
        <v>52</v>
      </c>
      <c r="U15" t="s">
        <v>93</v>
      </c>
      <c r="V15">
        <v>67</v>
      </c>
      <c r="W15" t="s">
        <v>79</v>
      </c>
      <c r="X15" t="s">
        <v>80</v>
      </c>
      <c r="Y15">
        <v>0</v>
      </c>
      <c r="Z15">
        <v>68.039000000000001</v>
      </c>
      <c r="AB15" t="s">
        <v>74</v>
      </c>
      <c r="AD15" t="s">
        <v>57</v>
      </c>
      <c r="AE15">
        <v>1</v>
      </c>
      <c r="AF15">
        <v>5</v>
      </c>
      <c r="AG15">
        <v>1</v>
      </c>
      <c r="AH15">
        <v>3</v>
      </c>
      <c r="AI15">
        <v>512</v>
      </c>
      <c r="AJ15">
        <v>512</v>
      </c>
      <c r="AK15">
        <v>168</v>
      </c>
      <c r="AL15" t="s">
        <v>128</v>
      </c>
      <c r="AM15">
        <v>1</v>
      </c>
      <c r="AN15" t="s">
        <v>51</v>
      </c>
      <c r="AO15" t="s">
        <v>67</v>
      </c>
      <c r="AP15" t="s">
        <v>114</v>
      </c>
      <c r="AQ15">
        <v>15</v>
      </c>
      <c r="AR15">
        <v>513</v>
      </c>
      <c r="AS15">
        <v>1027</v>
      </c>
      <c r="AT15">
        <v>2.4</v>
      </c>
      <c r="AU15">
        <v>5.5110000000000001</v>
      </c>
      <c r="AV15" t="s">
        <v>129</v>
      </c>
      <c r="AX15" t="s">
        <v>130</v>
      </c>
    </row>
    <row r="16" spans="1:50" x14ac:dyDescent="0.25">
      <c r="A16" t="s">
        <v>131</v>
      </c>
      <c r="B16" t="s">
        <v>51</v>
      </c>
      <c r="C16">
        <v>1</v>
      </c>
      <c r="D16">
        <v>0</v>
      </c>
      <c r="F16">
        <v>0</v>
      </c>
      <c r="G16">
        <v>0</v>
      </c>
      <c r="H16">
        <v>0</v>
      </c>
      <c r="I16">
        <v>0</v>
      </c>
      <c r="J16">
        <v>217</v>
      </c>
      <c r="K16">
        <v>260</v>
      </c>
      <c r="M16">
        <v>461</v>
      </c>
      <c r="N16">
        <v>0</v>
      </c>
      <c r="O16">
        <v>0</v>
      </c>
      <c r="P16">
        <v>0</v>
      </c>
      <c r="Q16">
        <v>0</v>
      </c>
      <c r="T16" t="s">
        <v>52</v>
      </c>
      <c r="U16" t="s">
        <v>65</v>
      </c>
      <c r="V16">
        <v>46</v>
      </c>
      <c r="W16" t="s">
        <v>54</v>
      </c>
      <c r="X16" t="s">
        <v>80</v>
      </c>
      <c r="Y16">
        <v>0</v>
      </c>
      <c r="AD16" t="s">
        <v>57</v>
      </c>
      <c r="AE16">
        <v>1</v>
      </c>
      <c r="AF16">
        <v>5</v>
      </c>
      <c r="AG16">
        <v>1</v>
      </c>
      <c r="AH16">
        <v>3</v>
      </c>
      <c r="AI16">
        <v>512</v>
      </c>
      <c r="AJ16">
        <v>512</v>
      </c>
      <c r="AK16">
        <v>188</v>
      </c>
      <c r="AL16" t="s">
        <v>128</v>
      </c>
      <c r="AM16">
        <v>1</v>
      </c>
      <c r="AN16" t="s">
        <v>51</v>
      </c>
      <c r="AO16" t="s">
        <v>67</v>
      </c>
      <c r="AP16" t="s">
        <v>114</v>
      </c>
      <c r="AQ16">
        <v>15</v>
      </c>
      <c r="AR16">
        <v>488</v>
      </c>
      <c r="AS16">
        <v>976</v>
      </c>
      <c r="AT16">
        <v>2.3959999999999999</v>
      </c>
      <c r="AU16">
        <v>5.5129999999999999</v>
      </c>
      <c r="AV16" t="s">
        <v>132</v>
      </c>
      <c r="AX16" t="s">
        <v>133</v>
      </c>
    </row>
    <row r="17" spans="1:50" x14ac:dyDescent="0.25">
      <c r="A17" t="s">
        <v>134</v>
      </c>
      <c r="B17" t="s">
        <v>51</v>
      </c>
      <c r="C17">
        <v>0</v>
      </c>
      <c r="D17">
        <v>0</v>
      </c>
      <c r="F17">
        <v>0</v>
      </c>
      <c r="G17">
        <v>1</v>
      </c>
      <c r="H17">
        <v>1</v>
      </c>
      <c r="I17">
        <v>1</v>
      </c>
      <c r="J17">
        <v>2170</v>
      </c>
      <c r="K17">
        <v>0</v>
      </c>
      <c r="M17">
        <v>0</v>
      </c>
      <c r="N17">
        <v>0</v>
      </c>
      <c r="O17">
        <v>0</v>
      </c>
      <c r="P17">
        <v>0</v>
      </c>
      <c r="Q17">
        <v>1</v>
      </c>
      <c r="T17" t="s">
        <v>64</v>
      </c>
      <c r="U17" t="s">
        <v>53</v>
      </c>
      <c r="V17">
        <v>34</v>
      </c>
      <c r="W17" t="s">
        <v>54</v>
      </c>
      <c r="X17" t="s">
        <v>80</v>
      </c>
      <c r="Y17">
        <v>0</v>
      </c>
      <c r="Z17">
        <v>68.038864154999999</v>
      </c>
      <c r="AA17">
        <v>1.6764033549999999</v>
      </c>
      <c r="AB17" t="s">
        <v>74</v>
      </c>
      <c r="AD17" t="s">
        <v>57</v>
      </c>
      <c r="AE17">
        <v>1</v>
      </c>
      <c r="AF17">
        <v>5</v>
      </c>
      <c r="AG17">
        <v>1</v>
      </c>
      <c r="AH17">
        <v>1.5</v>
      </c>
      <c r="AI17">
        <v>448</v>
      </c>
      <c r="AJ17">
        <v>448</v>
      </c>
      <c r="AK17">
        <v>128</v>
      </c>
      <c r="AL17" t="s">
        <v>123</v>
      </c>
      <c r="AM17">
        <v>1.1000000238419001</v>
      </c>
      <c r="AN17" t="s">
        <v>51</v>
      </c>
      <c r="AO17" t="s">
        <v>59</v>
      </c>
      <c r="AP17" t="s">
        <v>60</v>
      </c>
      <c r="AQ17">
        <v>11</v>
      </c>
      <c r="AR17">
        <v>133</v>
      </c>
      <c r="AS17">
        <v>288</v>
      </c>
      <c r="AT17">
        <v>1.39</v>
      </c>
      <c r="AU17">
        <v>4.12</v>
      </c>
      <c r="AV17" t="s">
        <v>135</v>
      </c>
      <c r="AX17" t="s">
        <v>136</v>
      </c>
    </row>
    <row r="18" spans="1:50" x14ac:dyDescent="0.25">
      <c r="A18" t="s">
        <v>137</v>
      </c>
      <c r="B18" t="s">
        <v>51</v>
      </c>
      <c r="C18">
        <v>0</v>
      </c>
      <c r="D18">
        <v>1</v>
      </c>
      <c r="F18">
        <v>0</v>
      </c>
      <c r="G18">
        <v>1</v>
      </c>
      <c r="H18">
        <v>1</v>
      </c>
      <c r="I18">
        <v>0</v>
      </c>
      <c r="J18">
        <v>1577</v>
      </c>
      <c r="K18">
        <v>0</v>
      </c>
      <c r="M18">
        <v>0</v>
      </c>
      <c r="N18">
        <v>1</v>
      </c>
      <c r="O18">
        <v>0</v>
      </c>
      <c r="P18">
        <v>1</v>
      </c>
      <c r="Q18">
        <v>1</v>
      </c>
      <c r="V18">
        <v>45</v>
      </c>
      <c r="W18" t="s">
        <v>54</v>
      </c>
      <c r="X18" t="s">
        <v>80</v>
      </c>
      <c r="Y18">
        <v>0</v>
      </c>
      <c r="Z18">
        <v>74.843000000000004</v>
      </c>
      <c r="AB18" t="s">
        <v>94</v>
      </c>
      <c r="AC18" t="s">
        <v>102</v>
      </c>
      <c r="AD18" t="s">
        <v>57</v>
      </c>
      <c r="AE18">
        <v>1</v>
      </c>
      <c r="AF18">
        <v>4</v>
      </c>
      <c r="AG18">
        <v>1</v>
      </c>
      <c r="AH18">
        <v>1.5</v>
      </c>
      <c r="AI18">
        <v>512</v>
      </c>
      <c r="AJ18">
        <v>512</v>
      </c>
      <c r="AK18">
        <v>188</v>
      </c>
      <c r="AL18" t="s">
        <v>81</v>
      </c>
      <c r="AM18">
        <v>1</v>
      </c>
      <c r="AN18" t="s">
        <v>51</v>
      </c>
      <c r="AO18" t="s">
        <v>67</v>
      </c>
      <c r="AP18" t="s">
        <v>114</v>
      </c>
      <c r="AQ18">
        <v>15</v>
      </c>
      <c r="AR18">
        <v>381</v>
      </c>
      <c r="AS18">
        <v>762</v>
      </c>
      <c r="AT18">
        <v>2.3199999999999998</v>
      </c>
      <c r="AU18">
        <v>4.9359999999999999</v>
      </c>
      <c r="AV18" t="s">
        <v>138</v>
      </c>
      <c r="AX18" t="s">
        <v>139</v>
      </c>
    </row>
    <row r="19" spans="1:50" x14ac:dyDescent="0.25">
      <c r="A19" t="s">
        <v>140</v>
      </c>
      <c r="B19" t="s">
        <v>51</v>
      </c>
      <c r="C19">
        <v>1</v>
      </c>
      <c r="D19">
        <v>0</v>
      </c>
      <c r="F19">
        <v>0</v>
      </c>
      <c r="G19">
        <v>0</v>
      </c>
      <c r="H19">
        <v>0</v>
      </c>
      <c r="I19">
        <v>1</v>
      </c>
      <c r="J19">
        <v>692</v>
      </c>
      <c r="K19">
        <v>0</v>
      </c>
      <c r="M19">
        <v>0</v>
      </c>
      <c r="N19">
        <v>1</v>
      </c>
      <c r="O19">
        <v>1</v>
      </c>
      <c r="P19">
        <v>1</v>
      </c>
      <c r="Q19">
        <v>0</v>
      </c>
      <c r="T19" t="s">
        <v>64</v>
      </c>
      <c r="U19" t="s">
        <v>93</v>
      </c>
      <c r="V19">
        <v>53</v>
      </c>
      <c r="W19" t="s">
        <v>79</v>
      </c>
      <c r="X19" t="s">
        <v>55</v>
      </c>
      <c r="Y19">
        <v>0</v>
      </c>
      <c r="Z19">
        <v>77.110712708999998</v>
      </c>
      <c r="AA19">
        <v>1.7272034566667001</v>
      </c>
      <c r="AB19" t="s">
        <v>94</v>
      </c>
      <c r="AD19" t="s">
        <v>57</v>
      </c>
      <c r="AE19">
        <v>1</v>
      </c>
      <c r="AF19">
        <v>4</v>
      </c>
      <c r="AG19">
        <v>1</v>
      </c>
      <c r="AH19">
        <v>3</v>
      </c>
      <c r="AI19">
        <v>448</v>
      </c>
      <c r="AJ19">
        <v>448</v>
      </c>
      <c r="AK19">
        <v>256</v>
      </c>
      <c r="AL19" t="s">
        <v>141</v>
      </c>
      <c r="AM19">
        <v>1</v>
      </c>
      <c r="AN19" t="s">
        <v>51</v>
      </c>
      <c r="AO19" t="s">
        <v>59</v>
      </c>
      <c r="AP19" t="s">
        <v>107</v>
      </c>
      <c r="AQ19">
        <v>11</v>
      </c>
      <c r="AR19">
        <v>51</v>
      </c>
      <c r="AS19">
        <v>146</v>
      </c>
      <c r="AT19">
        <v>1.44</v>
      </c>
      <c r="AU19">
        <v>3.77</v>
      </c>
      <c r="AV19" t="s">
        <v>142</v>
      </c>
      <c r="AX19" t="s">
        <v>143</v>
      </c>
    </row>
    <row r="20" spans="1:50" x14ac:dyDescent="0.25">
      <c r="A20" t="s">
        <v>144</v>
      </c>
      <c r="B20" t="s">
        <v>51</v>
      </c>
      <c r="C20">
        <v>0</v>
      </c>
      <c r="D20">
        <v>0</v>
      </c>
      <c r="F20">
        <v>0</v>
      </c>
      <c r="G20">
        <v>0</v>
      </c>
      <c r="H20">
        <v>0</v>
      </c>
      <c r="I20">
        <v>1</v>
      </c>
      <c r="J20">
        <v>1603</v>
      </c>
      <c r="K20">
        <v>0</v>
      </c>
      <c r="M20">
        <v>0</v>
      </c>
      <c r="N20">
        <v>0</v>
      </c>
      <c r="O20">
        <v>0</v>
      </c>
      <c r="P20">
        <v>0</v>
      </c>
      <c r="Q20">
        <v>0</v>
      </c>
      <c r="T20" t="s">
        <v>64</v>
      </c>
      <c r="U20" t="s">
        <v>65</v>
      </c>
      <c r="V20">
        <v>40</v>
      </c>
      <c r="W20" t="s">
        <v>54</v>
      </c>
      <c r="X20" t="s">
        <v>80</v>
      </c>
      <c r="Y20">
        <v>0</v>
      </c>
      <c r="AD20" t="s">
        <v>57</v>
      </c>
      <c r="AE20">
        <v>1</v>
      </c>
      <c r="AF20">
        <v>4</v>
      </c>
      <c r="AG20">
        <v>1</v>
      </c>
      <c r="AH20">
        <v>1.5</v>
      </c>
      <c r="AI20">
        <v>448</v>
      </c>
      <c r="AJ20">
        <v>448</v>
      </c>
      <c r="AK20">
        <v>176</v>
      </c>
      <c r="AL20" t="s">
        <v>123</v>
      </c>
      <c r="AM20">
        <v>1</v>
      </c>
      <c r="AN20" t="s">
        <v>51</v>
      </c>
      <c r="AO20" t="s">
        <v>59</v>
      </c>
      <c r="AP20" t="s">
        <v>60</v>
      </c>
      <c r="AQ20">
        <v>15</v>
      </c>
      <c r="AR20">
        <v>62</v>
      </c>
      <c r="AS20">
        <v>160</v>
      </c>
      <c r="AT20">
        <v>1.36</v>
      </c>
      <c r="AU20">
        <v>4.3099999999999996</v>
      </c>
      <c r="AV20" t="s">
        <v>145</v>
      </c>
      <c r="AX20" t="s">
        <v>146</v>
      </c>
    </row>
    <row r="21" spans="1:50" x14ac:dyDescent="0.25">
      <c r="A21" t="s">
        <v>147</v>
      </c>
      <c r="B21" t="s">
        <v>51</v>
      </c>
      <c r="C21">
        <v>0</v>
      </c>
      <c r="D21">
        <v>0</v>
      </c>
      <c r="F21">
        <v>0</v>
      </c>
      <c r="G21">
        <v>1</v>
      </c>
      <c r="H21">
        <v>0</v>
      </c>
      <c r="I21">
        <v>0</v>
      </c>
      <c r="J21">
        <v>1603</v>
      </c>
      <c r="K21">
        <v>0</v>
      </c>
      <c r="M21">
        <v>0</v>
      </c>
      <c r="N21">
        <v>1</v>
      </c>
      <c r="O21">
        <v>1</v>
      </c>
      <c r="P21">
        <v>1</v>
      </c>
      <c r="Q21">
        <v>1</v>
      </c>
      <c r="T21" t="s">
        <v>64</v>
      </c>
      <c r="U21" t="s">
        <v>72</v>
      </c>
      <c r="V21">
        <v>38</v>
      </c>
      <c r="W21" t="s">
        <v>54</v>
      </c>
      <c r="X21" t="s">
        <v>80</v>
      </c>
      <c r="Y21">
        <v>0</v>
      </c>
      <c r="Z21">
        <v>73</v>
      </c>
      <c r="AB21" t="s">
        <v>94</v>
      </c>
      <c r="AD21" t="s">
        <v>57</v>
      </c>
      <c r="AE21">
        <v>1</v>
      </c>
      <c r="AF21">
        <v>4</v>
      </c>
      <c r="AG21">
        <v>1</v>
      </c>
      <c r="AH21">
        <v>1.5</v>
      </c>
      <c r="AI21">
        <v>512</v>
      </c>
      <c r="AJ21">
        <v>512</v>
      </c>
      <c r="AK21">
        <v>200</v>
      </c>
      <c r="AL21" t="s">
        <v>88</v>
      </c>
      <c r="AM21">
        <v>1</v>
      </c>
      <c r="AN21" t="s">
        <v>51</v>
      </c>
      <c r="AO21" t="s">
        <v>67</v>
      </c>
      <c r="AP21" t="s">
        <v>68</v>
      </c>
      <c r="AQ21">
        <v>15</v>
      </c>
      <c r="AR21">
        <v>251</v>
      </c>
      <c r="AS21">
        <v>503</v>
      </c>
      <c r="AT21">
        <v>2.2320000000000002</v>
      </c>
      <c r="AU21">
        <v>4.8120000000000003</v>
      </c>
      <c r="AV21" t="s">
        <v>148</v>
      </c>
      <c r="AX21" t="s">
        <v>149</v>
      </c>
    </row>
    <row r="22" spans="1:50" x14ac:dyDescent="0.25">
      <c r="A22" t="s">
        <v>150</v>
      </c>
      <c r="B22" t="s">
        <v>51</v>
      </c>
      <c r="C22">
        <v>0</v>
      </c>
      <c r="D22">
        <v>0</v>
      </c>
      <c r="F22">
        <v>0</v>
      </c>
      <c r="G22">
        <v>0</v>
      </c>
      <c r="H22">
        <v>1</v>
      </c>
      <c r="I22">
        <v>0</v>
      </c>
      <c r="J22">
        <v>664</v>
      </c>
      <c r="K22">
        <v>0</v>
      </c>
      <c r="M22">
        <v>0</v>
      </c>
      <c r="N22">
        <v>0</v>
      </c>
      <c r="O22">
        <v>0</v>
      </c>
      <c r="P22">
        <v>0</v>
      </c>
      <c r="Q22">
        <v>0</v>
      </c>
      <c r="U22" t="s">
        <v>65</v>
      </c>
      <c r="V22">
        <v>73</v>
      </c>
      <c r="W22" t="s">
        <v>79</v>
      </c>
      <c r="X22" t="s">
        <v>151</v>
      </c>
      <c r="Y22">
        <v>0</v>
      </c>
      <c r="Z22">
        <v>54.430999999999997</v>
      </c>
      <c r="AB22" t="s">
        <v>74</v>
      </c>
      <c r="AC22" t="s">
        <v>152</v>
      </c>
      <c r="AD22" t="s">
        <v>57</v>
      </c>
      <c r="AE22">
        <v>1</v>
      </c>
      <c r="AF22">
        <v>5</v>
      </c>
      <c r="AG22">
        <v>1</v>
      </c>
      <c r="AH22">
        <v>3</v>
      </c>
      <c r="AI22">
        <v>512</v>
      </c>
      <c r="AJ22">
        <v>512</v>
      </c>
      <c r="AK22">
        <v>170</v>
      </c>
      <c r="AL22" t="s">
        <v>153</v>
      </c>
      <c r="AM22">
        <v>1</v>
      </c>
      <c r="AN22" t="s">
        <v>51</v>
      </c>
      <c r="AO22" t="s">
        <v>67</v>
      </c>
      <c r="AP22" t="s">
        <v>114</v>
      </c>
      <c r="AQ22">
        <v>15</v>
      </c>
      <c r="AR22">
        <v>705</v>
      </c>
      <c r="AS22">
        <v>1410</v>
      </c>
      <c r="AT22">
        <v>2.4319999999999999</v>
      </c>
      <c r="AU22">
        <v>5.8079999999999998</v>
      </c>
      <c r="AV22" t="s">
        <v>154</v>
      </c>
      <c r="AX22" t="s">
        <v>155</v>
      </c>
    </row>
    <row r="23" spans="1:50" x14ac:dyDescent="0.25">
      <c r="A23" t="s">
        <v>156</v>
      </c>
      <c r="B23" t="s">
        <v>51</v>
      </c>
      <c r="C23">
        <v>0</v>
      </c>
      <c r="D23">
        <v>0</v>
      </c>
      <c r="F23">
        <v>0</v>
      </c>
      <c r="G23">
        <v>1</v>
      </c>
      <c r="H23">
        <v>0</v>
      </c>
      <c r="I23">
        <v>1</v>
      </c>
      <c r="J23">
        <v>1603</v>
      </c>
      <c r="K23">
        <v>0</v>
      </c>
      <c r="M23">
        <v>0</v>
      </c>
      <c r="N23">
        <v>1</v>
      </c>
      <c r="O23">
        <v>1</v>
      </c>
      <c r="P23">
        <v>1</v>
      </c>
      <c r="Q23">
        <v>1</v>
      </c>
      <c r="T23" t="s">
        <v>64</v>
      </c>
      <c r="U23" t="s">
        <v>72</v>
      </c>
      <c r="V23">
        <v>70</v>
      </c>
      <c r="W23" t="s">
        <v>79</v>
      </c>
      <c r="X23" t="s">
        <v>55</v>
      </c>
      <c r="Y23">
        <v>0</v>
      </c>
      <c r="Z23">
        <v>77.110712708999998</v>
      </c>
      <c r="AA23">
        <v>1.6510033041667</v>
      </c>
      <c r="AB23" t="s">
        <v>94</v>
      </c>
      <c r="AD23" t="s">
        <v>57</v>
      </c>
      <c r="AE23">
        <v>1</v>
      </c>
      <c r="AF23">
        <v>4</v>
      </c>
      <c r="AG23">
        <v>1</v>
      </c>
      <c r="AH23">
        <v>1.5</v>
      </c>
      <c r="AI23">
        <v>448</v>
      </c>
      <c r="AJ23">
        <v>448</v>
      </c>
      <c r="AK23">
        <v>112</v>
      </c>
      <c r="AL23" t="s">
        <v>58</v>
      </c>
      <c r="AM23">
        <v>1.5</v>
      </c>
      <c r="AN23" t="s">
        <v>51</v>
      </c>
      <c r="AO23" t="s">
        <v>59</v>
      </c>
      <c r="AP23" t="s">
        <v>60</v>
      </c>
      <c r="AQ23">
        <v>11</v>
      </c>
      <c r="AR23">
        <v>56</v>
      </c>
      <c r="AS23">
        <v>148</v>
      </c>
      <c r="AT23">
        <v>1.33</v>
      </c>
      <c r="AU23">
        <v>4.2699999999999996</v>
      </c>
      <c r="AV23" t="s">
        <v>157</v>
      </c>
      <c r="AX23" t="s">
        <v>158</v>
      </c>
    </row>
    <row r="24" spans="1:50" x14ac:dyDescent="0.25">
      <c r="A24" t="s">
        <v>159</v>
      </c>
      <c r="B24" t="s">
        <v>51</v>
      </c>
      <c r="C24">
        <v>0</v>
      </c>
      <c r="D24">
        <v>1</v>
      </c>
      <c r="F24">
        <v>0</v>
      </c>
      <c r="G24">
        <v>0</v>
      </c>
      <c r="H24">
        <v>1</v>
      </c>
      <c r="I24">
        <v>0</v>
      </c>
      <c r="J24">
        <v>2226</v>
      </c>
      <c r="K24">
        <v>0</v>
      </c>
      <c r="M24">
        <v>0</v>
      </c>
      <c r="N24">
        <v>0</v>
      </c>
      <c r="O24">
        <v>0</v>
      </c>
      <c r="P24">
        <v>0</v>
      </c>
      <c r="Q24">
        <v>0</v>
      </c>
      <c r="T24" t="s">
        <v>52</v>
      </c>
      <c r="U24" t="s">
        <v>65</v>
      </c>
      <c r="V24">
        <v>51</v>
      </c>
      <c r="W24" t="s">
        <v>54</v>
      </c>
      <c r="X24" t="s">
        <v>80</v>
      </c>
      <c r="Y24">
        <v>0</v>
      </c>
      <c r="AD24" t="s">
        <v>57</v>
      </c>
      <c r="AE24">
        <v>1</v>
      </c>
      <c r="AF24">
        <v>4</v>
      </c>
      <c r="AG24">
        <v>1</v>
      </c>
      <c r="AH24">
        <v>3</v>
      </c>
      <c r="AI24">
        <v>512</v>
      </c>
      <c r="AJ24">
        <v>512</v>
      </c>
      <c r="AK24">
        <v>182</v>
      </c>
      <c r="AL24" t="s">
        <v>81</v>
      </c>
      <c r="AM24">
        <v>1</v>
      </c>
      <c r="AN24" t="s">
        <v>51</v>
      </c>
      <c r="AO24" t="s">
        <v>67</v>
      </c>
      <c r="AP24" t="s">
        <v>68</v>
      </c>
      <c r="AQ24">
        <v>15</v>
      </c>
      <c r="AR24">
        <v>666</v>
      </c>
      <c r="AS24">
        <v>1332</v>
      </c>
      <c r="AT24">
        <v>2.4279999999999999</v>
      </c>
      <c r="AU24">
        <v>5.6689999999999996</v>
      </c>
      <c r="AV24" t="s">
        <v>160</v>
      </c>
      <c r="AX24" t="s">
        <v>161</v>
      </c>
    </row>
    <row r="25" spans="1:50" x14ac:dyDescent="0.25">
      <c r="A25" t="s">
        <v>162</v>
      </c>
      <c r="B25" t="s">
        <v>51</v>
      </c>
      <c r="C25">
        <v>0</v>
      </c>
      <c r="D25">
        <v>0</v>
      </c>
      <c r="F25">
        <v>0</v>
      </c>
      <c r="G25">
        <v>0</v>
      </c>
      <c r="H25">
        <v>0</v>
      </c>
      <c r="I25">
        <v>0</v>
      </c>
      <c r="J25">
        <v>1833</v>
      </c>
      <c r="K25">
        <v>1526</v>
      </c>
      <c r="M25">
        <v>0</v>
      </c>
      <c r="N25">
        <v>0</v>
      </c>
      <c r="O25">
        <v>0</v>
      </c>
      <c r="P25">
        <v>0</v>
      </c>
      <c r="Q25">
        <v>0</v>
      </c>
      <c r="U25" t="s">
        <v>65</v>
      </c>
      <c r="V25">
        <v>47</v>
      </c>
      <c r="W25" t="s">
        <v>54</v>
      </c>
      <c r="X25" t="s">
        <v>55</v>
      </c>
      <c r="Y25">
        <v>0</v>
      </c>
      <c r="Z25">
        <v>73.481999999999999</v>
      </c>
      <c r="AB25" t="s">
        <v>94</v>
      </c>
      <c r="AC25" t="s">
        <v>102</v>
      </c>
      <c r="AD25" t="s">
        <v>57</v>
      </c>
      <c r="AE25">
        <v>1</v>
      </c>
      <c r="AF25">
        <v>5</v>
      </c>
      <c r="AG25">
        <v>1</v>
      </c>
      <c r="AH25">
        <v>3</v>
      </c>
      <c r="AI25">
        <v>512</v>
      </c>
      <c r="AJ25">
        <v>512</v>
      </c>
      <c r="AK25">
        <v>178</v>
      </c>
      <c r="AL25" t="s">
        <v>128</v>
      </c>
      <c r="AM25">
        <v>1</v>
      </c>
      <c r="AN25" t="s">
        <v>51</v>
      </c>
      <c r="AO25" t="s">
        <v>67</v>
      </c>
      <c r="AP25" t="s">
        <v>114</v>
      </c>
      <c r="AQ25">
        <v>15</v>
      </c>
      <c r="AR25">
        <v>823</v>
      </c>
      <c r="AS25">
        <v>1647</v>
      </c>
      <c r="AT25">
        <v>2.4039999999999999</v>
      </c>
      <c r="AU25">
        <v>5.5170000000000003</v>
      </c>
      <c r="AV25" t="s">
        <v>163</v>
      </c>
      <c r="AX25" t="s">
        <v>164</v>
      </c>
    </row>
    <row r="26" spans="1:50" x14ac:dyDescent="0.25">
      <c r="A26" t="s">
        <v>165</v>
      </c>
      <c r="B26" t="s">
        <v>51</v>
      </c>
      <c r="C26">
        <v>0</v>
      </c>
      <c r="D26">
        <v>1</v>
      </c>
      <c r="F26">
        <v>0</v>
      </c>
      <c r="G26">
        <v>0</v>
      </c>
      <c r="H26">
        <v>1</v>
      </c>
      <c r="I26">
        <v>1</v>
      </c>
      <c r="J26">
        <v>188</v>
      </c>
      <c r="K26">
        <v>0</v>
      </c>
      <c r="M26">
        <v>220</v>
      </c>
      <c r="N26">
        <v>0</v>
      </c>
      <c r="O26">
        <v>0</v>
      </c>
      <c r="P26">
        <v>0</v>
      </c>
      <c r="Q26">
        <v>0</v>
      </c>
      <c r="T26" t="s">
        <v>64</v>
      </c>
      <c r="U26" t="s">
        <v>65</v>
      </c>
      <c r="V26">
        <v>59</v>
      </c>
      <c r="W26" t="s">
        <v>79</v>
      </c>
      <c r="X26" t="s">
        <v>55</v>
      </c>
      <c r="Y26">
        <v>0</v>
      </c>
      <c r="Z26">
        <v>71</v>
      </c>
      <c r="AB26" t="s">
        <v>94</v>
      </c>
      <c r="AD26" t="s">
        <v>57</v>
      </c>
      <c r="AE26">
        <v>1</v>
      </c>
      <c r="AF26">
        <v>4</v>
      </c>
      <c r="AG26">
        <v>1</v>
      </c>
      <c r="AH26">
        <v>1.5</v>
      </c>
      <c r="AI26">
        <v>512</v>
      </c>
      <c r="AJ26">
        <v>512</v>
      </c>
      <c r="AK26">
        <v>174</v>
      </c>
      <c r="AL26" t="s">
        <v>81</v>
      </c>
      <c r="AM26">
        <v>1</v>
      </c>
      <c r="AN26" t="s">
        <v>51</v>
      </c>
      <c r="AO26" t="s">
        <v>67</v>
      </c>
      <c r="AP26" t="s">
        <v>89</v>
      </c>
      <c r="AQ26">
        <v>15</v>
      </c>
      <c r="AR26">
        <v>475</v>
      </c>
      <c r="AS26">
        <v>951</v>
      </c>
      <c r="AT26">
        <v>2.516</v>
      </c>
      <c r="AU26">
        <v>5.38</v>
      </c>
      <c r="AV26" t="s">
        <v>166</v>
      </c>
      <c r="AX26" t="s">
        <v>167</v>
      </c>
    </row>
    <row r="27" spans="1:50" x14ac:dyDescent="0.25">
      <c r="A27" t="s">
        <v>168</v>
      </c>
      <c r="B27" t="s">
        <v>51</v>
      </c>
      <c r="C27">
        <v>0</v>
      </c>
      <c r="D27">
        <v>0</v>
      </c>
      <c r="F27">
        <v>0</v>
      </c>
      <c r="G27">
        <v>0</v>
      </c>
      <c r="H27">
        <v>0</v>
      </c>
      <c r="I27">
        <v>0</v>
      </c>
      <c r="J27">
        <v>2922</v>
      </c>
      <c r="K27">
        <v>0</v>
      </c>
      <c r="M27">
        <v>0</v>
      </c>
      <c r="N27">
        <v>0</v>
      </c>
      <c r="O27">
        <v>0</v>
      </c>
      <c r="P27">
        <v>0</v>
      </c>
      <c r="Q27">
        <v>0</v>
      </c>
      <c r="T27" t="s">
        <v>52</v>
      </c>
      <c r="U27" t="s">
        <v>65</v>
      </c>
      <c r="V27">
        <v>55</v>
      </c>
      <c r="W27" t="s">
        <v>79</v>
      </c>
      <c r="X27" t="s">
        <v>80</v>
      </c>
      <c r="Y27">
        <v>0</v>
      </c>
      <c r="AD27" t="s">
        <v>57</v>
      </c>
      <c r="AE27">
        <v>1</v>
      </c>
      <c r="AF27">
        <v>5</v>
      </c>
      <c r="AG27">
        <v>1</v>
      </c>
      <c r="AH27">
        <v>3</v>
      </c>
      <c r="AI27">
        <v>512</v>
      </c>
      <c r="AJ27">
        <v>512</v>
      </c>
      <c r="AK27">
        <v>162</v>
      </c>
      <c r="AL27" t="s">
        <v>153</v>
      </c>
      <c r="AM27">
        <v>1</v>
      </c>
      <c r="AN27" t="s">
        <v>51</v>
      </c>
      <c r="AO27" t="s">
        <v>67</v>
      </c>
      <c r="AP27" t="s">
        <v>114</v>
      </c>
      <c r="AQ27">
        <v>15</v>
      </c>
      <c r="AR27">
        <v>732</v>
      </c>
      <c r="AS27">
        <v>1464</v>
      </c>
      <c r="AT27">
        <v>2.444</v>
      </c>
      <c r="AU27">
        <v>5.8090000000000002</v>
      </c>
      <c r="AV27" t="s">
        <v>169</v>
      </c>
      <c r="AX27" t="s">
        <v>170</v>
      </c>
    </row>
    <row r="28" spans="1:50" x14ac:dyDescent="0.25">
      <c r="A28" t="s">
        <v>171</v>
      </c>
      <c r="B28" t="s">
        <v>51</v>
      </c>
      <c r="C28">
        <v>0</v>
      </c>
      <c r="D28">
        <v>0</v>
      </c>
      <c r="F28">
        <v>0</v>
      </c>
      <c r="G28">
        <v>0</v>
      </c>
      <c r="H28">
        <v>0</v>
      </c>
      <c r="I28">
        <v>0</v>
      </c>
      <c r="J28">
        <v>701</v>
      </c>
      <c r="K28">
        <v>0</v>
      </c>
      <c r="M28">
        <v>0</v>
      </c>
      <c r="N28">
        <v>1</v>
      </c>
      <c r="O28">
        <v>1</v>
      </c>
      <c r="P28">
        <v>1</v>
      </c>
      <c r="Q28">
        <v>0</v>
      </c>
      <c r="U28" t="s">
        <v>93</v>
      </c>
      <c r="V28">
        <v>46</v>
      </c>
      <c r="W28" t="s">
        <v>54</v>
      </c>
      <c r="X28" t="s">
        <v>80</v>
      </c>
      <c r="Y28">
        <v>0</v>
      </c>
      <c r="Z28">
        <v>58.966999999999999</v>
      </c>
      <c r="AB28" t="s">
        <v>74</v>
      </c>
      <c r="AC28" t="s">
        <v>102</v>
      </c>
      <c r="AD28" t="s">
        <v>57</v>
      </c>
      <c r="AE28">
        <v>1</v>
      </c>
      <c r="AF28">
        <v>5</v>
      </c>
      <c r="AG28">
        <v>1</v>
      </c>
      <c r="AH28">
        <v>1.5</v>
      </c>
      <c r="AI28">
        <v>512</v>
      </c>
      <c r="AJ28">
        <v>512</v>
      </c>
      <c r="AK28">
        <v>196</v>
      </c>
      <c r="AL28" t="s">
        <v>81</v>
      </c>
      <c r="AM28">
        <v>1</v>
      </c>
      <c r="AN28" t="s">
        <v>51</v>
      </c>
      <c r="AO28" t="s">
        <v>67</v>
      </c>
      <c r="AP28" t="s">
        <v>114</v>
      </c>
      <c r="AQ28">
        <v>15</v>
      </c>
      <c r="AR28">
        <v>326</v>
      </c>
      <c r="AS28">
        <v>652</v>
      </c>
      <c r="AT28">
        <v>2.3199999999999998</v>
      </c>
      <c r="AU28">
        <v>4.9359999999999999</v>
      </c>
      <c r="AV28" t="s">
        <v>172</v>
      </c>
      <c r="AX28" t="s">
        <v>173</v>
      </c>
    </row>
    <row r="29" spans="1:50" x14ac:dyDescent="0.25">
      <c r="A29" t="s">
        <v>174</v>
      </c>
      <c r="B29" t="s">
        <v>51</v>
      </c>
      <c r="C29">
        <v>0</v>
      </c>
      <c r="D29">
        <v>1</v>
      </c>
      <c r="F29">
        <v>0</v>
      </c>
      <c r="G29">
        <v>0</v>
      </c>
      <c r="H29">
        <v>0</v>
      </c>
      <c r="I29">
        <v>0</v>
      </c>
      <c r="J29">
        <v>2052</v>
      </c>
      <c r="K29">
        <v>0</v>
      </c>
      <c r="M29">
        <v>0</v>
      </c>
      <c r="N29">
        <v>1</v>
      </c>
      <c r="O29">
        <v>1</v>
      </c>
      <c r="P29">
        <v>1</v>
      </c>
      <c r="Q29">
        <v>0</v>
      </c>
      <c r="T29" t="s">
        <v>64</v>
      </c>
      <c r="U29" t="s">
        <v>93</v>
      </c>
      <c r="V29">
        <v>35</v>
      </c>
      <c r="W29" t="s">
        <v>54</v>
      </c>
      <c r="X29" t="s">
        <v>80</v>
      </c>
      <c r="Y29">
        <v>0</v>
      </c>
      <c r="Z29">
        <v>56.698999999999998</v>
      </c>
      <c r="AB29" t="s">
        <v>74</v>
      </c>
      <c r="AD29" t="s">
        <v>57</v>
      </c>
      <c r="AE29">
        <v>1</v>
      </c>
      <c r="AF29">
        <v>4</v>
      </c>
      <c r="AG29">
        <v>1</v>
      </c>
      <c r="AH29">
        <v>1.5</v>
      </c>
      <c r="AI29">
        <v>512</v>
      </c>
      <c r="AJ29">
        <v>512</v>
      </c>
      <c r="AK29">
        <v>196</v>
      </c>
      <c r="AL29" t="s">
        <v>81</v>
      </c>
      <c r="AM29">
        <v>1</v>
      </c>
      <c r="AN29" t="s">
        <v>51</v>
      </c>
      <c r="AO29" t="s">
        <v>67</v>
      </c>
      <c r="AP29" t="s">
        <v>68</v>
      </c>
      <c r="AQ29">
        <v>15</v>
      </c>
      <c r="AR29">
        <v>295</v>
      </c>
      <c r="AS29">
        <v>591</v>
      </c>
      <c r="AT29">
        <v>2.3199999999999998</v>
      </c>
      <c r="AU29">
        <v>4.9359999999999999</v>
      </c>
      <c r="AV29" t="s">
        <v>175</v>
      </c>
      <c r="AX29" t="s">
        <v>176</v>
      </c>
    </row>
    <row r="30" spans="1:50" x14ac:dyDescent="0.25">
      <c r="A30" t="s">
        <v>177</v>
      </c>
      <c r="B30" t="s">
        <v>51</v>
      </c>
      <c r="C30">
        <v>0</v>
      </c>
      <c r="D30">
        <v>0</v>
      </c>
      <c r="F30">
        <v>0</v>
      </c>
      <c r="G30">
        <v>0</v>
      </c>
      <c r="H30">
        <v>0</v>
      </c>
      <c r="I30">
        <v>0</v>
      </c>
      <c r="J30">
        <v>1702</v>
      </c>
      <c r="K30">
        <v>0</v>
      </c>
      <c r="M30">
        <v>0</v>
      </c>
      <c r="N30">
        <v>0</v>
      </c>
      <c r="O30">
        <v>0</v>
      </c>
      <c r="P30">
        <v>0</v>
      </c>
      <c r="Q30">
        <v>0</v>
      </c>
      <c r="U30" t="s">
        <v>65</v>
      </c>
      <c r="V30">
        <v>38</v>
      </c>
      <c r="W30" t="s">
        <v>54</v>
      </c>
      <c r="X30" t="s">
        <v>80</v>
      </c>
      <c r="Y30">
        <v>0</v>
      </c>
      <c r="Z30">
        <v>67.132000000000005</v>
      </c>
      <c r="AB30" t="s">
        <v>74</v>
      </c>
      <c r="AD30" t="s">
        <v>57</v>
      </c>
      <c r="AE30">
        <v>1</v>
      </c>
      <c r="AF30">
        <v>5</v>
      </c>
      <c r="AG30">
        <v>1</v>
      </c>
      <c r="AH30">
        <v>3</v>
      </c>
      <c r="AI30">
        <v>512</v>
      </c>
      <c r="AJ30">
        <v>512</v>
      </c>
      <c r="AK30">
        <v>174</v>
      </c>
      <c r="AL30" t="s">
        <v>128</v>
      </c>
      <c r="AM30">
        <v>1</v>
      </c>
      <c r="AN30" t="s">
        <v>51</v>
      </c>
      <c r="AO30" t="s">
        <v>67</v>
      </c>
      <c r="AP30" t="s">
        <v>114</v>
      </c>
      <c r="AQ30">
        <v>15</v>
      </c>
      <c r="AR30">
        <v>1016</v>
      </c>
      <c r="AS30">
        <v>2033</v>
      </c>
      <c r="AT30">
        <v>2.4</v>
      </c>
      <c r="AU30">
        <v>5.5190000000000001</v>
      </c>
      <c r="AV30" t="s">
        <v>178</v>
      </c>
      <c r="AX30" t="s">
        <v>179</v>
      </c>
    </row>
    <row r="31" spans="1:50" x14ac:dyDescent="0.25">
      <c r="A31" t="s">
        <v>180</v>
      </c>
      <c r="B31" t="s">
        <v>51</v>
      </c>
      <c r="C31">
        <v>0</v>
      </c>
      <c r="D31">
        <v>1</v>
      </c>
      <c r="F31">
        <v>0</v>
      </c>
      <c r="G31">
        <v>0</v>
      </c>
      <c r="H31">
        <v>0</v>
      </c>
      <c r="I31">
        <v>0</v>
      </c>
      <c r="J31">
        <v>575</v>
      </c>
      <c r="K31">
        <v>0</v>
      </c>
      <c r="M31">
        <v>0</v>
      </c>
      <c r="N31">
        <v>1</v>
      </c>
      <c r="O31">
        <v>1</v>
      </c>
      <c r="P31">
        <v>1</v>
      </c>
      <c r="Q31">
        <v>0</v>
      </c>
      <c r="T31" t="s">
        <v>52</v>
      </c>
      <c r="U31" t="s">
        <v>93</v>
      </c>
      <c r="V31">
        <v>29</v>
      </c>
      <c r="W31" t="s">
        <v>54</v>
      </c>
      <c r="X31" t="s">
        <v>111</v>
      </c>
      <c r="Y31">
        <v>0</v>
      </c>
      <c r="Z31">
        <v>62.595755022600002</v>
      </c>
      <c r="AA31">
        <v>1.6002032024999999</v>
      </c>
      <c r="AB31" t="s">
        <v>74</v>
      </c>
      <c r="AD31" t="s">
        <v>57</v>
      </c>
      <c r="AE31">
        <v>1</v>
      </c>
      <c r="AF31">
        <v>4</v>
      </c>
      <c r="AG31">
        <v>1</v>
      </c>
      <c r="AH31">
        <v>1.5</v>
      </c>
      <c r="AI31">
        <v>448</v>
      </c>
      <c r="AJ31">
        <v>448</v>
      </c>
      <c r="AK31">
        <v>176</v>
      </c>
      <c r="AL31" t="s">
        <v>123</v>
      </c>
      <c r="AM31">
        <v>1.1000000238419001</v>
      </c>
      <c r="AN31" t="s">
        <v>51</v>
      </c>
      <c r="AO31" t="s">
        <v>59</v>
      </c>
      <c r="AP31" t="s">
        <v>60</v>
      </c>
      <c r="AQ31">
        <v>11</v>
      </c>
      <c r="AR31">
        <v>60</v>
      </c>
      <c r="AS31">
        <v>155</v>
      </c>
      <c r="AT31">
        <v>1.36</v>
      </c>
      <c r="AU31">
        <v>4.3099999999999996</v>
      </c>
      <c r="AV31" t="s">
        <v>181</v>
      </c>
      <c r="AX31" t="s">
        <v>182</v>
      </c>
    </row>
    <row r="32" spans="1:50" x14ac:dyDescent="0.25">
      <c r="A32" t="s">
        <v>183</v>
      </c>
      <c r="B32" t="s">
        <v>51</v>
      </c>
      <c r="C32">
        <v>0</v>
      </c>
      <c r="D32">
        <v>1</v>
      </c>
      <c r="F32">
        <v>0</v>
      </c>
      <c r="G32">
        <v>1</v>
      </c>
      <c r="H32">
        <v>0</v>
      </c>
      <c r="I32">
        <v>1</v>
      </c>
      <c r="J32">
        <v>888</v>
      </c>
      <c r="K32">
        <v>0</v>
      </c>
      <c r="M32">
        <v>0</v>
      </c>
      <c r="N32">
        <v>1</v>
      </c>
      <c r="O32">
        <v>1</v>
      </c>
      <c r="P32">
        <v>1</v>
      </c>
      <c r="Q32">
        <v>1</v>
      </c>
      <c r="T32" t="s">
        <v>52</v>
      </c>
      <c r="U32" t="s">
        <v>72</v>
      </c>
      <c r="V32">
        <v>36</v>
      </c>
      <c r="W32" t="s">
        <v>54</v>
      </c>
      <c r="X32" t="s">
        <v>80</v>
      </c>
      <c r="Y32">
        <v>0</v>
      </c>
      <c r="Z32">
        <v>68.492456582700001</v>
      </c>
      <c r="AA32">
        <v>1.6256032533333</v>
      </c>
      <c r="AB32" t="s">
        <v>94</v>
      </c>
      <c r="AD32" t="s">
        <v>57</v>
      </c>
      <c r="AE32">
        <v>1</v>
      </c>
      <c r="AF32">
        <v>4</v>
      </c>
      <c r="AG32">
        <v>1</v>
      </c>
      <c r="AH32">
        <v>3</v>
      </c>
      <c r="AI32">
        <v>448</v>
      </c>
      <c r="AJ32">
        <v>448</v>
      </c>
      <c r="AK32">
        <v>208</v>
      </c>
      <c r="AL32" t="s">
        <v>75</v>
      </c>
      <c r="AM32">
        <v>1</v>
      </c>
      <c r="AN32" t="s">
        <v>51</v>
      </c>
      <c r="AO32" t="s">
        <v>59</v>
      </c>
      <c r="AP32" t="s">
        <v>107</v>
      </c>
      <c r="AQ32">
        <v>11</v>
      </c>
      <c r="AR32">
        <v>33</v>
      </c>
      <c r="AS32">
        <v>88</v>
      </c>
      <c r="AT32">
        <v>1.44</v>
      </c>
      <c r="AU32">
        <v>3.77</v>
      </c>
      <c r="AV32" t="s">
        <v>184</v>
      </c>
      <c r="AX32" t="s">
        <v>185</v>
      </c>
    </row>
    <row r="33" spans="1:50" x14ac:dyDescent="0.25">
      <c r="A33" t="s">
        <v>186</v>
      </c>
      <c r="B33" t="s">
        <v>51</v>
      </c>
      <c r="C33">
        <v>0</v>
      </c>
      <c r="D33">
        <v>0</v>
      </c>
      <c r="F33">
        <v>0</v>
      </c>
      <c r="G33">
        <v>1</v>
      </c>
      <c r="H33">
        <v>0</v>
      </c>
      <c r="I33">
        <v>0</v>
      </c>
      <c r="J33">
        <v>199</v>
      </c>
      <c r="K33">
        <v>0</v>
      </c>
      <c r="M33">
        <v>0</v>
      </c>
      <c r="N33">
        <v>0</v>
      </c>
      <c r="O33">
        <v>0</v>
      </c>
      <c r="P33">
        <v>0</v>
      </c>
      <c r="Q33">
        <v>1</v>
      </c>
      <c r="T33" t="s">
        <v>64</v>
      </c>
      <c r="U33" t="s">
        <v>53</v>
      </c>
      <c r="V33">
        <v>60</v>
      </c>
      <c r="W33" t="s">
        <v>79</v>
      </c>
      <c r="X33" t="s">
        <v>80</v>
      </c>
      <c r="Y33">
        <v>0</v>
      </c>
      <c r="Z33">
        <v>61.689</v>
      </c>
      <c r="AB33" t="s">
        <v>74</v>
      </c>
      <c r="AD33" t="s">
        <v>57</v>
      </c>
      <c r="AE33">
        <v>1</v>
      </c>
      <c r="AF33">
        <v>4</v>
      </c>
      <c r="AG33">
        <v>1</v>
      </c>
      <c r="AH33">
        <v>3</v>
      </c>
      <c r="AI33">
        <v>512</v>
      </c>
      <c r="AJ33">
        <v>512</v>
      </c>
      <c r="AK33">
        <v>196</v>
      </c>
      <c r="AL33" t="s">
        <v>128</v>
      </c>
      <c r="AM33">
        <v>1</v>
      </c>
      <c r="AN33" t="s">
        <v>51</v>
      </c>
      <c r="AO33" t="s">
        <v>67</v>
      </c>
      <c r="AP33" t="s">
        <v>68</v>
      </c>
      <c r="AQ33">
        <v>15</v>
      </c>
      <c r="AR33">
        <v>395</v>
      </c>
      <c r="AS33">
        <v>791</v>
      </c>
      <c r="AT33">
        <v>2.3959999999999999</v>
      </c>
      <c r="AU33">
        <v>5.516</v>
      </c>
      <c r="AV33" t="s">
        <v>187</v>
      </c>
      <c r="AX33" t="s">
        <v>188</v>
      </c>
    </row>
    <row r="34" spans="1:50" x14ac:dyDescent="0.25">
      <c r="A34" t="s">
        <v>189</v>
      </c>
      <c r="B34" t="s">
        <v>51</v>
      </c>
      <c r="C34">
        <v>0</v>
      </c>
      <c r="D34">
        <v>0</v>
      </c>
      <c r="F34">
        <v>0</v>
      </c>
      <c r="G34">
        <v>0</v>
      </c>
      <c r="H34">
        <v>0</v>
      </c>
      <c r="I34">
        <v>1</v>
      </c>
      <c r="J34">
        <v>1984</v>
      </c>
      <c r="K34">
        <v>0</v>
      </c>
      <c r="M34">
        <v>0</v>
      </c>
      <c r="N34">
        <v>1</v>
      </c>
      <c r="O34">
        <v>1</v>
      </c>
      <c r="P34">
        <v>1</v>
      </c>
      <c r="Q34">
        <v>0</v>
      </c>
      <c r="U34" t="s">
        <v>93</v>
      </c>
      <c r="V34">
        <v>65</v>
      </c>
      <c r="W34" t="s">
        <v>79</v>
      </c>
      <c r="X34" t="s">
        <v>55</v>
      </c>
      <c r="Y34">
        <v>0</v>
      </c>
      <c r="Z34">
        <v>77.110712708999998</v>
      </c>
      <c r="AB34" t="s">
        <v>94</v>
      </c>
      <c r="AC34" t="s">
        <v>152</v>
      </c>
      <c r="AD34" t="s">
        <v>57</v>
      </c>
      <c r="AE34">
        <v>1</v>
      </c>
      <c r="AF34">
        <v>5</v>
      </c>
      <c r="AG34">
        <v>1</v>
      </c>
      <c r="AH34">
        <v>1.5</v>
      </c>
      <c r="AI34">
        <v>448</v>
      </c>
      <c r="AJ34">
        <v>448</v>
      </c>
      <c r="AK34">
        <v>160</v>
      </c>
      <c r="AL34" t="s">
        <v>123</v>
      </c>
      <c r="AM34">
        <v>1.1000000238419001</v>
      </c>
      <c r="AN34" t="s">
        <v>51</v>
      </c>
      <c r="AO34" t="s">
        <v>59</v>
      </c>
      <c r="AP34" t="s">
        <v>60</v>
      </c>
      <c r="AQ34">
        <v>11</v>
      </c>
      <c r="AR34">
        <v>50</v>
      </c>
      <c r="AS34">
        <v>134</v>
      </c>
      <c r="AT34">
        <v>1.39</v>
      </c>
      <c r="AU34">
        <v>4.12</v>
      </c>
      <c r="AV34" t="s">
        <v>190</v>
      </c>
      <c r="AX34" t="s">
        <v>191</v>
      </c>
    </row>
    <row r="35" spans="1:50" x14ac:dyDescent="0.25">
      <c r="A35" t="s">
        <v>192</v>
      </c>
      <c r="B35" t="s">
        <v>51</v>
      </c>
      <c r="C35">
        <v>0</v>
      </c>
      <c r="D35">
        <v>0</v>
      </c>
      <c r="F35">
        <v>0</v>
      </c>
      <c r="G35">
        <v>0</v>
      </c>
      <c r="H35">
        <v>0</v>
      </c>
      <c r="I35">
        <v>0</v>
      </c>
      <c r="J35">
        <v>1088</v>
      </c>
      <c r="K35">
        <v>0</v>
      </c>
      <c r="M35">
        <v>0</v>
      </c>
      <c r="N35">
        <v>0</v>
      </c>
      <c r="O35">
        <v>0</v>
      </c>
      <c r="P35">
        <v>0</v>
      </c>
      <c r="Q35">
        <v>0</v>
      </c>
      <c r="T35" t="s">
        <v>64</v>
      </c>
      <c r="U35" t="s">
        <v>65</v>
      </c>
      <c r="V35">
        <v>56</v>
      </c>
      <c r="W35" t="s">
        <v>54</v>
      </c>
      <c r="X35" t="s">
        <v>80</v>
      </c>
      <c r="Y35">
        <v>0</v>
      </c>
      <c r="AD35" t="s">
        <v>57</v>
      </c>
      <c r="AE35">
        <v>1</v>
      </c>
      <c r="AF35">
        <v>4</v>
      </c>
      <c r="AG35">
        <v>1</v>
      </c>
      <c r="AH35">
        <v>3</v>
      </c>
      <c r="AI35">
        <v>448</v>
      </c>
      <c r="AJ35">
        <v>448</v>
      </c>
      <c r="AK35">
        <v>208</v>
      </c>
      <c r="AL35" t="s">
        <v>75</v>
      </c>
      <c r="AM35">
        <v>1</v>
      </c>
      <c r="AN35" t="s">
        <v>51</v>
      </c>
      <c r="AO35" t="s">
        <v>59</v>
      </c>
      <c r="AP35" t="s">
        <v>107</v>
      </c>
      <c r="AQ35">
        <v>15</v>
      </c>
      <c r="AR35">
        <v>61</v>
      </c>
      <c r="AS35">
        <v>168</v>
      </c>
      <c r="AT35">
        <v>1.44</v>
      </c>
      <c r="AU35">
        <v>3.77</v>
      </c>
      <c r="AV35" t="s">
        <v>193</v>
      </c>
      <c r="AX35" t="s">
        <v>194</v>
      </c>
    </row>
    <row r="36" spans="1:50" x14ac:dyDescent="0.25">
      <c r="A36" t="s">
        <v>195</v>
      </c>
      <c r="B36" t="s">
        <v>51</v>
      </c>
      <c r="C36">
        <v>0</v>
      </c>
      <c r="D36">
        <v>1</v>
      </c>
      <c r="F36">
        <v>0</v>
      </c>
      <c r="G36">
        <v>0</v>
      </c>
      <c r="H36">
        <v>1</v>
      </c>
      <c r="I36">
        <v>1</v>
      </c>
      <c r="J36">
        <v>1416</v>
      </c>
      <c r="K36">
        <v>0</v>
      </c>
      <c r="M36">
        <v>0</v>
      </c>
      <c r="N36">
        <v>0</v>
      </c>
      <c r="O36">
        <v>0</v>
      </c>
      <c r="P36">
        <v>0</v>
      </c>
      <c r="Q36">
        <v>0</v>
      </c>
      <c r="U36" t="s">
        <v>65</v>
      </c>
      <c r="V36">
        <v>69</v>
      </c>
      <c r="W36" t="s">
        <v>79</v>
      </c>
      <c r="X36" t="s">
        <v>80</v>
      </c>
      <c r="Y36">
        <v>0</v>
      </c>
      <c r="Z36">
        <v>74.843000000000004</v>
      </c>
      <c r="AB36" t="s">
        <v>94</v>
      </c>
      <c r="AD36" t="s">
        <v>57</v>
      </c>
      <c r="AE36">
        <v>1</v>
      </c>
      <c r="AF36">
        <v>5</v>
      </c>
      <c r="AG36">
        <v>1</v>
      </c>
      <c r="AH36">
        <v>3</v>
      </c>
      <c r="AI36">
        <v>512</v>
      </c>
      <c r="AJ36">
        <v>512</v>
      </c>
      <c r="AK36">
        <v>148</v>
      </c>
      <c r="AL36" t="s">
        <v>196</v>
      </c>
      <c r="AM36">
        <v>1</v>
      </c>
      <c r="AN36" t="s">
        <v>51</v>
      </c>
      <c r="AO36" t="s">
        <v>67</v>
      </c>
      <c r="AP36" t="s">
        <v>114</v>
      </c>
      <c r="AQ36">
        <v>15</v>
      </c>
      <c r="AR36">
        <v>663</v>
      </c>
      <c r="AS36">
        <v>1326</v>
      </c>
      <c r="AT36">
        <v>2.464</v>
      </c>
      <c r="AU36">
        <v>5.9870000000000001</v>
      </c>
      <c r="AV36" t="s">
        <v>197</v>
      </c>
      <c r="AX36" t="s">
        <v>198</v>
      </c>
    </row>
    <row r="37" spans="1:50" x14ac:dyDescent="0.25">
      <c r="A37" t="s">
        <v>199</v>
      </c>
      <c r="B37" t="s">
        <v>51</v>
      </c>
      <c r="C37">
        <v>0</v>
      </c>
      <c r="D37">
        <v>1</v>
      </c>
      <c r="F37">
        <v>0</v>
      </c>
      <c r="G37">
        <v>0</v>
      </c>
      <c r="H37">
        <v>0</v>
      </c>
      <c r="I37">
        <v>1</v>
      </c>
      <c r="J37">
        <v>1609</v>
      </c>
      <c r="K37">
        <v>0</v>
      </c>
      <c r="M37">
        <v>0</v>
      </c>
      <c r="N37">
        <v>1</v>
      </c>
      <c r="O37">
        <v>1</v>
      </c>
      <c r="P37">
        <v>1</v>
      </c>
      <c r="Q37">
        <v>0</v>
      </c>
      <c r="U37" t="s">
        <v>93</v>
      </c>
      <c r="V37">
        <v>45</v>
      </c>
      <c r="W37" t="s">
        <v>79</v>
      </c>
      <c r="X37" t="s">
        <v>80</v>
      </c>
      <c r="Y37">
        <v>0</v>
      </c>
      <c r="Z37">
        <v>75.296342998200004</v>
      </c>
      <c r="AB37" t="s">
        <v>94</v>
      </c>
      <c r="AD37" t="s">
        <v>57</v>
      </c>
      <c r="AE37">
        <v>1</v>
      </c>
      <c r="AF37">
        <v>5</v>
      </c>
      <c r="AG37">
        <v>1</v>
      </c>
      <c r="AH37">
        <v>3</v>
      </c>
      <c r="AI37">
        <v>448</v>
      </c>
      <c r="AJ37">
        <v>448</v>
      </c>
      <c r="AK37">
        <v>160</v>
      </c>
      <c r="AL37" t="s">
        <v>200</v>
      </c>
      <c r="AM37">
        <v>1.1000000238419001</v>
      </c>
      <c r="AN37" t="s">
        <v>51</v>
      </c>
      <c r="AO37" t="s">
        <v>59</v>
      </c>
      <c r="AP37" t="s">
        <v>124</v>
      </c>
      <c r="AQ37">
        <v>11</v>
      </c>
      <c r="AR37">
        <v>65</v>
      </c>
      <c r="AS37">
        <v>177</v>
      </c>
      <c r="AT37">
        <v>1.49</v>
      </c>
      <c r="AU37">
        <v>4.09</v>
      </c>
      <c r="AV37" t="s">
        <v>201</v>
      </c>
      <c r="AX37" t="s">
        <v>202</v>
      </c>
    </row>
    <row r="38" spans="1:50" x14ac:dyDescent="0.25">
      <c r="A38" t="s">
        <v>203</v>
      </c>
      <c r="B38" t="s">
        <v>51</v>
      </c>
      <c r="C38">
        <v>0</v>
      </c>
      <c r="D38">
        <v>1</v>
      </c>
      <c r="F38">
        <v>0</v>
      </c>
      <c r="G38">
        <v>1</v>
      </c>
      <c r="H38">
        <v>0</v>
      </c>
      <c r="I38">
        <v>0</v>
      </c>
      <c r="J38">
        <v>1082</v>
      </c>
      <c r="K38">
        <v>0</v>
      </c>
      <c r="M38">
        <v>0</v>
      </c>
      <c r="N38">
        <v>1</v>
      </c>
      <c r="O38">
        <v>1</v>
      </c>
      <c r="P38">
        <v>1</v>
      </c>
      <c r="Q38">
        <v>1</v>
      </c>
      <c r="T38" t="s">
        <v>52</v>
      </c>
      <c r="U38" t="s">
        <v>72</v>
      </c>
      <c r="V38">
        <v>51</v>
      </c>
      <c r="W38" t="s">
        <v>54</v>
      </c>
      <c r="X38" t="s">
        <v>80</v>
      </c>
      <c r="Y38">
        <v>0</v>
      </c>
      <c r="Z38">
        <v>51.709536757800002</v>
      </c>
      <c r="AA38">
        <v>1.6256032533333</v>
      </c>
      <c r="AB38" t="s">
        <v>74</v>
      </c>
      <c r="AD38" t="s">
        <v>57</v>
      </c>
      <c r="AE38">
        <v>1</v>
      </c>
      <c r="AF38">
        <v>3</v>
      </c>
      <c r="AG38">
        <v>1</v>
      </c>
      <c r="AH38">
        <v>1.5</v>
      </c>
      <c r="AI38">
        <v>448</v>
      </c>
      <c r="AJ38">
        <v>448</v>
      </c>
      <c r="AK38">
        <v>144</v>
      </c>
      <c r="AL38" t="s">
        <v>123</v>
      </c>
      <c r="AM38">
        <v>1.0999999046325999</v>
      </c>
      <c r="AN38" t="s">
        <v>51</v>
      </c>
      <c r="AO38" t="s">
        <v>59</v>
      </c>
      <c r="AP38" t="s">
        <v>60</v>
      </c>
      <c r="AQ38">
        <v>11</v>
      </c>
      <c r="AR38">
        <v>63</v>
      </c>
      <c r="AS38">
        <v>161</v>
      </c>
      <c r="AT38">
        <v>1.36</v>
      </c>
      <c r="AU38">
        <v>4.3099999999999996</v>
      </c>
      <c r="AV38" t="s">
        <v>204</v>
      </c>
      <c r="AX38" t="s">
        <v>205</v>
      </c>
    </row>
    <row r="39" spans="1:50" x14ac:dyDescent="0.25">
      <c r="A39" t="s">
        <v>206</v>
      </c>
      <c r="B39" t="s">
        <v>51</v>
      </c>
      <c r="C39">
        <v>0</v>
      </c>
      <c r="D39">
        <v>0</v>
      </c>
      <c r="F39">
        <v>0</v>
      </c>
      <c r="G39">
        <v>0</v>
      </c>
      <c r="H39">
        <v>0</v>
      </c>
      <c r="I39">
        <v>0</v>
      </c>
      <c r="J39">
        <v>1671</v>
      </c>
      <c r="K39">
        <v>0</v>
      </c>
      <c r="M39">
        <v>0</v>
      </c>
      <c r="N39">
        <v>1</v>
      </c>
      <c r="O39">
        <v>1</v>
      </c>
      <c r="P39">
        <v>1</v>
      </c>
      <c r="Q39">
        <v>0</v>
      </c>
      <c r="T39" t="s">
        <v>52</v>
      </c>
      <c r="U39" t="s">
        <v>93</v>
      </c>
      <c r="V39">
        <v>71</v>
      </c>
      <c r="W39" t="s">
        <v>79</v>
      </c>
      <c r="X39" t="s">
        <v>55</v>
      </c>
      <c r="Y39">
        <v>0</v>
      </c>
      <c r="Z39">
        <v>85.728968835299995</v>
      </c>
      <c r="AA39">
        <v>1.7272034566667001</v>
      </c>
      <c r="AB39" t="s">
        <v>94</v>
      </c>
      <c r="AD39" t="s">
        <v>57</v>
      </c>
      <c r="AE39">
        <v>1</v>
      </c>
      <c r="AF39">
        <v>4</v>
      </c>
      <c r="AG39">
        <v>1</v>
      </c>
      <c r="AH39">
        <v>1.5</v>
      </c>
      <c r="AI39">
        <v>448</v>
      </c>
      <c r="AJ39">
        <v>448</v>
      </c>
      <c r="AK39">
        <v>176</v>
      </c>
      <c r="AL39" t="s">
        <v>58</v>
      </c>
      <c r="AM39">
        <v>1</v>
      </c>
      <c r="AN39" t="s">
        <v>51</v>
      </c>
      <c r="AO39" t="s">
        <v>59</v>
      </c>
      <c r="AP39" t="s">
        <v>60</v>
      </c>
      <c r="AQ39">
        <v>11</v>
      </c>
      <c r="AR39">
        <v>120</v>
      </c>
      <c r="AS39">
        <v>336</v>
      </c>
      <c r="AT39">
        <v>1.33</v>
      </c>
      <c r="AU39">
        <v>4.3099999999999996</v>
      </c>
      <c r="AV39" t="s">
        <v>207</v>
      </c>
      <c r="AX39" t="s">
        <v>208</v>
      </c>
    </row>
    <row r="40" spans="1:50" x14ac:dyDescent="0.25">
      <c r="A40" t="s">
        <v>209</v>
      </c>
      <c r="B40" t="s">
        <v>51</v>
      </c>
      <c r="C40">
        <v>0</v>
      </c>
      <c r="D40">
        <v>0</v>
      </c>
      <c r="F40">
        <v>0</v>
      </c>
      <c r="G40">
        <v>1</v>
      </c>
      <c r="H40">
        <v>1</v>
      </c>
      <c r="I40">
        <v>0</v>
      </c>
      <c r="J40">
        <v>1406</v>
      </c>
      <c r="K40">
        <v>0</v>
      </c>
      <c r="M40">
        <v>0</v>
      </c>
      <c r="N40">
        <v>0</v>
      </c>
      <c r="O40">
        <v>0</v>
      </c>
      <c r="P40">
        <v>0</v>
      </c>
      <c r="Q40">
        <v>1</v>
      </c>
      <c r="U40" t="s">
        <v>53</v>
      </c>
      <c r="V40">
        <v>29</v>
      </c>
      <c r="W40" t="s">
        <v>54</v>
      </c>
      <c r="X40" t="s">
        <v>80</v>
      </c>
      <c r="Y40">
        <v>0</v>
      </c>
      <c r="Z40">
        <v>54.430999999999997</v>
      </c>
      <c r="AB40" t="s">
        <v>74</v>
      </c>
      <c r="AC40" t="s">
        <v>112</v>
      </c>
      <c r="AD40" t="s">
        <v>57</v>
      </c>
      <c r="AE40">
        <v>1</v>
      </c>
      <c r="AF40">
        <v>5</v>
      </c>
      <c r="AG40">
        <v>1</v>
      </c>
      <c r="AH40">
        <v>3</v>
      </c>
      <c r="AI40">
        <v>512</v>
      </c>
      <c r="AJ40">
        <v>512</v>
      </c>
      <c r="AK40">
        <v>156</v>
      </c>
      <c r="AL40" t="s">
        <v>153</v>
      </c>
      <c r="AM40">
        <v>1</v>
      </c>
      <c r="AN40" t="s">
        <v>51</v>
      </c>
      <c r="AO40" t="s">
        <v>67</v>
      </c>
      <c r="AP40" t="s">
        <v>114</v>
      </c>
      <c r="AQ40">
        <v>15</v>
      </c>
      <c r="AR40">
        <v>642</v>
      </c>
      <c r="AS40">
        <v>1284</v>
      </c>
      <c r="AT40">
        <v>2.4319999999999999</v>
      </c>
      <c r="AU40">
        <v>5.8140000000000001</v>
      </c>
      <c r="AV40" t="s">
        <v>210</v>
      </c>
      <c r="AX40" t="s">
        <v>211</v>
      </c>
    </row>
    <row r="41" spans="1:50" x14ac:dyDescent="0.25">
      <c r="A41" t="s">
        <v>212</v>
      </c>
      <c r="B41" t="s">
        <v>51</v>
      </c>
      <c r="C41">
        <v>0</v>
      </c>
      <c r="D41">
        <v>1</v>
      </c>
      <c r="F41">
        <v>0</v>
      </c>
      <c r="G41">
        <v>0</v>
      </c>
      <c r="H41">
        <v>0</v>
      </c>
      <c r="I41">
        <v>0</v>
      </c>
      <c r="J41">
        <v>1632</v>
      </c>
      <c r="K41">
        <v>0</v>
      </c>
      <c r="M41">
        <v>0</v>
      </c>
      <c r="N41">
        <v>0</v>
      </c>
      <c r="O41">
        <v>0</v>
      </c>
      <c r="P41">
        <v>0</v>
      </c>
      <c r="Q41">
        <v>0</v>
      </c>
      <c r="U41" t="s">
        <v>65</v>
      </c>
      <c r="V41">
        <v>65</v>
      </c>
      <c r="W41" t="s">
        <v>79</v>
      </c>
      <c r="X41" t="s">
        <v>55</v>
      </c>
      <c r="Y41">
        <v>0</v>
      </c>
      <c r="Z41">
        <v>102.05800000000001</v>
      </c>
      <c r="AB41" t="s">
        <v>56</v>
      </c>
      <c r="AC41" t="s">
        <v>213</v>
      </c>
      <c r="AD41" t="s">
        <v>57</v>
      </c>
      <c r="AE41">
        <v>1</v>
      </c>
      <c r="AF41">
        <v>5</v>
      </c>
      <c r="AG41">
        <v>1</v>
      </c>
      <c r="AH41">
        <v>3</v>
      </c>
      <c r="AI41">
        <v>512</v>
      </c>
      <c r="AJ41">
        <v>512</v>
      </c>
      <c r="AK41">
        <v>196</v>
      </c>
      <c r="AL41" t="s">
        <v>214</v>
      </c>
      <c r="AM41">
        <v>1</v>
      </c>
      <c r="AN41" t="s">
        <v>51</v>
      </c>
      <c r="AO41" t="s">
        <v>67</v>
      </c>
      <c r="AP41" t="s">
        <v>114</v>
      </c>
      <c r="AQ41">
        <v>15</v>
      </c>
      <c r="AR41">
        <v>1809</v>
      </c>
      <c r="AS41">
        <v>3618</v>
      </c>
      <c r="AT41">
        <v>2.3479999999999999</v>
      </c>
      <c r="AU41">
        <v>5.14</v>
      </c>
      <c r="AV41" t="s">
        <v>215</v>
      </c>
      <c r="AX41" t="s">
        <v>216</v>
      </c>
    </row>
    <row r="42" spans="1:50" x14ac:dyDescent="0.25">
      <c r="A42" t="s">
        <v>217</v>
      </c>
      <c r="B42" t="s">
        <v>51</v>
      </c>
      <c r="C42">
        <v>0</v>
      </c>
      <c r="D42">
        <v>1</v>
      </c>
      <c r="F42">
        <v>0</v>
      </c>
      <c r="G42">
        <v>0</v>
      </c>
      <c r="H42">
        <v>0</v>
      </c>
      <c r="I42">
        <v>0</v>
      </c>
      <c r="J42">
        <v>2198</v>
      </c>
      <c r="K42">
        <v>0</v>
      </c>
      <c r="M42">
        <v>0</v>
      </c>
      <c r="N42">
        <v>1</v>
      </c>
      <c r="O42">
        <v>1</v>
      </c>
      <c r="P42">
        <v>1</v>
      </c>
      <c r="Q42">
        <v>0</v>
      </c>
      <c r="S42">
        <v>7</v>
      </c>
      <c r="T42" t="s">
        <v>52</v>
      </c>
      <c r="U42" t="s">
        <v>93</v>
      </c>
      <c r="V42">
        <v>49</v>
      </c>
      <c r="W42" t="s">
        <v>54</v>
      </c>
      <c r="X42" t="s">
        <v>80</v>
      </c>
      <c r="Y42">
        <v>0</v>
      </c>
      <c r="Z42">
        <v>81.647000000000006</v>
      </c>
      <c r="AB42" t="s">
        <v>94</v>
      </c>
      <c r="AD42" t="s">
        <v>57</v>
      </c>
      <c r="AE42">
        <v>1</v>
      </c>
      <c r="AF42">
        <v>4</v>
      </c>
      <c r="AG42">
        <v>1</v>
      </c>
      <c r="AH42">
        <v>3</v>
      </c>
      <c r="AI42">
        <v>512</v>
      </c>
      <c r="AJ42">
        <v>512</v>
      </c>
      <c r="AK42">
        <v>182</v>
      </c>
      <c r="AL42" t="s">
        <v>119</v>
      </c>
      <c r="AM42">
        <v>1</v>
      </c>
      <c r="AN42" t="s">
        <v>51</v>
      </c>
      <c r="AO42" t="s">
        <v>67</v>
      </c>
      <c r="AP42" t="s">
        <v>68</v>
      </c>
      <c r="AQ42">
        <v>15</v>
      </c>
      <c r="AR42">
        <v>800</v>
      </c>
      <c r="AS42">
        <v>1600</v>
      </c>
      <c r="AT42">
        <v>2.3879999999999999</v>
      </c>
      <c r="AU42">
        <v>5.383</v>
      </c>
      <c r="AV42" t="s">
        <v>218</v>
      </c>
      <c r="AX42" t="s">
        <v>219</v>
      </c>
    </row>
    <row r="43" spans="1:50" x14ac:dyDescent="0.25">
      <c r="A43" t="s">
        <v>220</v>
      </c>
      <c r="B43" t="s">
        <v>51</v>
      </c>
      <c r="C43">
        <v>0</v>
      </c>
      <c r="D43">
        <v>0</v>
      </c>
      <c r="F43">
        <v>0</v>
      </c>
      <c r="G43">
        <v>1</v>
      </c>
      <c r="H43">
        <v>1</v>
      </c>
      <c r="I43">
        <v>0</v>
      </c>
      <c r="J43">
        <v>748</v>
      </c>
      <c r="K43">
        <v>0</v>
      </c>
      <c r="M43">
        <v>0</v>
      </c>
      <c r="N43">
        <v>1</v>
      </c>
      <c r="O43">
        <v>1</v>
      </c>
      <c r="P43">
        <v>0</v>
      </c>
      <c r="Q43">
        <v>1</v>
      </c>
      <c r="U43" t="s">
        <v>72</v>
      </c>
      <c r="V43">
        <v>36</v>
      </c>
      <c r="W43" t="s">
        <v>54</v>
      </c>
      <c r="X43" t="s">
        <v>80</v>
      </c>
      <c r="Y43">
        <v>0</v>
      </c>
      <c r="Z43">
        <v>58.966999999999999</v>
      </c>
      <c r="AB43" t="s">
        <v>74</v>
      </c>
      <c r="AC43" t="s">
        <v>102</v>
      </c>
      <c r="AD43" t="s">
        <v>57</v>
      </c>
      <c r="AE43">
        <v>1</v>
      </c>
      <c r="AF43">
        <v>5</v>
      </c>
      <c r="AG43">
        <v>1</v>
      </c>
      <c r="AH43">
        <v>3</v>
      </c>
      <c r="AI43">
        <v>512</v>
      </c>
      <c r="AJ43">
        <v>512</v>
      </c>
      <c r="AK43">
        <v>176</v>
      </c>
      <c r="AL43" t="s">
        <v>81</v>
      </c>
      <c r="AM43">
        <v>1</v>
      </c>
      <c r="AN43" t="s">
        <v>51</v>
      </c>
      <c r="AO43" t="s">
        <v>67</v>
      </c>
      <c r="AP43" t="s">
        <v>114</v>
      </c>
      <c r="AQ43">
        <v>15</v>
      </c>
      <c r="AR43">
        <v>768</v>
      </c>
      <c r="AS43">
        <v>1537</v>
      </c>
      <c r="AT43">
        <v>2.4159999999999999</v>
      </c>
      <c r="AU43">
        <v>5.6609999999999996</v>
      </c>
      <c r="AV43" t="s">
        <v>221</v>
      </c>
      <c r="AX43" t="s">
        <v>222</v>
      </c>
    </row>
    <row r="44" spans="1:50" x14ac:dyDescent="0.25">
      <c r="A44" t="s">
        <v>223</v>
      </c>
      <c r="B44" t="s">
        <v>51</v>
      </c>
      <c r="C44">
        <v>0</v>
      </c>
      <c r="D44">
        <v>1</v>
      </c>
      <c r="F44">
        <v>0</v>
      </c>
      <c r="G44">
        <v>1</v>
      </c>
      <c r="H44">
        <v>1</v>
      </c>
      <c r="I44">
        <v>1</v>
      </c>
      <c r="J44">
        <v>895</v>
      </c>
      <c r="K44">
        <v>0</v>
      </c>
      <c r="M44">
        <v>0</v>
      </c>
      <c r="N44">
        <v>1</v>
      </c>
      <c r="O44">
        <v>1</v>
      </c>
      <c r="P44">
        <v>0</v>
      </c>
      <c r="Q44">
        <v>1</v>
      </c>
      <c r="T44" t="s">
        <v>52</v>
      </c>
      <c r="U44" t="s">
        <v>72</v>
      </c>
      <c r="V44">
        <v>45</v>
      </c>
      <c r="W44" t="s">
        <v>54</v>
      </c>
      <c r="X44" t="s">
        <v>80</v>
      </c>
      <c r="Y44">
        <v>0</v>
      </c>
      <c r="Z44">
        <v>77.110712708999998</v>
      </c>
      <c r="AA44">
        <v>1.6510033041667</v>
      </c>
      <c r="AB44" t="s">
        <v>94</v>
      </c>
      <c r="AD44" t="s">
        <v>57</v>
      </c>
      <c r="AE44">
        <v>1</v>
      </c>
      <c r="AF44">
        <v>4</v>
      </c>
      <c r="AG44">
        <v>1</v>
      </c>
      <c r="AH44">
        <v>1.5</v>
      </c>
      <c r="AI44">
        <v>448</v>
      </c>
      <c r="AJ44">
        <v>448</v>
      </c>
      <c r="AK44">
        <v>176</v>
      </c>
      <c r="AL44" t="s">
        <v>123</v>
      </c>
      <c r="AM44">
        <v>1.1000000238419001</v>
      </c>
      <c r="AN44" t="s">
        <v>51</v>
      </c>
      <c r="AO44" t="s">
        <v>59</v>
      </c>
      <c r="AP44" t="s">
        <v>60</v>
      </c>
      <c r="AQ44">
        <v>11</v>
      </c>
      <c r="AR44">
        <v>64</v>
      </c>
      <c r="AS44">
        <v>164</v>
      </c>
      <c r="AT44">
        <v>1.36</v>
      </c>
      <c r="AU44">
        <v>4.3099999999999996</v>
      </c>
      <c r="AV44" t="s">
        <v>224</v>
      </c>
      <c r="AX44" t="s">
        <v>225</v>
      </c>
    </row>
    <row r="45" spans="1:50" x14ac:dyDescent="0.25">
      <c r="A45" t="s">
        <v>226</v>
      </c>
      <c r="B45" t="s">
        <v>51</v>
      </c>
      <c r="C45">
        <v>0</v>
      </c>
      <c r="D45">
        <v>0</v>
      </c>
      <c r="F45">
        <v>0</v>
      </c>
      <c r="G45">
        <v>0</v>
      </c>
      <c r="H45">
        <v>0</v>
      </c>
      <c r="I45">
        <v>0</v>
      </c>
      <c r="J45">
        <v>2074</v>
      </c>
      <c r="K45">
        <v>0</v>
      </c>
      <c r="M45">
        <v>0</v>
      </c>
      <c r="N45">
        <v>0</v>
      </c>
      <c r="O45">
        <v>0</v>
      </c>
      <c r="P45">
        <v>0</v>
      </c>
      <c r="Q45">
        <v>0</v>
      </c>
      <c r="T45" t="s">
        <v>52</v>
      </c>
      <c r="U45" t="s">
        <v>65</v>
      </c>
      <c r="V45">
        <v>32</v>
      </c>
      <c r="W45" t="s">
        <v>54</v>
      </c>
      <c r="X45" t="s">
        <v>111</v>
      </c>
      <c r="Y45">
        <v>0</v>
      </c>
      <c r="AD45" t="s">
        <v>57</v>
      </c>
      <c r="AE45">
        <v>1</v>
      </c>
      <c r="AF45">
        <v>4</v>
      </c>
      <c r="AG45">
        <v>1</v>
      </c>
      <c r="AH45">
        <v>3</v>
      </c>
      <c r="AI45">
        <v>512</v>
      </c>
      <c r="AJ45">
        <v>512</v>
      </c>
      <c r="AK45">
        <v>182</v>
      </c>
      <c r="AL45" t="s">
        <v>81</v>
      </c>
      <c r="AM45">
        <v>1.1000000000000001</v>
      </c>
      <c r="AN45" t="s">
        <v>51</v>
      </c>
      <c r="AO45" t="s">
        <v>67</v>
      </c>
      <c r="AP45" t="s">
        <v>68</v>
      </c>
      <c r="AQ45">
        <v>15</v>
      </c>
      <c r="AR45">
        <v>538</v>
      </c>
      <c r="AS45">
        <v>1076</v>
      </c>
      <c r="AT45">
        <v>2.4159999999999999</v>
      </c>
      <c r="AU45">
        <v>5.5620000000000003</v>
      </c>
      <c r="AV45" t="s">
        <v>227</v>
      </c>
      <c r="AX45" t="s">
        <v>228</v>
      </c>
    </row>
    <row r="46" spans="1:50" x14ac:dyDescent="0.25">
      <c r="A46" t="s">
        <v>229</v>
      </c>
      <c r="B46" t="s">
        <v>51</v>
      </c>
      <c r="C46">
        <v>0</v>
      </c>
      <c r="D46">
        <v>1</v>
      </c>
      <c r="F46">
        <v>0</v>
      </c>
      <c r="G46">
        <v>1</v>
      </c>
      <c r="H46">
        <v>0</v>
      </c>
      <c r="I46">
        <v>1</v>
      </c>
      <c r="J46">
        <v>1084</v>
      </c>
      <c r="K46">
        <v>1135</v>
      </c>
      <c r="M46">
        <v>1760</v>
      </c>
      <c r="N46">
        <v>1</v>
      </c>
      <c r="O46">
        <v>1</v>
      </c>
      <c r="P46">
        <v>1</v>
      </c>
      <c r="Q46">
        <v>1</v>
      </c>
      <c r="U46" t="s">
        <v>72</v>
      </c>
      <c r="V46">
        <v>56</v>
      </c>
      <c r="W46" t="s">
        <v>79</v>
      </c>
      <c r="X46" t="s">
        <v>80</v>
      </c>
      <c r="Y46">
        <v>0</v>
      </c>
      <c r="Z46">
        <v>65.770902016500003</v>
      </c>
      <c r="AB46" t="s">
        <v>74</v>
      </c>
      <c r="AC46" t="s">
        <v>102</v>
      </c>
      <c r="AD46" t="s">
        <v>57</v>
      </c>
      <c r="AE46">
        <v>1</v>
      </c>
      <c r="AF46">
        <v>5</v>
      </c>
      <c r="AG46">
        <v>1</v>
      </c>
      <c r="AH46">
        <v>3</v>
      </c>
      <c r="AI46">
        <v>448</v>
      </c>
      <c r="AJ46">
        <v>448</v>
      </c>
      <c r="AK46">
        <v>160</v>
      </c>
      <c r="AL46" t="s">
        <v>230</v>
      </c>
      <c r="AM46">
        <v>1.1000000238419001</v>
      </c>
      <c r="AN46" t="s">
        <v>51</v>
      </c>
      <c r="AO46" t="s">
        <v>59</v>
      </c>
      <c r="AP46" t="s">
        <v>124</v>
      </c>
      <c r="AQ46">
        <v>11</v>
      </c>
      <c r="AR46">
        <v>64</v>
      </c>
      <c r="AS46">
        <v>174</v>
      </c>
      <c r="AT46">
        <v>1.47</v>
      </c>
      <c r="AU46">
        <v>4.09</v>
      </c>
      <c r="AV46" t="s">
        <v>231</v>
      </c>
      <c r="AX46" t="s">
        <v>232</v>
      </c>
    </row>
    <row r="47" spans="1:50" x14ac:dyDescent="0.25">
      <c r="A47" t="s">
        <v>233</v>
      </c>
      <c r="B47" t="s">
        <v>51</v>
      </c>
      <c r="C47">
        <v>0</v>
      </c>
      <c r="D47">
        <v>0</v>
      </c>
      <c r="F47">
        <v>0</v>
      </c>
      <c r="G47">
        <v>0</v>
      </c>
      <c r="H47">
        <v>0</v>
      </c>
      <c r="I47">
        <v>0</v>
      </c>
      <c r="J47">
        <v>1423</v>
      </c>
      <c r="K47">
        <v>0</v>
      </c>
      <c r="M47">
        <v>0</v>
      </c>
      <c r="N47">
        <v>1</v>
      </c>
      <c r="O47">
        <v>1</v>
      </c>
      <c r="P47">
        <v>1</v>
      </c>
      <c r="Q47">
        <v>0</v>
      </c>
      <c r="T47" t="s">
        <v>64</v>
      </c>
      <c r="U47" t="s">
        <v>93</v>
      </c>
      <c r="V47">
        <v>46</v>
      </c>
      <c r="X47" t="s">
        <v>80</v>
      </c>
      <c r="Y47">
        <v>0</v>
      </c>
      <c r="Z47">
        <v>82.553821841399994</v>
      </c>
      <c r="AA47">
        <v>1.6510033041667</v>
      </c>
      <c r="AB47" t="s">
        <v>118</v>
      </c>
      <c r="AD47" t="s">
        <v>57</v>
      </c>
      <c r="AE47">
        <v>1</v>
      </c>
      <c r="AF47">
        <v>5</v>
      </c>
      <c r="AG47">
        <v>1</v>
      </c>
      <c r="AH47">
        <v>3</v>
      </c>
      <c r="AI47">
        <v>448</v>
      </c>
      <c r="AJ47">
        <v>448</v>
      </c>
      <c r="AK47">
        <v>60</v>
      </c>
      <c r="AL47" t="s">
        <v>58</v>
      </c>
      <c r="AM47">
        <v>2.5</v>
      </c>
      <c r="AN47" t="s">
        <v>51</v>
      </c>
      <c r="AO47" t="s">
        <v>59</v>
      </c>
      <c r="AP47" t="s">
        <v>124</v>
      </c>
      <c r="AQ47">
        <v>11</v>
      </c>
      <c r="AR47">
        <v>223</v>
      </c>
      <c r="AS47">
        <v>540</v>
      </c>
      <c r="AT47">
        <v>1.51</v>
      </c>
      <c r="AU47">
        <v>4.01</v>
      </c>
      <c r="AV47" t="s">
        <v>234</v>
      </c>
      <c r="AX47" t="s">
        <v>235</v>
      </c>
    </row>
    <row r="48" spans="1:50" x14ac:dyDescent="0.25">
      <c r="A48" t="s">
        <v>236</v>
      </c>
      <c r="B48" t="s">
        <v>51</v>
      </c>
      <c r="C48">
        <v>0</v>
      </c>
      <c r="D48">
        <v>1</v>
      </c>
      <c r="F48">
        <v>0</v>
      </c>
      <c r="G48">
        <v>0</v>
      </c>
      <c r="H48">
        <v>0</v>
      </c>
      <c r="I48">
        <v>0</v>
      </c>
      <c r="J48">
        <v>1584</v>
      </c>
      <c r="K48">
        <v>0</v>
      </c>
      <c r="M48">
        <v>0</v>
      </c>
      <c r="N48">
        <v>1</v>
      </c>
      <c r="O48">
        <v>1</v>
      </c>
      <c r="P48">
        <v>0</v>
      </c>
      <c r="Q48">
        <v>0</v>
      </c>
      <c r="U48" t="s">
        <v>93</v>
      </c>
      <c r="V48">
        <v>41</v>
      </c>
      <c r="W48" t="s">
        <v>54</v>
      </c>
      <c r="X48" t="s">
        <v>55</v>
      </c>
      <c r="Y48">
        <v>0</v>
      </c>
      <c r="Z48">
        <v>77.111000000000004</v>
      </c>
      <c r="AB48" t="s">
        <v>94</v>
      </c>
      <c r="AC48" t="s">
        <v>112</v>
      </c>
      <c r="AD48" t="s">
        <v>57</v>
      </c>
      <c r="AE48">
        <v>1</v>
      </c>
      <c r="AF48">
        <v>5</v>
      </c>
      <c r="AG48">
        <v>1</v>
      </c>
      <c r="AH48">
        <v>1.5</v>
      </c>
      <c r="AI48">
        <v>512</v>
      </c>
      <c r="AJ48">
        <v>512</v>
      </c>
      <c r="AK48">
        <v>160</v>
      </c>
      <c r="AL48" t="s">
        <v>81</v>
      </c>
      <c r="AM48">
        <v>1</v>
      </c>
      <c r="AN48" t="s">
        <v>51</v>
      </c>
      <c r="AO48" t="s">
        <v>67</v>
      </c>
      <c r="AP48" t="s">
        <v>114</v>
      </c>
      <c r="AQ48">
        <v>15</v>
      </c>
      <c r="AR48">
        <v>378</v>
      </c>
      <c r="AS48">
        <v>757</v>
      </c>
      <c r="AT48">
        <v>2.3119999999999998</v>
      </c>
      <c r="AU48">
        <v>4.9279999999999999</v>
      </c>
      <c r="AV48" t="s">
        <v>237</v>
      </c>
      <c r="AX48" t="s">
        <v>238</v>
      </c>
    </row>
    <row r="49" spans="1:50" x14ac:dyDescent="0.25">
      <c r="A49" t="s">
        <v>239</v>
      </c>
      <c r="B49" t="s">
        <v>51</v>
      </c>
      <c r="C49">
        <v>0</v>
      </c>
      <c r="D49">
        <v>1</v>
      </c>
      <c r="F49">
        <v>0</v>
      </c>
      <c r="G49">
        <v>0</v>
      </c>
      <c r="H49">
        <v>0</v>
      </c>
      <c r="I49">
        <v>0</v>
      </c>
      <c r="K49">
        <v>331</v>
      </c>
      <c r="M49">
        <v>348</v>
      </c>
      <c r="N49">
        <v>0</v>
      </c>
      <c r="O49">
        <v>0</v>
      </c>
      <c r="P49">
        <v>0</v>
      </c>
      <c r="Q49">
        <v>0</v>
      </c>
      <c r="U49" t="s">
        <v>65</v>
      </c>
      <c r="V49">
        <v>51</v>
      </c>
      <c r="W49" t="s">
        <v>79</v>
      </c>
      <c r="X49" t="s">
        <v>55</v>
      </c>
      <c r="Y49">
        <v>0</v>
      </c>
      <c r="Z49">
        <v>107.048</v>
      </c>
      <c r="AB49" t="s">
        <v>56</v>
      </c>
      <c r="AC49" t="s">
        <v>152</v>
      </c>
      <c r="AD49" t="s">
        <v>57</v>
      </c>
      <c r="AE49">
        <v>1</v>
      </c>
      <c r="AF49">
        <v>5</v>
      </c>
      <c r="AG49">
        <v>1</v>
      </c>
      <c r="AH49">
        <v>3</v>
      </c>
      <c r="AI49">
        <v>512</v>
      </c>
      <c r="AJ49">
        <v>512</v>
      </c>
      <c r="AK49">
        <v>188</v>
      </c>
      <c r="AL49" t="s">
        <v>240</v>
      </c>
      <c r="AM49">
        <v>1</v>
      </c>
      <c r="AN49" t="s">
        <v>51</v>
      </c>
      <c r="AO49" t="s">
        <v>67</v>
      </c>
      <c r="AP49" t="s">
        <v>114</v>
      </c>
      <c r="AQ49">
        <v>15</v>
      </c>
      <c r="AR49">
        <v>1920</v>
      </c>
      <c r="AS49">
        <v>3840</v>
      </c>
      <c r="AT49">
        <v>2.38</v>
      </c>
      <c r="AU49">
        <v>5.2329999999999997</v>
      </c>
      <c r="AV49" t="s">
        <v>241</v>
      </c>
      <c r="AX49" t="s">
        <v>242</v>
      </c>
    </row>
    <row r="50" spans="1:50" x14ac:dyDescent="0.25">
      <c r="A50" t="s">
        <v>243</v>
      </c>
      <c r="B50" t="s">
        <v>51</v>
      </c>
      <c r="C50">
        <v>0</v>
      </c>
      <c r="D50">
        <v>0</v>
      </c>
      <c r="F50">
        <v>0</v>
      </c>
      <c r="G50">
        <v>0</v>
      </c>
      <c r="H50">
        <v>0</v>
      </c>
      <c r="I50">
        <v>0</v>
      </c>
      <c r="J50">
        <v>2300</v>
      </c>
      <c r="K50">
        <v>0</v>
      </c>
      <c r="M50">
        <v>0</v>
      </c>
      <c r="N50">
        <v>0</v>
      </c>
      <c r="O50">
        <v>0</v>
      </c>
      <c r="P50">
        <v>0</v>
      </c>
      <c r="Q50">
        <v>0</v>
      </c>
      <c r="T50" t="s">
        <v>64</v>
      </c>
      <c r="U50" t="s">
        <v>65</v>
      </c>
      <c r="V50">
        <v>52</v>
      </c>
      <c r="W50" t="s">
        <v>54</v>
      </c>
      <c r="X50" t="s">
        <v>80</v>
      </c>
      <c r="Y50">
        <v>0</v>
      </c>
      <c r="AD50" t="s">
        <v>57</v>
      </c>
      <c r="AE50">
        <v>1</v>
      </c>
      <c r="AF50">
        <v>4</v>
      </c>
      <c r="AG50">
        <v>1</v>
      </c>
      <c r="AH50">
        <v>3</v>
      </c>
      <c r="AI50">
        <v>448</v>
      </c>
      <c r="AJ50">
        <v>448</v>
      </c>
      <c r="AK50">
        <v>128</v>
      </c>
      <c r="AL50" t="s">
        <v>123</v>
      </c>
      <c r="AM50">
        <v>1.3999999761580999</v>
      </c>
      <c r="AN50" t="s">
        <v>51</v>
      </c>
      <c r="AO50" t="s">
        <v>59</v>
      </c>
      <c r="AP50" t="s">
        <v>124</v>
      </c>
      <c r="AQ50">
        <v>15</v>
      </c>
      <c r="AR50">
        <v>111</v>
      </c>
      <c r="AS50">
        <v>304</v>
      </c>
      <c r="AT50">
        <v>1.44</v>
      </c>
      <c r="AU50">
        <v>3.7</v>
      </c>
      <c r="AV50" t="s">
        <v>244</v>
      </c>
      <c r="AX50" t="s">
        <v>245</v>
      </c>
    </row>
    <row r="51" spans="1:50" x14ac:dyDescent="0.25">
      <c r="A51" t="s">
        <v>246</v>
      </c>
      <c r="B51" t="s">
        <v>51</v>
      </c>
      <c r="C51">
        <v>0</v>
      </c>
      <c r="D51">
        <v>1</v>
      </c>
      <c r="F51">
        <v>0</v>
      </c>
      <c r="G51">
        <v>1</v>
      </c>
      <c r="H51">
        <v>1</v>
      </c>
      <c r="I51">
        <v>0</v>
      </c>
      <c r="J51">
        <v>1344</v>
      </c>
      <c r="K51">
        <v>0</v>
      </c>
      <c r="M51">
        <v>0</v>
      </c>
      <c r="N51">
        <v>1</v>
      </c>
      <c r="O51">
        <v>1</v>
      </c>
      <c r="P51">
        <v>1</v>
      </c>
      <c r="Q51">
        <v>1</v>
      </c>
      <c r="U51" t="s">
        <v>72</v>
      </c>
      <c r="V51">
        <v>36</v>
      </c>
      <c r="W51" t="s">
        <v>79</v>
      </c>
      <c r="X51" t="s">
        <v>80</v>
      </c>
      <c r="Y51">
        <v>0</v>
      </c>
      <c r="Z51">
        <v>49.895000000000003</v>
      </c>
      <c r="AB51" t="s">
        <v>247</v>
      </c>
      <c r="AC51" t="s">
        <v>102</v>
      </c>
      <c r="AD51" t="s">
        <v>57</v>
      </c>
      <c r="AE51">
        <v>1</v>
      </c>
      <c r="AF51">
        <v>5</v>
      </c>
      <c r="AG51">
        <v>1</v>
      </c>
      <c r="AH51">
        <v>3</v>
      </c>
      <c r="AI51">
        <v>512</v>
      </c>
      <c r="AJ51">
        <v>512</v>
      </c>
      <c r="AK51">
        <v>142</v>
      </c>
      <c r="AL51" t="s">
        <v>128</v>
      </c>
      <c r="AM51">
        <v>1</v>
      </c>
      <c r="AN51" t="s">
        <v>51</v>
      </c>
      <c r="AO51" t="s">
        <v>67</v>
      </c>
      <c r="AP51" t="s">
        <v>114</v>
      </c>
      <c r="AQ51">
        <v>15</v>
      </c>
      <c r="AR51">
        <v>534</v>
      </c>
      <c r="AS51">
        <v>1069</v>
      </c>
      <c r="AT51">
        <v>2.3959999999999999</v>
      </c>
      <c r="AU51">
        <v>5.5</v>
      </c>
      <c r="AV51" t="s">
        <v>248</v>
      </c>
      <c r="AX51" t="s">
        <v>249</v>
      </c>
    </row>
    <row r="52" spans="1:50" x14ac:dyDescent="0.25">
      <c r="A52" t="s">
        <v>250</v>
      </c>
      <c r="B52" t="s">
        <v>51</v>
      </c>
      <c r="C52">
        <v>0</v>
      </c>
      <c r="D52">
        <v>0</v>
      </c>
      <c r="F52">
        <v>0</v>
      </c>
      <c r="G52">
        <v>0</v>
      </c>
      <c r="H52">
        <v>0</v>
      </c>
      <c r="I52">
        <v>1</v>
      </c>
      <c r="J52">
        <v>1430</v>
      </c>
      <c r="K52">
        <v>0</v>
      </c>
      <c r="M52">
        <v>0</v>
      </c>
      <c r="N52">
        <v>1</v>
      </c>
      <c r="O52">
        <v>1</v>
      </c>
      <c r="P52">
        <v>1</v>
      </c>
      <c r="Q52">
        <v>0</v>
      </c>
      <c r="S52">
        <v>42</v>
      </c>
      <c r="U52" t="s">
        <v>93</v>
      </c>
      <c r="V52">
        <v>42</v>
      </c>
      <c r="W52" t="s">
        <v>54</v>
      </c>
      <c r="X52" t="s">
        <v>80</v>
      </c>
      <c r="Y52">
        <v>0</v>
      </c>
      <c r="Z52">
        <v>68.039000000000001</v>
      </c>
      <c r="AB52" t="s">
        <v>74</v>
      </c>
      <c r="AC52" t="s">
        <v>112</v>
      </c>
      <c r="AD52" t="s">
        <v>57</v>
      </c>
      <c r="AE52">
        <v>1</v>
      </c>
      <c r="AF52">
        <v>5</v>
      </c>
      <c r="AG52">
        <v>1</v>
      </c>
      <c r="AH52">
        <v>1.5</v>
      </c>
      <c r="AI52">
        <v>512</v>
      </c>
      <c r="AJ52">
        <v>512</v>
      </c>
      <c r="AK52">
        <v>170</v>
      </c>
      <c r="AL52" t="s">
        <v>66</v>
      </c>
      <c r="AM52">
        <v>1</v>
      </c>
      <c r="AN52" t="s">
        <v>51</v>
      </c>
      <c r="AO52" t="s">
        <v>67</v>
      </c>
      <c r="AP52" t="s">
        <v>114</v>
      </c>
      <c r="AQ52">
        <v>15</v>
      </c>
      <c r="AR52">
        <v>524</v>
      </c>
      <c r="AS52">
        <v>1048</v>
      </c>
      <c r="AT52">
        <v>2.4039999999999999</v>
      </c>
      <c r="AU52">
        <v>5.04</v>
      </c>
      <c r="AV52" t="s">
        <v>251</v>
      </c>
      <c r="AX52" t="s">
        <v>252</v>
      </c>
    </row>
    <row r="53" spans="1:50" x14ac:dyDescent="0.25">
      <c r="A53" t="s">
        <v>253</v>
      </c>
      <c r="B53" t="s">
        <v>51</v>
      </c>
      <c r="C53">
        <v>0</v>
      </c>
      <c r="D53">
        <v>0</v>
      </c>
      <c r="F53">
        <v>0</v>
      </c>
      <c r="G53">
        <v>0</v>
      </c>
      <c r="H53">
        <v>0</v>
      </c>
      <c r="I53">
        <v>0</v>
      </c>
      <c r="J53">
        <v>2302</v>
      </c>
      <c r="K53">
        <v>0</v>
      </c>
      <c r="M53">
        <v>0</v>
      </c>
      <c r="N53">
        <v>1</v>
      </c>
      <c r="O53">
        <v>1</v>
      </c>
      <c r="P53">
        <v>1</v>
      </c>
      <c r="Q53">
        <v>0</v>
      </c>
      <c r="T53" t="s">
        <v>52</v>
      </c>
      <c r="U53" t="s">
        <v>93</v>
      </c>
      <c r="V53">
        <v>54</v>
      </c>
      <c r="W53" t="s">
        <v>54</v>
      </c>
      <c r="X53" t="s">
        <v>80</v>
      </c>
      <c r="Y53">
        <v>0</v>
      </c>
      <c r="Z53">
        <v>55.7918686071</v>
      </c>
      <c r="AA53">
        <v>1.6002032024999999</v>
      </c>
      <c r="AB53" t="s">
        <v>74</v>
      </c>
      <c r="AD53" t="s">
        <v>57</v>
      </c>
      <c r="AE53">
        <v>1</v>
      </c>
      <c r="AF53">
        <v>4</v>
      </c>
      <c r="AG53">
        <v>1</v>
      </c>
      <c r="AH53">
        <v>3</v>
      </c>
      <c r="AI53">
        <v>448</v>
      </c>
      <c r="AJ53">
        <v>448</v>
      </c>
      <c r="AK53">
        <v>128</v>
      </c>
      <c r="AL53" t="s">
        <v>123</v>
      </c>
      <c r="AM53">
        <v>1.2999999523162999</v>
      </c>
      <c r="AN53" t="s">
        <v>51</v>
      </c>
      <c r="AO53" t="s">
        <v>59</v>
      </c>
      <c r="AP53" t="s">
        <v>124</v>
      </c>
      <c r="AQ53">
        <v>11</v>
      </c>
      <c r="AR53">
        <v>45</v>
      </c>
      <c r="AS53">
        <v>124</v>
      </c>
      <c r="AT53">
        <v>1.44</v>
      </c>
      <c r="AU53">
        <v>3.8</v>
      </c>
      <c r="AV53" t="s">
        <v>254</v>
      </c>
      <c r="AX53" t="s">
        <v>255</v>
      </c>
    </row>
    <row r="54" spans="1:50" x14ac:dyDescent="0.25">
      <c r="A54" t="s">
        <v>256</v>
      </c>
      <c r="B54" t="s">
        <v>51</v>
      </c>
      <c r="C54">
        <v>1</v>
      </c>
      <c r="D54">
        <v>1</v>
      </c>
      <c r="F54">
        <v>0</v>
      </c>
      <c r="G54">
        <v>1</v>
      </c>
      <c r="H54">
        <v>0</v>
      </c>
      <c r="I54">
        <v>0</v>
      </c>
      <c r="J54">
        <v>1218</v>
      </c>
      <c r="K54">
        <v>0</v>
      </c>
      <c r="M54">
        <v>0</v>
      </c>
      <c r="N54">
        <v>1</v>
      </c>
      <c r="O54">
        <v>1</v>
      </c>
      <c r="P54">
        <v>1</v>
      </c>
      <c r="Q54">
        <v>1</v>
      </c>
      <c r="T54" t="s">
        <v>52</v>
      </c>
      <c r="U54" t="s">
        <v>72</v>
      </c>
      <c r="V54">
        <v>64</v>
      </c>
      <c r="W54" t="s">
        <v>79</v>
      </c>
      <c r="X54" t="s">
        <v>80</v>
      </c>
      <c r="Y54">
        <v>0</v>
      </c>
      <c r="Z54">
        <v>63.502939877999999</v>
      </c>
      <c r="AA54">
        <v>1.5494031008333</v>
      </c>
      <c r="AB54" t="s">
        <v>94</v>
      </c>
      <c r="AD54" t="s">
        <v>57</v>
      </c>
      <c r="AE54">
        <v>1</v>
      </c>
      <c r="AF54">
        <v>4</v>
      </c>
      <c r="AG54">
        <v>1</v>
      </c>
      <c r="AH54">
        <v>3</v>
      </c>
      <c r="AI54">
        <v>448</v>
      </c>
      <c r="AJ54">
        <v>448</v>
      </c>
      <c r="AK54">
        <v>208</v>
      </c>
      <c r="AL54" t="s">
        <v>75</v>
      </c>
      <c r="AM54">
        <v>1</v>
      </c>
      <c r="AN54" t="s">
        <v>51</v>
      </c>
      <c r="AO54" t="s">
        <v>59</v>
      </c>
      <c r="AP54" t="s">
        <v>107</v>
      </c>
      <c r="AQ54">
        <v>11</v>
      </c>
      <c r="AR54">
        <v>48</v>
      </c>
      <c r="AS54">
        <v>131</v>
      </c>
      <c r="AT54">
        <v>1.44</v>
      </c>
      <c r="AU54">
        <v>3.77</v>
      </c>
      <c r="AV54" t="s">
        <v>257</v>
      </c>
      <c r="AX54" t="s">
        <v>258</v>
      </c>
    </row>
    <row r="55" spans="1:50" x14ac:dyDescent="0.25">
      <c r="A55" t="s">
        <v>259</v>
      </c>
      <c r="B55" t="s">
        <v>51</v>
      </c>
      <c r="C55">
        <v>0</v>
      </c>
      <c r="D55">
        <v>0</v>
      </c>
      <c r="F55">
        <v>0</v>
      </c>
      <c r="G55">
        <v>0</v>
      </c>
      <c r="H55">
        <v>1</v>
      </c>
      <c r="I55">
        <v>0</v>
      </c>
      <c r="J55">
        <v>1462</v>
      </c>
      <c r="K55">
        <v>0</v>
      </c>
      <c r="M55">
        <v>0</v>
      </c>
      <c r="N55">
        <v>1</v>
      </c>
      <c r="O55">
        <v>0</v>
      </c>
      <c r="P55">
        <v>1</v>
      </c>
      <c r="Q55">
        <v>0</v>
      </c>
      <c r="T55" t="s">
        <v>64</v>
      </c>
      <c r="U55" t="s">
        <v>93</v>
      </c>
      <c r="V55">
        <v>49</v>
      </c>
      <c r="W55" t="s">
        <v>54</v>
      </c>
      <c r="X55" t="s">
        <v>80</v>
      </c>
      <c r="Y55">
        <v>0</v>
      </c>
      <c r="Z55">
        <v>42.637688203800003</v>
      </c>
      <c r="AA55">
        <v>1.5240030499999999</v>
      </c>
      <c r="AB55" t="s">
        <v>247</v>
      </c>
      <c r="AD55" t="s">
        <v>57</v>
      </c>
      <c r="AE55">
        <v>1</v>
      </c>
      <c r="AF55">
        <v>4</v>
      </c>
      <c r="AG55">
        <v>1</v>
      </c>
      <c r="AH55">
        <v>1.5</v>
      </c>
      <c r="AI55">
        <v>448</v>
      </c>
      <c r="AJ55">
        <v>448</v>
      </c>
      <c r="AK55">
        <v>176</v>
      </c>
      <c r="AL55" t="s">
        <v>230</v>
      </c>
      <c r="AM55">
        <v>1</v>
      </c>
      <c r="AN55" t="s">
        <v>51</v>
      </c>
      <c r="AO55" t="s">
        <v>59</v>
      </c>
      <c r="AP55" t="s">
        <v>60</v>
      </c>
      <c r="AQ55">
        <v>11</v>
      </c>
      <c r="AR55">
        <v>168</v>
      </c>
      <c r="AS55">
        <v>620</v>
      </c>
      <c r="AT55">
        <v>1.39</v>
      </c>
      <c r="AU55">
        <v>4.37</v>
      </c>
      <c r="AV55" t="s">
        <v>260</v>
      </c>
      <c r="AX55" t="s">
        <v>261</v>
      </c>
    </row>
    <row r="56" spans="1:50" x14ac:dyDescent="0.25">
      <c r="A56" t="s">
        <v>262</v>
      </c>
      <c r="B56" t="s">
        <v>51</v>
      </c>
      <c r="C56">
        <v>0</v>
      </c>
      <c r="D56">
        <v>0</v>
      </c>
      <c r="F56">
        <v>0</v>
      </c>
      <c r="G56">
        <v>1</v>
      </c>
      <c r="H56">
        <v>1</v>
      </c>
      <c r="I56">
        <v>1</v>
      </c>
      <c r="J56">
        <v>1652</v>
      </c>
      <c r="K56">
        <v>0</v>
      </c>
      <c r="M56">
        <v>0</v>
      </c>
      <c r="N56">
        <v>0</v>
      </c>
      <c r="O56">
        <v>0</v>
      </c>
      <c r="P56">
        <v>0</v>
      </c>
      <c r="Q56">
        <v>1</v>
      </c>
      <c r="T56" t="s">
        <v>64</v>
      </c>
      <c r="U56" t="s">
        <v>53</v>
      </c>
      <c r="V56">
        <v>58</v>
      </c>
      <c r="W56" t="s">
        <v>79</v>
      </c>
      <c r="X56" t="s">
        <v>80</v>
      </c>
      <c r="Y56">
        <v>0</v>
      </c>
      <c r="Z56">
        <v>90.718485540000003</v>
      </c>
      <c r="AA56">
        <v>1.7272034566667001</v>
      </c>
      <c r="AB56" t="s">
        <v>118</v>
      </c>
      <c r="AD56" t="s">
        <v>57</v>
      </c>
      <c r="AE56">
        <v>1</v>
      </c>
      <c r="AF56">
        <v>4</v>
      </c>
      <c r="AG56">
        <v>1</v>
      </c>
      <c r="AH56">
        <v>1.5</v>
      </c>
      <c r="AI56">
        <v>448</v>
      </c>
      <c r="AJ56">
        <v>448</v>
      </c>
      <c r="AK56">
        <v>144</v>
      </c>
      <c r="AL56" t="s">
        <v>58</v>
      </c>
      <c r="AM56">
        <v>1.0999999046325999</v>
      </c>
      <c r="AN56" t="s">
        <v>51</v>
      </c>
      <c r="AO56" t="s">
        <v>59</v>
      </c>
      <c r="AP56" t="s">
        <v>60</v>
      </c>
      <c r="AQ56">
        <v>11</v>
      </c>
      <c r="AR56">
        <v>182</v>
      </c>
      <c r="AS56">
        <v>344</v>
      </c>
      <c r="AT56">
        <v>1.33</v>
      </c>
      <c r="AU56">
        <v>4.3099999999999996</v>
      </c>
      <c r="AV56" t="s">
        <v>263</v>
      </c>
      <c r="AX56" t="s">
        <v>264</v>
      </c>
    </row>
    <row r="57" spans="1:50" x14ac:dyDescent="0.25">
      <c r="A57" t="s">
        <v>265</v>
      </c>
      <c r="B57" t="s">
        <v>51</v>
      </c>
      <c r="C57">
        <v>0</v>
      </c>
      <c r="D57">
        <v>1</v>
      </c>
      <c r="F57">
        <v>0</v>
      </c>
      <c r="G57">
        <v>0</v>
      </c>
      <c r="H57">
        <v>0</v>
      </c>
      <c r="I57">
        <v>1</v>
      </c>
      <c r="J57">
        <v>517</v>
      </c>
      <c r="K57">
        <v>0</v>
      </c>
      <c r="M57">
        <v>0</v>
      </c>
      <c r="N57">
        <v>0</v>
      </c>
      <c r="O57">
        <v>0</v>
      </c>
      <c r="P57">
        <v>0</v>
      </c>
      <c r="Q57">
        <v>0</v>
      </c>
      <c r="U57" t="s">
        <v>65</v>
      </c>
      <c r="V57">
        <v>42</v>
      </c>
      <c r="W57" t="s">
        <v>54</v>
      </c>
      <c r="X57" t="s">
        <v>80</v>
      </c>
      <c r="Y57">
        <v>0</v>
      </c>
      <c r="Z57">
        <v>86.635999999999996</v>
      </c>
      <c r="AB57" t="s">
        <v>118</v>
      </c>
      <c r="AD57" t="s">
        <v>57</v>
      </c>
      <c r="AE57">
        <v>1</v>
      </c>
      <c r="AF57">
        <v>5</v>
      </c>
      <c r="AG57">
        <v>1</v>
      </c>
      <c r="AH57">
        <v>3</v>
      </c>
      <c r="AI57">
        <v>512</v>
      </c>
      <c r="AJ57">
        <v>512</v>
      </c>
      <c r="AK57">
        <v>142</v>
      </c>
      <c r="AL57" t="s">
        <v>119</v>
      </c>
      <c r="AM57">
        <v>1</v>
      </c>
      <c r="AN57" t="s">
        <v>51</v>
      </c>
      <c r="AO57" t="s">
        <v>67</v>
      </c>
      <c r="AP57" t="s">
        <v>114</v>
      </c>
      <c r="AQ57">
        <v>15</v>
      </c>
      <c r="AR57">
        <v>620</v>
      </c>
      <c r="AS57">
        <v>1241</v>
      </c>
      <c r="AT57">
        <v>2.3879999999999999</v>
      </c>
      <c r="AU57">
        <v>5.37</v>
      </c>
      <c r="AV57" t="s">
        <v>266</v>
      </c>
      <c r="AX57" t="s">
        <v>267</v>
      </c>
    </row>
    <row r="58" spans="1:50" x14ac:dyDescent="0.25">
      <c r="A58" t="s">
        <v>268</v>
      </c>
      <c r="B58" t="s">
        <v>51</v>
      </c>
      <c r="C58">
        <v>0</v>
      </c>
      <c r="D58">
        <v>1</v>
      </c>
      <c r="F58">
        <v>0</v>
      </c>
      <c r="G58">
        <v>0</v>
      </c>
      <c r="H58">
        <v>0</v>
      </c>
      <c r="I58">
        <v>1</v>
      </c>
      <c r="J58">
        <v>1540</v>
      </c>
      <c r="K58">
        <v>0</v>
      </c>
      <c r="M58">
        <v>0</v>
      </c>
      <c r="N58">
        <v>1</v>
      </c>
      <c r="O58">
        <v>1</v>
      </c>
      <c r="P58">
        <v>1</v>
      </c>
      <c r="Q58">
        <v>0</v>
      </c>
      <c r="U58" t="s">
        <v>93</v>
      </c>
      <c r="V58">
        <v>64</v>
      </c>
      <c r="W58" t="s">
        <v>79</v>
      </c>
      <c r="X58" t="s">
        <v>55</v>
      </c>
      <c r="Y58">
        <v>0</v>
      </c>
      <c r="Z58">
        <v>113.398</v>
      </c>
      <c r="AB58" t="s">
        <v>269</v>
      </c>
      <c r="AC58" t="s">
        <v>102</v>
      </c>
      <c r="AD58" t="s">
        <v>57</v>
      </c>
      <c r="AE58">
        <v>1</v>
      </c>
      <c r="AF58">
        <v>5</v>
      </c>
      <c r="AG58">
        <v>1</v>
      </c>
      <c r="AH58">
        <v>1.5</v>
      </c>
      <c r="AI58">
        <v>512</v>
      </c>
      <c r="AJ58">
        <v>512</v>
      </c>
      <c r="AK58">
        <v>160</v>
      </c>
      <c r="AL58" t="s">
        <v>128</v>
      </c>
      <c r="AM58">
        <v>1</v>
      </c>
      <c r="AN58" t="s">
        <v>51</v>
      </c>
      <c r="AO58" t="s">
        <v>67</v>
      </c>
      <c r="AP58" t="s">
        <v>114</v>
      </c>
      <c r="AQ58">
        <v>15</v>
      </c>
      <c r="AR58">
        <v>410</v>
      </c>
      <c r="AS58">
        <v>821</v>
      </c>
      <c r="AT58">
        <v>2.2919999999999998</v>
      </c>
      <c r="AU58">
        <v>4.9080000000000004</v>
      </c>
      <c r="AV58" t="s">
        <v>270</v>
      </c>
      <c r="AX58" t="s">
        <v>271</v>
      </c>
    </row>
    <row r="59" spans="1:50" x14ac:dyDescent="0.25">
      <c r="A59" t="s">
        <v>272</v>
      </c>
      <c r="B59" t="s">
        <v>51</v>
      </c>
      <c r="C59">
        <v>0</v>
      </c>
      <c r="D59">
        <v>0</v>
      </c>
      <c r="F59">
        <v>0</v>
      </c>
      <c r="G59">
        <v>1</v>
      </c>
      <c r="H59">
        <v>0</v>
      </c>
      <c r="I59">
        <v>1</v>
      </c>
      <c r="J59">
        <v>1386</v>
      </c>
      <c r="K59">
        <v>0</v>
      </c>
      <c r="M59">
        <v>0</v>
      </c>
      <c r="N59">
        <v>1</v>
      </c>
      <c r="O59">
        <v>1</v>
      </c>
      <c r="P59">
        <v>0</v>
      </c>
      <c r="Q59">
        <v>1</v>
      </c>
      <c r="T59" t="s">
        <v>52</v>
      </c>
      <c r="U59" t="s">
        <v>72</v>
      </c>
      <c r="V59">
        <v>37</v>
      </c>
      <c r="W59" t="s">
        <v>54</v>
      </c>
      <c r="X59" t="s">
        <v>80</v>
      </c>
      <c r="Y59">
        <v>0</v>
      </c>
      <c r="Z59">
        <v>56.699053462499997</v>
      </c>
      <c r="AA59">
        <v>1.7272034566667001</v>
      </c>
      <c r="AB59" t="s">
        <v>74</v>
      </c>
      <c r="AD59" t="s">
        <v>57</v>
      </c>
      <c r="AE59">
        <v>1</v>
      </c>
      <c r="AF59">
        <v>4</v>
      </c>
      <c r="AG59">
        <v>1</v>
      </c>
      <c r="AH59">
        <v>1.5</v>
      </c>
      <c r="AI59">
        <v>448</v>
      </c>
      <c r="AJ59">
        <v>448</v>
      </c>
      <c r="AK59">
        <v>160</v>
      </c>
      <c r="AL59" t="s">
        <v>123</v>
      </c>
      <c r="AM59">
        <v>1</v>
      </c>
      <c r="AN59" t="s">
        <v>51</v>
      </c>
      <c r="AO59" t="s">
        <v>59</v>
      </c>
      <c r="AP59" t="s">
        <v>60</v>
      </c>
      <c r="AQ59">
        <v>11</v>
      </c>
      <c r="AR59">
        <v>129</v>
      </c>
      <c r="AS59">
        <v>242</v>
      </c>
      <c r="AT59">
        <v>1.36</v>
      </c>
      <c r="AU59">
        <v>4.3099999999999996</v>
      </c>
      <c r="AV59" t="s">
        <v>273</v>
      </c>
      <c r="AX59" t="s">
        <v>274</v>
      </c>
    </row>
    <row r="60" spans="1:50" x14ac:dyDescent="0.25">
      <c r="A60" t="s">
        <v>275</v>
      </c>
      <c r="B60" t="s">
        <v>51</v>
      </c>
      <c r="C60">
        <v>0</v>
      </c>
      <c r="D60">
        <v>0</v>
      </c>
      <c r="F60">
        <v>0</v>
      </c>
      <c r="G60">
        <v>0</v>
      </c>
      <c r="H60">
        <v>1</v>
      </c>
      <c r="I60">
        <v>0</v>
      </c>
      <c r="J60">
        <v>1525</v>
      </c>
      <c r="K60">
        <v>0</v>
      </c>
      <c r="M60">
        <v>0</v>
      </c>
      <c r="N60">
        <v>1</v>
      </c>
      <c r="O60">
        <v>1</v>
      </c>
      <c r="P60">
        <v>0</v>
      </c>
      <c r="Q60">
        <v>0</v>
      </c>
      <c r="T60" t="s">
        <v>64</v>
      </c>
      <c r="U60" t="s">
        <v>93</v>
      </c>
      <c r="V60">
        <v>46</v>
      </c>
      <c r="W60" t="s">
        <v>54</v>
      </c>
      <c r="X60" t="s">
        <v>55</v>
      </c>
      <c r="Y60">
        <v>0</v>
      </c>
      <c r="Z60">
        <v>71.214011148899999</v>
      </c>
      <c r="AA60">
        <v>1.6256032533333</v>
      </c>
      <c r="AB60" t="s">
        <v>94</v>
      </c>
      <c r="AD60" t="s">
        <v>57</v>
      </c>
      <c r="AE60">
        <v>1</v>
      </c>
      <c r="AF60">
        <v>4</v>
      </c>
      <c r="AG60">
        <v>1</v>
      </c>
      <c r="AH60">
        <v>1.5</v>
      </c>
      <c r="AI60">
        <v>448</v>
      </c>
      <c r="AJ60">
        <v>448</v>
      </c>
      <c r="AK60">
        <v>176</v>
      </c>
      <c r="AL60" t="s">
        <v>276</v>
      </c>
      <c r="AM60">
        <v>1</v>
      </c>
      <c r="AN60" t="s">
        <v>51</v>
      </c>
      <c r="AO60" t="s">
        <v>59</v>
      </c>
      <c r="AP60" t="s">
        <v>60</v>
      </c>
      <c r="AQ60">
        <v>11</v>
      </c>
      <c r="AR60">
        <v>134</v>
      </c>
      <c r="AS60">
        <v>300</v>
      </c>
      <c r="AT60">
        <v>1.43</v>
      </c>
      <c r="AU60">
        <v>4.4400000000000004</v>
      </c>
      <c r="AV60" t="s">
        <v>277</v>
      </c>
      <c r="AX60" t="s">
        <v>278</v>
      </c>
    </row>
    <row r="61" spans="1:50" x14ac:dyDescent="0.25">
      <c r="A61" t="s">
        <v>279</v>
      </c>
      <c r="B61" t="s">
        <v>51</v>
      </c>
      <c r="C61">
        <v>0</v>
      </c>
      <c r="D61">
        <v>0</v>
      </c>
      <c r="F61">
        <v>0</v>
      </c>
      <c r="G61">
        <v>0</v>
      </c>
      <c r="H61">
        <v>0</v>
      </c>
      <c r="I61">
        <v>0</v>
      </c>
      <c r="K61">
        <v>534</v>
      </c>
      <c r="M61">
        <v>573</v>
      </c>
      <c r="N61">
        <v>0</v>
      </c>
      <c r="O61">
        <v>0</v>
      </c>
      <c r="P61">
        <v>0</v>
      </c>
      <c r="Q61">
        <v>0</v>
      </c>
      <c r="U61" t="s">
        <v>65</v>
      </c>
      <c r="V61">
        <v>44</v>
      </c>
      <c r="W61" t="s">
        <v>54</v>
      </c>
      <c r="X61" t="s">
        <v>55</v>
      </c>
      <c r="Y61">
        <v>0</v>
      </c>
      <c r="Z61">
        <v>72.575000000000003</v>
      </c>
      <c r="AB61" t="s">
        <v>94</v>
      </c>
      <c r="AC61" t="s">
        <v>102</v>
      </c>
      <c r="AD61" t="s">
        <v>57</v>
      </c>
      <c r="AE61">
        <v>1</v>
      </c>
      <c r="AF61">
        <v>5</v>
      </c>
      <c r="AG61">
        <v>1</v>
      </c>
      <c r="AH61">
        <v>3</v>
      </c>
      <c r="AI61">
        <v>512</v>
      </c>
      <c r="AJ61">
        <v>512</v>
      </c>
      <c r="AK61">
        <v>148</v>
      </c>
      <c r="AL61" t="s">
        <v>196</v>
      </c>
      <c r="AM61">
        <v>1</v>
      </c>
      <c r="AN61" t="s">
        <v>51</v>
      </c>
      <c r="AO61" t="s">
        <v>67</v>
      </c>
      <c r="AP61" t="s">
        <v>114</v>
      </c>
      <c r="AQ61">
        <v>15</v>
      </c>
      <c r="AR61">
        <v>611</v>
      </c>
      <c r="AS61">
        <v>1222</v>
      </c>
      <c r="AT61">
        <v>2.464</v>
      </c>
      <c r="AU61">
        <v>5.9870000000000001</v>
      </c>
      <c r="AV61" t="s">
        <v>280</v>
      </c>
      <c r="AX61" t="s">
        <v>281</v>
      </c>
    </row>
    <row r="62" spans="1:50" x14ac:dyDescent="0.25">
      <c r="A62" t="s">
        <v>282</v>
      </c>
      <c r="B62" t="s">
        <v>51</v>
      </c>
      <c r="C62">
        <v>0</v>
      </c>
      <c r="D62">
        <v>0</v>
      </c>
      <c r="F62">
        <v>0</v>
      </c>
      <c r="G62">
        <v>0</v>
      </c>
      <c r="H62">
        <v>0</v>
      </c>
      <c r="I62">
        <v>1</v>
      </c>
      <c r="J62">
        <v>885</v>
      </c>
      <c r="K62">
        <v>1027</v>
      </c>
      <c r="M62">
        <v>1277</v>
      </c>
      <c r="N62">
        <v>1</v>
      </c>
      <c r="O62">
        <v>0</v>
      </c>
      <c r="P62">
        <v>1</v>
      </c>
      <c r="Q62">
        <v>0</v>
      </c>
      <c r="U62" t="s">
        <v>93</v>
      </c>
      <c r="V62">
        <v>32</v>
      </c>
      <c r="W62" t="s">
        <v>54</v>
      </c>
      <c r="X62" t="s">
        <v>55</v>
      </c>
      <c r="Y62">
        <v>0</v>
      </c>
      <c r="Z62">
        <v>69.400000000000006</v>
      </c>
      <c r="AB62" t="s">
        <v>94</v>
      </c>
      <c r="AC62" t="s">
        <v>102</v>
      </c>
      <c r="AD62" t="s">
        <v>57</v>
      </c>
      <c r="AE62">
        <v>1</v>
      </c>
      <c r="AF62">
        <v>5</v>
      </c>
      <c r="AG62">
        <v>1</v>
      </c>
      <c r="AH62">
        <v>3</v>
      </c>
      <c r="AI62">
        <v>512</v>
      </c>
      <c r="AJ62">
        <v>512</v>
      </c>
      <c r="AK62">
        <v>150</v>
      </c>
      <c r="AL62" t="s">
        <v>81</v>
      </c>
      <c r="AM62">
        <v>1</v>
      </c>
      <c r="AN62" t="s">
        <v>51</v>
      </c>
      <c r="AO62" t="s">
        <v>67</v>
      </c>
      <c r="AP62" t="s">
        <v>114</v>
      </c>
      <c r="AQ62">
        <v>15</v>
      </c>
      <c r="AR62">
        <v>694</v>
      </c>
      <c r="AS62">
        <v>1388</v>
      </c>
      <c r="AT62">
        <v>2.4239999999999999</v>
      </c>
      <c r="AU62">
        <v>5.665</v>
      </c>
      <c r="AV62" t="s">
        <v>283</v>
      </c>
      <c r="AX62" t="s">
        <v>284</v>
      </c>
    </row>
    <row r="63" spans="1:50" x14ac:dyDescent="0.25">
      <c r="A63" t="s">
        <v>285</v>
      </c>
      <c r="B63" t="s">
        <v>51</v>
      </c>
      <c r="C63">
        <v>0</v>
      </c>
      <c r="D63">
        <v>1</v>
      </c>
      <c r="F63">
        <v>0</v>
      </c>
      <c r="G63">
        <v>0</v>
      </c>
      <c r="H63">
        <v>0</v>
      </c>
      <c r="I63">
        <v>0</v>
      </c>
      <c r="J63">
        <v>2250</v>
      </c>
      <c r="K63">
        <v>0</v>
      </c>
      <c r="M63">
        <v>0</v>
      </c>
      <c r="N63">
        <v>1</v>
      </c>
      <c r="O63">
        <v>1</v>
      </c>
      <c r="P63">
        <v>1</v>
      </c>
      <c r="Q63">
        <v>0</v>
      </c>
      <c r="T63" t="s">
        <v>52</v>
      </c>
      <c r="U63" t="s">
        <v>93</v>
      </c>
      <c r="V63">
        <v>51</v>
      </c>
      <c r="W63" t="s">
        <v>79</v>
      </c>
      <c r="X63" t="s">
        <v>55</v>
      </c>
      <c r="Y63">
        <v>0</v>
      </c>
      <c r="Z63">
        <v>145.15</v>
      </c>
      <c r="AB63" t="s">
        <v>269</v>
      </c>
      <c r="AD63" t="s">
        <v>57</v>
      </c>
      <c r="AE63">
        <v>1</v>
      </c>
      <c r="AF63">
        <v>4</v>
      </c>
      <c r="AG63">
        <v>1</v>
      </c>
      <c r="AH63">
        <v>3</v>
      </c>
      <c r="AI63">
        <v>512</v>
      </c>
      <c r="AJ63">
        <v>512</v>
      </c>
      <c r="AK63">
        <v>176</v>
      </c>
      <c r="AL63" t="s">
        <v>119</v>
      </c>
      <c r="AM63">
        <v>1</v>
      </c>
      <c r="AN63" t="s">
        <v>51</v>
      </c>
      <c r="AO63" t="s">
        <v>67</v>
      </c>
      <c r="AP63" t="s">
        <v>114</v>
      </c>
      <c r="AQ63">
        <v>15</v>
      </c>
      <c r="AR63">
        <v>1287</v>
      </c>
      <c r="AS63">
        <v>2574</v>
      </c>
      <c r="AT63">
        <v>2.4</v>
      </c>
      <c r="AU63">
        <v>5.3920000000000003</v>
      </c>
      <c r="AV63" t="s">
        <v>286</v>
      </c>
      <c r="AX63" t="s">
        <v>287</v>
      </c>
    </row>
    <row r="64" spans="1:50" x14ac:dyDescent="0.25">
      <c r="A64" t="s">
        <v>288</v>
      </c>
      <c r="B64" t="s">
        <v>51</v>
      </c>
      <c r="C64">
        <v>0</v>
      </c>
      <c r="D64">
        <v>0</v>
      </c>
      <c r="F64">
        <v>0</v>
      </c>
      <c r="G64">
        <v>0</v>
      </c>
      <c r="H64">
        <v>0</v>
      </c>
      <c r="I64">
        <v>1</v>
      </c>
      <c r="J64">
        <v>708</v>
      </c>
      <c r="K64">
        <v>0</v>
      </c>
      <c r="M64">
        <v>0</v>
      </c>
      <c r="N64">
        <v>1</v>
      </c>
      <c r="O64">
        <v>1</v>
      </c>
      <c r="P64">
        <v>1</v>
      </c>
      <c r="Q64">
        <v>0</v>
      </c>
      <c r="T64" t="s">
        <v>289</v>
      </c>
      <c r="U64" t="s">
        <v>93</v>
      </c>
      <c r="V64">
        <v>43</v>
      </c>
      <c r="W64" t="s">
        <v>54</v>
      </c>
      <c r="X64" t="s">
        <v>80</v>
      </c>
      <c r="Y64">
        <v>0</v>
      </c>
      <c r="Z64">
        <v>58.967015601</v>
      </c>
      <c r="AA64">
        <v>1.6764033549999999</v>
      </c>
      <c r="AB64" t="s">
        <v>74</v>
      </c>
      <c r="AD64" t="s">
        <v>57</v>
      </c>
      <c r="AE64">
        <v>1</v>
      </c>
      <c r="AF64">
        <v>4</v>
      </c>
      <c r="AG64">
        <v>1</v>
      </c>
      <c r="AH64">
        <v>3</v>
      </c>
      <c r="AI64">
        <v>448</v>
      </c>
      <c r="AJ64">
        <v>448</v>
      </c>
      <c r="AK64">
        <v>208</v>
      </c>
      <c r="AL64" t="s">
        <v>75</v>
      </c>
      <c r="AM64">
        <v>1</v>
      </c>
      <c r="AN64" t="s">
        <v>51</v>
      </c>
      <c r="AO64" t="s">
        <v>59</v>
      </c>
      <c r="AP64" t="s">
        <v>107</v>
      </c>
      <c r="AQ64">
        <v>11</v>
      </c>
      <c r="AR64">
        <v>116</v>
      </c>
      <c r="AS64">
        <v>318</v>
      </c>
      <c r="AT64">
        <v>1.44</v>
      </c>
      <c r="AU64">
        <v>3.77</v>
      </c>
      <c r="AV64" t="s">
        <v>290</v>
      </c>
      <c r="AX64" t="s">
        <v>291</v>
      </c>
    </row>
    <row r="65" spans="1:50" x14ac:dyDescent="0.25">
      <c r="A65" t="s">
        <v>292</v>
      </c>
      <c r="B65" t="s">
        <v>51</v>
      </c>
      <c r="C65">
        <v>0</v>
      </c>
      <c r="D65">
        <v>1</v>
      </c>
      <c r="F65">
        <v>0</v>
      </c>
      <c r="G65">
        <v>0</v>
      </c>
      <c r="H65">
        <v>0</v>
      </c>
      <c r="I65">
        <v>0</v>
      </c>
      <c r="J65">
        <v>822</v>
      </c>
      <c r="K65">
        <v>935</v>
      </c>
      <c r="M65">
        <v>0</v>
      </c>
      <c r="N65">
        <v>1</v>
      </c>
      <c r="O65">
        <v>1</v>
      </c>
      <c r="P65">
        <v>1</v>
      </c>
      <c r="Q65">
        <v>0</v>
      </c>
      <c r="U65" t="s">
        <v>93</v>
      </c>
      <c r="V65">
        <v>45</v>
      </c>
      <c r="W65" t="s">
        <v>54</v>
      </c>
      <c r="X65" t="s">
        <v>80</v>
      </c>
      <c r="Y65">
        <v>0</v>
      </c>
      <c r="Z65">
        <v>106.5942205095</v>
      </c>
      <c r="AB65" t="s">
        <v>56</v>
      </c>
      <c r="AC65" t="s">
        <v>102</v>
      </c>
      <c r="AD65" t="s">
        <v>57</v>
      </c>
      <c r="AE65">
        <v>1</v>
      </c>
      <c r="AF65">
        <v>5</v>
      </c>
      <c r="AG65">
        <v>1</v>
      </c>
      <c r="AH65">
        <v>1.5</v>
      </c>
      <c r="AI65">
        <v>320</v>
      </c>
      <c r="AJ65">
        <v>320</v>
      </c>
      <c r="AK65">
        <v>160</v>
      </c>
      <c r="AL65" t="s">
        <v>293</v>
      </c>
      <c r="AM65">
        <v>1.2000000476837001</v>
      </c>
      <c r="AN65" t="s">
        <v>51</v>
      </c>
      <c r="AO65" t="s">
        <v>59</v>
      </c>
      <c r="AP65" t="s">
        <v>60</v>
      </c>
      <c r="AQ65">
        <v>11</v>
      </c>
      <c r="AR65">
        <v>44</v>
      </c>
      <c r="AS65">
        <v>120</v>
      </c>
      <c r="AT65">
        <v>1.47</v>
      </c>
      <c r="AU65">
        <v>4.26</v>
      </c>
      <c r="AV65" t="s">
        <v>294</v>
      </c>
      <c r="AX65" t="s">
        <v>295</v>
      </c>
    </row>
    <row r="66" spans="1:50" x14ac:dyDescent="0.25">
      <c r="A66" t="s">
        <v>296</v>
      </c>
      <c r="B66" t="s">
        <v>51</v>
      </c>
      <c r="C66">
        <v>0</v>
      </c>
      <c r="D66">
        <v>0</v>
      </c>
      <c r="F66">
        <v>0</v>
      </c>
      <c r="G66">
        <v>0</v>
      </c>
      <c r="H66">
        <v>0</v>
      </c>
      <c r="I66">
        <v>0</v>
      </c>
      <c r="J66">
        <v>1666</v>
      </c>
      <c r="K66">
        <v>0</v>
      </c>
      <c r="M66">
        <v>0</v>
      </c>
      <c r="N66">
        <v>1</v>
      </c>
      <c r="O66">
        <v>1</v>
      </c>
      <c r="P66">
        <v>1</v>
      </c>
      <c r="Q66">
        <v>1</v>
      </c>
      <c r="T66" t="s">
        <v>52</v>
      </c>
      <c r="U66" t="s">
        <v>72</v>
      </c>
      <c r="V66">
        <v>55</v>
      </c>
      <c r="W66" t="s">
        <v>79</v>
      </c>
      <c r="X66" t="s">
        <v>80</v>
      </c>
      <c r="Y66">
        <v>0</v>
      </c>
      <c r="Z66">
        <v>68.038864154999999</v>
      </c>
      <c r="AA66">
        <v>1.7272034566667001</v>
      </c>
      <c r="AB66" t="s">
        <v>74</v>
      </c>
      <c r="AD66" t="s">
        <v>57</v>
      </c>
      <c r="AE66">
        <v>1</v>
      </c>
      <c r="AF66">
        <v>4</v>
      </c>
      <c r="AG66">
        <v>1</v>
      </c>
      <c r="AH66">
        <v>1.5</v>
      </c>
      <c r="AI66">
        <v>448</v>
      </c>
      <c r="AJ66">
        <v>448</v>
      </c>
      <c r="AK66">
        <v>192</v>
      </c>
      <c r="AL66" t="s">
        <v>58</v>
      </c>
      <c r="AM66">
        <v>1</v>
      </c>
      <c r="AN66" t="s">
        <v>51</v>
      </c>
      <c r="AO66" t="s">
        <v>59</v>
      </c>
      <c r="AP66" t="s">
        <v>60</v>
      </c>
      <c r="AQ66">
        <v>11</v>
      </c>
      <c r="AR66">
        <v>130</v>
      </c>
      <c r="AS66">
        <v>290</v>
      </c>
      <c r="AT66">
        <v>1.33</v>
      </c>
      <c r="AU66">
        <v>4.3099999999999996</v>
      </c>
      <c r="AV66" t="s">
        <v>297</v>
      </c>
      <c r="AX66" t="s">
        <v>298</v>
      </c>
    </row>
    <row r="67" spans="1:50" x14ac:dyDescent="0.25">
      <c r="A67" t="s">
        <v>299</v>
      </c>
      <c r="B67" t="s">
        <v>51</v>
      </c>
      <c r="C67">
        <v>0</v>
      </c>
      <c r="D67">
        <v>0</v>
      </c>
      <c r="F67">
        <v>0</v>
      </c>
      <c r="G67">
        <v>0</v>
      </c>
      <c r="H67">
        <v>0</v>
      </c>
      <c r="I67">
        <v>1</v>
      </c>
      <c r="J67">
        <v>1985</v>
      </c>
      <c r="K67">
        <v>0</v>
      </c>
      <c r="M67">
        <v>0</v>
      </c>
      <c r="N67">
        <v>0</v>
      </c>
      <c r="O67">
        <v>0</v>
      </c>
      <c r="P67">
        <v>0</v>
      </c>
      <c r="Q67">
        <v>0</v>
      </c>
      <c r="T67" t="s">
        <v>64</v>
      </c>
      <c r="U67" t="s">
        <v>65</v>
      </c>
      <c r="V67">
        <v>33</v>
      </c>
      <c r="W67" t="s">
        <v>54</v>
      </c>
      <c r="X67" t="s">
        <v>80</v>
      </c>
      <c r="Y67">
        <v>0</v>
      </c>
      <c r="AD67" t="s">
        <v>57</v>
      </c>
      <c r="AE67">
        <v>1</v>
      </c>
      <c r="AF67">
        <v>4</v>
      </c>
      <c r="AG67">
        <v>1</v>
      </c>
      <c r="AH67">
        <v>1.5</v>
      </c>
      <c r="AI67">
        <v>512</v>
      </c>
      <c r="AJ67">
        <v>512</v>
      </c>
      <c r="AK67">
        <v>200</v>
      </c>
      <c r="AL67" t="s">
        <v>81</v>
      </c>
      <c r="AM67">
        <v>1</v>
      </c>
      <c r="AN67" t="s">
        <v>51</v>
      </c>
      <c r="AO67" t="s">
        <v>67</v>
      </c>
      <c r="AP67" t="s">
        <v>68</v>
      </c>
      <c r="AQ67">
        <v>15</v>
      </c>
      <c r="AR67">
        <v>290</v>
      </c>
      <c r="AS67">
        <v>580</v>
      </c>
      <c r="AT67">
        <v>2.3199999999999998</v>
      </c>
      <c r="AU67">
        <v>4.9359999999999999</v>
      </c>
      <c r="AV67" t="s">
        <v>300</v>
      </c>
      <c r="AX67" t="s">
        <v>301</v>
      </c>
    </row>
    <row r="68" spans="1:50" x14ac:dyDescent="0.25">
      <c r="A68" t="s">
        <v>302</v>
      </c>
      <c r="B68" t="s">
        <v>51</v>
      </c>
      <c r="C68">
        <v>0</v>
      </c>
      <c r="D68">
        <v>1</v>
      </c>
      <c r="F68">
        <v>0</v>
      </c>
      <c r="G68">
        <v>0</v>
      </c>
      <c r="H68">
        <v>0</v>
      </c>
      <c r="I68">
        <v>0</v>
      </c>
      <c r="J68">
        <v>2230</v>
      </c>
      <c r="K68">
        <v>0</v>
      </c>
      <c r="M68">
        <v>0</v>
      </c>
      <c r="N68">
        <v>1</v>
      </c>
      <c r="O68">
        <v>1</v>
      </c>
      <c r="P68">
        <v>1</v>
      </c>
      <c r="Q68">
        <v>0</v>
      </c>
      <c r="S68">
        <v>37</v>
      </c>
      <c r="T68" t="s">
        <v>64</v>
      </c>
      <c r="U68" t="s">
        <v>93</v>
      </c>
      <c r="V68">
        <v>76</v>
      </c>
      <c r="W68" t="s">
        <v>79</v>
      </c>
      <c r="X68" t="s">
        <v>80</v>
      </c>
      <c r="Y68">
        <v>0</v>
      </c>
      <c r="Z68">
        <v>90.718485540000003</v>
      </c>
      <c r="AB68" t="s">
        <v>118</v>
      </c>
      <c r="AD68" t="s">
        <v>57</v>
      </c>
      <c r="AE68">
        <v>1</v>
      </c>
      <c r="AF68">
        <v>4</v>
      </c>
      <c r="AG68">
        <v>1</v>
      </c>
      <c r="AH68">
        <v>3</v>
      </c>
      <c r="AI68">
        <v>448</v>
      </c>
      <c r="AJ68">
        <v>448</v>
      </c>
      <c r="AK68">
        <v>128</v>
      </c>
      <c r="AL68" t="s">
        <v>75</v>
      </c>
      <c r="AM68">
        <v>1.2999999523162999</v>
      </c>
      <c r="AN68" t="s">
        <v>51</v>
      </c>
      <c r="AO68" t="s">
        <v>59</v>
      </c>
      <c r="AP68" t="s">
        <v>124</v>
      </c>
      <c r="AQ68">
        <v>11</v>
      </c>
      <c r="AR68">
        <v>53</v>
      </c>
      <c r="AS68">
        <v>146</v>
      </c>
      <c r="AT68">
        <v>1.44</v>
      </c>
      <c r="AU68">
        <v>3.7</v>
      </c>
      <c r="AV68" t="s">
        <v>303</v>
      </c>
      <c r="AX68" t="s">
        <v>304</v>
      </c>
    </row>
    <row r="69" spans="1:50" x14ac:dyDescent="0.25">
      <c r="A69" t="s">
        <v>305</v>
      </c>
      <c r="B69" t="s">
        <v>51</v>
      </c>
      <c r="C69">
        <v>0</v>
      </c>
      <c r="D69">
        <v>1</v>
      </c>
      <c r="F69">
        <v>0</v>
      </c>
      <c r="G69">
        <v>1</v>
      </c>
      <c r="H69">
        <v>1</v>
      </c>
      <c r="I69">
        <v>1</v>
      </c>
      <c r="J69">
        <v>808</v>
      </c>
      <c r="K69">
        <v>0</v>
      </c>
      <c r="M69">
        <v>0</v>
      </c>
      <c r="N69">
        <v>1</v>
      </c>
      <c r="O69">
        <v>1</v>
      </c>
      <c r="P69">
        <v>0</v>
      </c>
      <c r="Q69">
        <v>1</v>
      </c>
      <c r="T69" t="s">
        <v>64</v>
      </c>
      <c r="U69" t="s">
        <v>72</v>
      </c>
      <c r="V69">
        <v>63</v>
      </c>
      <c r="W69" t="s">
        <v>79</v>
      </c>
      <c r="X69" t="s">
        <v>80</v>
      </c>
      <c r="Y69">
        <v>0</v>
      </c>
      <c r="Z69">
        <v>78.017897564400002</v>
      </c>
      <c r="AA69">
        <v>1.6764033549999999</v>
      </c>
      <c r="AB69" t="s">
        <v>94</v>
      </c>
      <c r="AD69" t="s">
        <v>57</v>
      </c>
      <c r="AE69">
        <v>1</v>
      </c>
      <c r="AF69">
        <v>4</v>
      </c>
      <c r="AG69">
        <v>1</v>
      </c>
      <c r="AH69">
        <v>1.5</v>
      </c>
      <c r="AI69">
        <v>448</v>
      </c>
      <c r="AJ69">
        <v>448</v>
      </c>
      <c r="AK69">
        <v>176</v>
      </c>
      <c r="AL69" t="s">
        <v>123</v>
      </c>
      <c r="AM69">
        <v>1.1999999284744001</v>
      </c>
      <c r="AN69" t="s">
        <v>51</v>
      </c>
      <c r="AO69" t="s">
        <v>59</v>
      </c>
      <c r="AP69" t="s">
        <v>60</v>
      </c>
      <c r="AQ69">
        <v>11</v>
      </c>
      <c r="AR69">
        <v>54</v>
      </c>
      <c r="AS69">
        <v>140</v>
      </c>
      <c r="AT69">
        <v>1.36</v>
      </c>
      <c r="AU69">
        <v>4.3099999999999996</v>
      </c>
      <c r="AV69" t="s">
        <v>306</v>
      </c>
      <c r="AX69" t="s">
        <v>307</v>
      </c>
    </row>
    <row r="70" spans="1:50" x14ac:dyDescent="0.25">
      <c r="A70" t="s">
        <v>308</v>
      </c>
      <c r="B70" t="s">
        <v>51</v>
      </c>
      <c r="C70">
        <v>0</v>
      </c>
      <c r="D70">
        <v>1</v>
      </c>
      <c r="F70">
        <v>0</v>
      </c>
      <c r="G70">
        <v>0</v>
      </c>
      <c r="H70">
        <v>0</v>
      </c>
      <c r="I70">
        <v>1</v>
      </c>
      <c r="J70">
        <v>1356</v>
      </c>
      <c r="K70">
        <v>0</v>
      </c>
      <c r="M70">
        <v>0</v>
      </c>
      <c r="N70">
        <v>1</v>
      </c>
      <c r="O70">
        <v>1</v>
      </c>
      <c r="P70">
        <v>1</v>
      </c>
      <c r="Q70">
        <v>0</v>
      </c>
      <c r="T70" t="s">
        <v>289</v>
      </c>
      <c r="U70" t="s">
        <v>93</v>
      </c>
      <c r="V70">
        <v>48</v>
      </c>
      <c r="W70" t="s">
        <v>54</v>
      </c>
      <c r="X70" t="s">
        <v>80</v>
      </c>
      <c r="Y70">
        <v>0</v>
      </c>
      <c r="Z70">
        <v>72.12</v>
      </c>
      <c r="AB70" t="s">
        <v>94</v>
      </c>
      <c r="AD70" t="s">
        <v>57</v>
      </c>
      <c r="AE70">
        <v>1</v>
      </c>
      <c r="AF70">
        <v>4</v>
      </c>
      <c r="AG70">
        <v>1</v>
      </c>
      <c r="AH70">
        <v>1.5</v>
      </c>
      <c r="AI70">
        <v>512</v>
      </c>
      <c r="AJ70">
        <v>512</v>
      </c>
      <c r="AK70">
        <v>182</v>
      </c>
      <c r="AL70" t="s">
        <v>119</v>
      </c>
      <c r="AM70">
        <v>1.1000000000000001</v>
      </c>
      <c r="AN70" t="s">
        <v>51</v>
      </c>
      <c r="AO70" t="s">
        <v>67</v>
      </c>
      <c r="AP70" t="s">
        <v>89</v>
      </c>
      <c r="AQ70">
        <v>15</v>
      </c>
      <c r="AR70">
        <v>442</v>
      </c>
      <c r="AS70">
        <v>885</v>
      </c>
      <c r="AT70">
        <v>2.476</v>
      </c>
      <c r="AU70">
        <v>5.2919999999999998</v>
      </c>
      <c r="AV70" t="s">
        <v>309</v>
      </c>
      <c r="AX70" t="s">
        <v>310</v>
      </c>
    </row>
    <row r="71" spans="1:50" x14ac:dyDescent="0.25">
      <c r="A71" t="s">
        <v>311</v>
      </c>
      <c r="B71" t="s">
        <v>51</v>
      </c>
      <c r="C71">
        <v>0</v>
      </c>
      <c r="D71">
        <v>1</v>
      </c>
      <c r="F71">
        <v>0</v>
      </c>
      <c r="G71">
        <v>1</v>
      </c>
      <c r="H71">
        <v>0</v>
      </c>
      <c r="I71">
        <v>1</v>
      </c>
      <c r="J71">
        <v>708</v>
      </c>
      <c r="K71">
        <v>841</v>
      </c>
      <c r="M71">
        <v>0</v>
      </c>
      <c r="N71">
        <v>1</v>
      </c>
      <c r="O71">
        <v>1</v>
      </c>
      <c r="P71">
        <v>0</v>
      </c>
      <c r="Q71">
        <v>1</v>
      </c>
      <c r="T71" t="s">
        <v>64</v>
      </c>
      <c r="U71" t="s">
        <v>72</v>
      </c>
      <c r="V71">
        <v>47</v>
      </c>
      <c r="W71" t="s">
        <v>79</v>
      </c>
      <c r="X71" t="s">
        <v>55</v>
      </c>
      <c r="Y71">
        <v>0</v>
      </c>
      <c r="Z71">
        <v>113.39810692499999</v>
      </c>
      <c r="AA71">
        <v>1.6764033549999999</v>
      </c>
      <c r="AB71" t="s">
        <v>269</v>
      </c>
      <c r="AD71" t="s">
        <v>57</v>
      </c>
      <c r="AE71">
        <v>1</v>
      </c>
      <c r="AF71">
        <v>5</v>
      </c>
      <c r="AG71">
        <v>1</v>
      </c>
      <c r="AH71">
        <v>1.5</v>
      </c>
      <c r="AI71">
        <v>448</v>
      </c>
      <c r="AJ71">
        <v>448</v>
      </c>
      <c r="AK71">
        <v>160</v>
      </c>
      <c r="AL71" t="s">
        <v>58</v>
      </c>
      <c r="AM71">
        <v>1.1000000238419001</v>
      </c>
      <c r="AN71" t="s">
        <v>51</v>
      </c>
      <c r="AO71" t="s">
        <v>59</v>
      </c>
      <c r="AP71" t="s">
        <v>60</v>
      </c>
      <c r="AQ71">
        <v>11</v>
      </c>
      <c r="AR71">
        <v>64</v>
      </c>
      <c r="AS71">
        <v>174</v>
      </c>
      <c r="AT71">
        <v>1.36</v>
      </c>
      <c r="AU71">
        <v>4.12</v>
      </c>
      <c r="AV71" t="s">
        <v>312</v>
      </c>
      <c r="AX71" t="s">
        <v>313</v>
      </c>
    </row>
    <row r="72" spans="1:50" x14ac:dyDescent="0.25">
      <c r="A72" t="s">
        <v>314</v>
      </c>
      <c r="B72" t="s">
        <v>51</v>
      </c>
      <c r="C72">
        <v>0</v>
      </c>
      <c r="D72">
        <v>1</v>
      </c>
      <c r="F72">
        <v>0</v>
      </c>
      <c r="G72">
        <v>0</v>
      </c>
      <c r="H72">
        <v>0</v>
      </c>
      <c r="I72">
        <v>1</v>
      </c>
      <c r="J72">
        <v>791</v>
      </c>
      <c r="K72">
        <v>0</v>
      </c>
      <c r="M72">
        <v>0</v>
      </c>
      <c r="N72">
        <v>1</v>
      </c>
      <c r="O72">
        <v>1</v>
      </c>
      <c r="P72">
        <v>1</v>
      </c>
      <c r="Q72">
        <v>0</v>
      </c>
      <c r="T72" t="s">
        <v>52</v>
      </c>
      <c r="U72" t="s">
        <v>93</v>
      </c>
      <c r="V72">
        <v>50</v>
      </c>
      <c r="W72" t="s">
        <v>54</v>
      </c>
      <c r="X72" t="s">
        <v>80</v>
      </c>
      <c r="Y72">
        <v>0</v>
      </c>
      <c r="Z72">
        <v>99.790334094000002</v>
      </c>
      <c r="AA72">
        <v>1.7272034566667001</v>
      </c>
      <c r="AB72" t="s">
        <v>118</v>
      </c>
      <c r="AD72" t="s">
        <v>57</v>
      </c>
      <c r="AE72">
        <v>1</v>
      </c>
      <c r="AF72">
        <v>4</v>
      </c>
      <c r="AG72">
        <v>1</v>
      </c>
      <c r="AH72">
        <v>1.5</v>
      </c>
      <c r="AI72">
        <v>448</v>
      </c>
      <c r="AJ72">
        <v>448</v>
      </c>
      <c r="AK72">
        <v>176</v>
      </c>
      <c r="AL72" t="s">
        <v>58</v>
      </c>
      <c r="AM72">
        <v>1.039999961853</v>
      </c>
      <c r="AN72" t="s">
        <v>51</v>
      </c>
      <c r="AO72" t="s">
        <v>59</v>
      </c>
      <c r="AP72" t="s">
        <v>60</v>
      </c>
      <c r="AQ72">
        <v>11</v>
      </c>
      <c r="AR72">
        <v>58</v>
      </c>
      <c r="AS72">
        <v>149</v>
      </c>
      <c r="AT72">
        <v>1.33</v>
      </c>
      <c r="AU72">
        <v>4.3099999999999996</v>
      </c>
      <c r="AV72" t="s">
        <v>315</v>
      </c>
      <c r="AX72" t="s">
        <v>316</v>
      </c>
    </row>
    <row r="73" spans="1:50" x14ac:dyDescent="0.25">
      <c r="A73" t="s">
        <v>317</v>
      </c>
      <c r="B73" t="s">
        <v>51</v>
      </c>
      <c r="C73">
        <v>0</v>
      </c>
      <c r="D73">
        <v>1</v>
      </c>
      <c r="F73">
        <v>0</v>
      </c>
      <c r="G73">
        <v>0</v>
      </c>
      <c r="H73">
        <v>0</v>
      </c>
      <c r="I73">
        <v>0</v>
      </c>
      <c r="J73">
        <v>2397</v>
      </c>
      <c r="K73">
        <v>0</v>
      </c>
      <c r="M73">
        <v>0</v>
      </c>
      <c r="N73">
        <v>1</v>
      </c>
      <c r="O73">
        <v>1</v>
      </c>
      <c r="P73">
        <v>1</v>
      </c>
      <c r="Q73">
        <v>0</v>
      </c>
      <c r="T73" t="s">
        <v>52</v>
      </c>
      <c r="U73" t="s">
        <v>93</v>
      </c>
      <c r="V73">
        <v>43</v>
      </c>
      <c r="W73" t="s">
        <v>54</v>
      </c>
      <c r="X73" t="s">
        <v>80</v>
      </c>
      <c r="Y73">
        <v>0</v>
      </c>
      <c r="Z73">
        <v>81.646636986000004</v>
      </c>
      <c r="AA73">
        <v>1.7780035583333</v>
      </c>
      <c r="AB73" t="s">
        <v>94</v>
      </c>
      <c r="AD73" t="s">
        <v>57</v>
      </c>
      <c r="AE73">
        <v>1</v>
      </c>
      <c r="AF73">
        <v>5</v>
      </c>
      <c r="AG73">
        <v>1</v>
      </c>
      <c r="AH73">
        <v>3</v>
      </c>
      <c r="AI73">
        <v>448</v>
      </c>
      <c r="AJ73">
        <v>448</v>
      </c>
      <c r="AK73">
        <v>120</v>
      </c>
      <c r="AL73" t="s">
        <v>123</v>
      </c>
      <c r="AM73">
        <v>1</v>
      </c>
      <c r="AN73" t="s">
        <v>51</v>
      </c>
      <c r="AO73" t="s">
        <v>59</v>
      </c>
      <c r="AP73" t="s">
        <v>124</v>
      </c>
      <c r="AQ73">
        <v>11</v>
      </c>
      <c r="AR73">
        <v>67</v>
      </c>
      <c r="AS73">
        <v>187</v>
      </c>
      <c r="AT73">
        <v>1.44</v>
      </c>
      <c r="AU73">
        <v>4</v>
      </c>
      <c r="AV73" t="s">
        <v>318</v>
      </c>
      <c r="AX73" t="s">
        <v>319</v>
      </c>
    </row>
    <row r="74" spans="1:50" x14ac:dyDescent="0.25">
      <c r="A74" t="s">
        <v>320</v>
      </c>
      <c r="B74" t="s">
        <v>51</v>
      </c>
      <c r="C74">
        <v>0</v>
      </c>
      <c r="D74">
        <v>0</v>
      </c>
      <c r="F74">
        <v>0</v>
      </c>
      <c r="G74">
        <v>1</v>
      </c>
      <c r="H74">
        <v>1</v>
      </c>
      <c r="I74">
        <v>1</v>
      </c>
      <c r="J74">
        <v>885</v>
      </c>
      <c r="K74">
        <v>0</v>
      </c>
      <c r="M74">
        <v>0</v>
      </c>
      <c r="N74">
        <v>0</v>
      </c>
      <c r="O74">
        <v>0</v>
      </c>
      <c r="P74">
        <v>0</v>
      </c>
      <c r="Q74">
        <v>1</v>
      </c>
      <c r="T74" t="s">
        <v>52</v>
      </c>
      <c r="U74" t="s">
        <v>53</v>
      </c>
      <c r="V74">
        <v>43</v>
      </c>
      <c r="W74" t="s">
        <v>54</v>
      </c>
      <c r="X74" t="s">
        <v>321</v>
      </c>
      <c r="Y74">
        <v>0</v>
      </c>
      <c r="Z74">
        <v>79.378674847499994</v>
      </c>
      <c r="AB74" t="s">
        <v>94</v>
      </c>
      <c r="AD74" t="s">
        <v>57</v>
      </c>
      <c r="AE74">
        <v>1</v>
      </c>
      <c r="AF74">
        <v>4</v>
      </c>
      <c r="AG74">
        <v>1</v>
      </c>
      <c r="AH74">
        <v>1.5</v>
      </c>
      <c r="AI74">
        <v>448</v>
      </c>
      <c r="AJ74">
        <v>448</v>
      </c>
      <c r="AK74">
        <v>176</v>
      </c>
      <c r="AL74" t="s">
        <v>58</v>
      </c>
      <c r="AM74">
        <v>1</v>
      </c>
      <c r="AN74" t="s">
        <v>51</v>
      </c>
      <c r="AO74" t="s">
        <v>59</v>
      </c>
      <c r="AP74" t="s">
        <v>60</v>
      </c>
      <c r="AQ74">
        <v>11</v>
      </c>
      <c r="AR74">
        <v>66</v>
      </c>
      <c r="AS74">
        <v>170</v>
      </c>
      <c r="AT74">
        <v>1.33</v>
      </c>
      <c r="AU74">
        <v>4.3099999999999996</v>
      </c>
      <c r="AV74" t="s">
        <v>322</v>
      </c>
      <c r="AX74" t="s">
        <v>323</v>
      </c>
    </row>
    <row r="75" spans="1:50" x14ac:dyDescent="0.25">
      <c r="A75" t="s">
        <v>324</v>
      </c>
      <c r="B75" t="s">
        <v>51</v>
      </c>
      <c r="C75">
        <v>0</v>
      </c>
      <c r="D75">
        <v>0</v>
      </c>
      <c r="F75">
        <v>0</v>
      </c>
      <c r="G75">
        <v>0</v>
      </c>
      <c r="H75">
        <v>0</v>
      </c>
      <c r="I75">
        <v>1</v>
      </c>
      <c r="J75">
        <v>939</v>
      </c>
      <c r="K75">
        <v>1108</v>
      </c>
      <c r="M75">
        <v>0</v>
      </c>
      <c r="N75">
        <v>1</v>
      </c>
      <c r="O75">
        <v>1</v>
      </c>
      <c r="P75">
        <v>0</v>
      </c>
      <c r="Q75">
        <v>0</v>
      </c>
      <c r="T75" t="s">
        <v>64</v>
      </c>
      <c r="U75" t="s">
        <v>93</v>
      </c>
      <c r="V75">
        <v>46</v>
      </c>
      <c r="W75" t="s">
        <v>79</v>
      </c>
      <c r="X75" t="s">
        <v>55</v>
      </c>
      <c r="Y75">
        <v>0</v>
      </c>
      <c r="Z75">
        <v>66.677999999999997</v>
      </c>
      <c r="AB75" t="s">
        <v>74</v>
      </c>
      <c r="AD75" t="s">
        <v>57</v>
      </c>
      <c r="AE75">
        <v>1</v>
      </c>
      <c r="AF75">
        <v>4</v>
      </c>
      <c r="AG75">
        <v>1</v>
      </c>
      <c r="AH75">
        <v>1.5</v>
      </c>
      <c r="AI75">
        <v>512</v>
      </c>
      <c r="AJ75">
        <v>512</v>
      </c>
      <c r="AK75">
        <v>160</v>
      </c>
      <c r="AL75" t="s">
        <v>81</v>
      </c>
      <c r="AM75">
        <v>1</v>
      </c>
      <c r="AN75" t="s">
        <v>51</v>
      </c>
      <c r="AO75" t="s">
        <v>67</v>
      </c>
      <c r="AP75" t="s">
        <v>68</v>
      </c>
      <c r="AQ75">
        <v>15</v>
      </c>
      <c r="AR75">
        <v>333</v>
      </c>
      <c r="AS75">
        <v>666</v>
      </c>
      <c r="AT75">
        <v>2.3119999999999998</v>
      </c>
      <c r="AU75">
        <v>4.9240000000000004</v>
      </c>
      <c r="AV75" t="s">
        <v>325</v>
      </c>
      <c r="AX75" t="s">
        <v>326</v>
      </c>
    </row>
    <row r="76" spans="1:50" x14ac:dyDescent="0.25">
      <c r="A76" t="s">
        <v>327</v>
      </c>
      <c r="B76" t="s">
        <v>51</v>
      </c>
      <c r="C76">
        <v>0</v>
      </c>
      <c r="D76">
        <v>1</v>
      </c>
      <c r="F76">
        <v>0</v>
      </c>
      <c r="G76">
        <v>0</v>
      </c>
      <c r="H76">
        <v>0</v>
      </c>
      <c r="I76">
        <v>1</v>
      </c>
      <c r="J76">
        <v>1942</v>
      </c>
      <c r="K76">
        <v>0</v>
      </c>
      <c r="M76">
        <v>0</v>
      </c>
      <c r="N76">
        <v>0</v>
      </c>
      <c r="O76">
        <v>0</v>
      </c>
      <c r="P76">
        <v>0</v>
      </c>
      <c r="Q76">
        <v>0</v>
      </c>
      <c r="U76" t="s">
        <v>65</v>
      </c>
      <c r="V76">
        <v>53</v>
      </c>
      <c r="W76" t="s">
        <v>79</v>
      </c>
      <c r="X76" t="s">
        <v>80</v>
      </c>
      <c r="Y76">
        <v>0</v>
      </c>
      <c r="Z76">
        <v>72.574788432000005</v>
      </c>
      <c r="AB76" t="s">
        <v>94</v>
      </c>
      <c r="AC76" t="s">
        <v>102</v>
      </c>
      <c r="AD76" t="s">
        <v>57</v>
      </c>
      <c r="AE76">
        <v>1</v>
      </c>
      <c r="AF76">
        <v>5</v>
      </c>
      <c r="AG76">
        <v>1</v>
      </c>
      <c r="AH76">
        <v>3</v>
      </c>
      <c r="AI76">
        <v>448</v>
      </c>
      <c r="AJ76">
        <v>448</v>
      </c>
      <c r="AK76">
        <v>160</v>
      </c>
      <c r="AL76" t="s">
        <v>230</v>
      </c>
      <c r="AM76">
        <v>1.1000000238419001</v>
      </c>
      <c r="AN76" t="s">
        <v>51</v>
      </c>
      <c r="AO76" t="s">
        <v>59</v>
      </c>
      <c r="AP76" t="s">
        <v>124</v>
      </c>
      <c r="AQ76">
        <v>11</v>
      </c>
      <c r="AR76">
        <v>63</v>
      </c>
      <c r="AS76">
        <v>171</v>
      </c>
      <c r="AT76">
        <v>1.47</v>
      </c>
      <c r="AU76">
        <v>4.09</v>
      </c>
      <c r="AV76" t="s">
        <v>328</v>
      </c>
      <c r="AX76" t="s">
        <v>329</v>
      </c>
    </row>
    <row r="77" spans="1:50" x14ac:dyDescent="0.25">
      <c r="A77" t="s">
        <v>330</v>
      </c>
      <c r="B77" t="s">
        <v>51</v>
      </c>
      <c r="C77">
        <v>0</v>
      </c>
      <c r="D77">
        <v>0</v>
      </c>
      <c r="F77">
        <v>0</v>
      </c>
      <c r="G77">
        <v>0</v>
      </c>
      <c r="H77">
        <v>1</v>
      </c>
      <c r="I77">
        <v>1</v>
      </c>
      <c r="J77">
        <v>1575</v>
      </c>
      <c r="K77">
        <v>0</v>
      </c>
      <c r="M77">
        <v>0</v>
      </c>
      <c r="N77">
        <v>0</v>
      </c>
      <c r="O77">
        <v>0</v>
      </c>
      <c r="P77">
        <v>0</v>
      </c>
      <c r="Q77">
        <v>0</v>
      </c>
      <c r="U77" t="s">
        <v>65</v>
      </c>
      <c r="V77">
        <v>50</v>
      </c>
      <c r="W77" t="s">
        <v>54</v>
      </c>
      <c r="X77" t="s">
        <v>55</v>
      </c>
      <c r="Y77">
        <v>0</v>
      </c>
      <c r="Z77">
        <v>42.637999999999998</v>
      </c>
      <c r="AB77" t="s">
        <v>247</v>
      </c>
      <c r="AD77" t="s">
        <v>57</v>
      </c>
      <c r="AE77">
        <v>1</v>
      </c>
      <c r="AF77">
        <v>5</v>
      </c>
      <c r="AG77">
        <v>1</v>
      </c>
      <c r="AH77">
        <v>3</v>
      </c>
      <c r="AI77">
        <v>512</v>
      </c>
      <c r="AJ77">
        <v>512</v>
      </c>
      <c r="AK77">
        <v>142</v>
      </c>
      <c r="AL77" t="s">
        <v>331</v>
      </c>
      <c r="AM77">
        <v>1</v>
      </c>
      <c r="AN77" t="s">
        <v>51</v>
      </c>
      <c r="AO77" t="s">
        <v>67</v>
      </c>
      <c r="AP77" t="s">
        <v>114</v>
      </c>
      <c r="AQ77">
        <v>15</v>
      </c>
      <c r="AR77">
        <v>872</v>
      </c>
      <c r="AS77">
        <v>1744</v>
      </c>
      <c r="AT77">
        <v>2.56</v>
      </c>
      <c r="AU77">
        <v>6.9779999999999998</v>
      </c>
      <c r="AV77" t="s">
        <v>332</v>
      </c>
      <c r="AX77" t="s">
        <v>333</v>
      </c>
    </row>
    <row r="78" spans="1:50" x14ac:dyDescent="0.25">
      <c r="A78" t="s">
        <v>334</v>
      </c>
      <c r="B78" t="s">
        <v>51</v>
      </c>
      <c r="C78">
        <v>0</v>
      </c>
      <c r="D78">
        <v>0</v>
      </c>
      <c r="F78">
        <v>0</v>
      </c>
      <c r="G78">
        <v>0</v>
      </c>
      <c r="H78">
        <v>0</v>
      </c>
      <c r="I78">
        <v>0</v>
      </c>
      <c r="J78">
        <v>1500</v>
      </c>
      <c r="K78">
        <v>0</v>
      </c>
      <c r="M78">
        <v>0</v>
      </c>
      <c r="N78">
        <v>0</v>
      </c>
      <c r="O78">
        <v>0</v>
      </c>
      <c r="P78">
        <v>0</v>
      </c>
      <c r="Q78">
        <v>0</v>
      </c>
      <c r="U78" t="s">
        <v>65</v>
      </c>
      <c r="V78">
        <v>53</v>
      </c>
      <c r="W78" t="s">
        <v>79</v>
      </c>
      <c r="X78" t="s">
        <v>80</v>
      </c>
      <c r="Y78">
        <v>0</v>
      </c>
      <c r="Z78">
        <v>77.111000000000004</v>
      </c>
      <c r="AB78" t="s">
        <v>94</v>
      </c>
      <c r="AC78" t="s">
        <v>102</v>
      </c>
      <c r="AD78" t="s">
        <v>57</v>
      </c>
      <c r="AE78">
        <v>1</v>
      </c>
      <c r="AF78">
        <v>5</v>
      </c>
      <c r="AG78">
        <v>1</v>
      </c>
      <c r="AH78">
        <v>3</v>
      </c>
      <c r="AI78">
        <v>512</v>
      </c>
      <c r="AJ78">
        <v>512</v>
      </c>
      <c r="AK78">
        <v>174</v>
      </c>
      <c r="AL78" t="s">
        <v>240</v>
      </c>
      <c r="AM78">
        <v>1</v>
      </c>
      <c r="AN78" t="s">
        <v>51</v>
      </c>
      <c r="AO78" t="s">
        <v>67</v>
      </c>
      <c r="AP78" t="s">
        <v>114</v>
      </c>
      <c r="AQ78">
        <v>15</v>
      </c>
      <c r="AR78">
        <v>767</v>
      </c>
      <c r="AS78">
        <v>1534</v>
      </c>
      <c r="AT78">
        <v>2.3679999999999999</v>
      </c>
      <c r="AU78">
        <v>5.2210000000000001</v>
      </c>
      <c r="AV78" t="s">
        <v>335</v>
      </c>
      <c r="AX78" t="s">
        <v>336</v>
      </c>
    </row>
    <row r="79" spans="1:50" x14ac:dyDescent="0.25">
      <c r="A79" t="s">
        <v>337</v>
      </c>
      <c r="B79" t="s">
        <v>51</v>
      </c>
      <c r="C79">
        <v>0</v>
      </c>
      <c r="D79">
        <v>0</v>
      </c>
      <c r="F79">
        <v>0</v>
      </c>
      <c r="G79">
        <v>0</v>
      </c>
      <c r="H79">
        <v>0</v>
      </c>
      <c r="I79">
        <v>1</v>
      </c>
      <c r="J79">
        <v>286</v>
      </c>
      <c r="K79">
        <v>317</v>
      </c>
      <c r="M79">
        <v>336</v>
      </c>
      <c r="N79">
        <v>0</v>
      </c>
      <c r="O79">
        <v>0</v>
      </c>
      <c r="P79">
        <v>0</v>
      </c>
      <c r="Q79">
        <v>0</v>
      </c>
      <c r="T79" t="s">
        <v>289</v>
      </c>
      <c r="U79" t="s">
        <v>65</v>
      </c>
      <c r="V79">
        <v>44</v>
      </c>
      <c r="W79" t="s">
        <v>54</v>
      </c>
      <c r="X79" t="s">
        <v>80</v>
      </c>
      <c r="Y79">
        <v>0</v>
      </c>
      <c r="AD79" t="s">
        <v>57</v>
      </c>
      <c r="AE79">
        <v>1</v>
      </c>
      <c r="AF79">
        <v>4</v>
      </c>
      <c r="AG79">
        <v>1</v>
      </c>
      <c r="AH79">
        <v>1.5</v>
      </c>
      <c r="AI79">
        <v>512</v>
      </c>
      <c r="AJ79">
        <v>512</v>
      </c>
      <c r="AK79">
        <v>144</v>
      </c>
      <c r="AL79" t="s">
        <v>196</v>
      </c>
      <c r="AM79">
        <v>1</v>
      </c>
      <c r="AN79" t="s">
        <v>51</v>
      </c>
      <c r="AO79" t="s">
        <v>67</v>
      </c>
      <c r="AP79" t="s">
        <v>68</v>
      </c>
      <c r="AQ79">
        <v>15</v>
      </c>
      <c r="AR79">
        <v>421</v>
      </c>
      <c r="AS79">
        <v>842</v>
      </c>
      <c r="AT79">
        <v>2.3519999999999999</v>
      </c>
      <c r="AU79">
        <v>4.9800000000000004</v>
      </c>
      <c r="AV79" t="s">
        <v>338</v>
      </c>
      <c r="AX79" t="s">
        <v>339</v>
      </c>
    </row>
    <row r="80" spans="1:50" x14ac:dyDescent="0.25">
      <c r="A80" t="s">
        <v>340</v>
      </c>
      <c r="B80" t="s">
        <v>51</v>
      </c>
      <c r="C80">
        <v>0</v>
      </c>
      <c r="D80">
        <v>1</v>
      </c>
      <c r="F80">
        <v>0</v>
      </c>
      <c r="G80">
        <v>0</v>
      </c>
      <c r="H80">
        <v>0</v>
      </c>
      <c r="I80">
        <v>1</v>
      </c>
      <c r="J80">
        <v>1576</v>
      </c>
      <c r="K80">
        <v>0</v>
      </c>
      <c r="M80">
        <v>0</v>
      </c>
      <c r="N80">
        <v>1</v>
      </c>
      <c r="O80">
        <v>1</v>
      </c>
      <c r="P80">
        <v>1</v>
      </c>
      <c r="Q80">
        <v>0</v>
      </c>
      <c r="U80" t="s">
        <v>93</v>
      </c>
      <c r="V80">
        <v>66</v>
      </c>
      <c r="W80" t="s">
        <v>79</v>
      </c>
      <c r="X80" t="s">
        <v>80</v>
      </c>
      <c r="Y80">
        <v>0</v>
      </c>
      <c r="Z80">
        <v>88.903999999999996</v>
      </c>
      <c r="AB80" t="s">
        <v>118</v>
      </c>
      <c r="AC80" t="s">
        <v>152</v>
      </c>
      <c r="AD80" t="s">
        <v>57</v>
      </c>
      <c r="AE80">
        <v>1</v>
      </c>
      <c r="AF80">
        <v>5</v>
      </c>
      <c r="AG80">
        <v>1</v>
      </c>
      <c r="AH80">
        <v>3</v>
      </c>
      <c r="AI80">
        <v>512</v>
      </c>
      <c r="AJ80">
        <v>512</v>
      </c>
      <c r="AK80">
        <v>188</v>
      </c>
      <c r="AL80" t="s">
        <v>119</v>
      </c>
      <c r="AM80">
        <v>1.1000000000000001</v>
      </c>
      <c r="AN80" t="s">
        <v>51</v>
      </c>
      <c r="AO80" t="s">
        <v>67</v>
      </c>
      <c r="AP80" t="s">
        <v>114</v>
      </c>
      <c r="AQ80">
        <v>15</v>
      </c>
      <c r="AR80">
        <v>1170</v>
      </c>
      <c r="AS80">
        <v>2340</v>
      </c>
      <c r="AT80">
        <v>2.3919999999999999</v>
      </c>
      <c r="AU80">
        <v>5.2539999999999996</v>
      </c>
      <c r="AV80" t="s">
        <v>341</v>
      </c>
      <c r="AX80" t="s">
        <v>342</v>
      </c>
    </row>
    <row r="81" spans="1:50" x14ac:dyDescent="0.25">
      <c r="A81" t="s">
        <v>343</v>
      </c>
      <c r="B81" t="s">
        <v>51</v>
      </c>
      <c r="C81">
        <v>0</v>
      </c>
      <c r="D81">
        <v>0</v>
      </c>
      <c r="F81">
        <v>0</v>
      </c>
      <c r="G81">
        <v>0</v>
      </c>
      <c r="H81">
        <v>0</v>
      </c>
      <c r="I81">
        <v>0</v>
      </c>
      <c r="J81">
        <v>1858</v>
      </c>
      <c r="K81">
        <v>0</v>
      </c>
      <c r="M81">
        <v>0</v>
      </c>
      <c r="N81">
        <v>0</v>
      </c>
      <c r="O81">
        <v>0</v>
      </c>
      <c r="P81">
        <v>0</v>
      </c>
      <c r="Q81">
        <v>0</v>
      </c>
      <c r="T81" t="s">
        <v>52</v>
      </c>
      <c r="U81" t="s">
        <v>65</v>
      </c>
      <c r="V81">
        <v>45</v>
      </c>
      <c r="W81" t="s">
        <v>54</v>
      </c>
      <c r="X81" t="s">
        <v>80</v>
      </c>
      <c r="Y81">
        <v>0</v>
      </c>
      <c r="AD81" t="s">
        <v>57</v>
      </c>
      <c r="AE81">
        <v>1</v>
      </c>
      <c r="AF81">
        <v>4</v>
      </c>
      <c r="AG81">
        <v>1</v>
      </c>
      <c r="AH81">
        <v>1.5</v>
      </c>
      <c r="AI81">
        <v>512</v>
      </c>
      <c r="AJ81">
        <v>512</v>
      </c>
      <c r="AK81">
        <v>176</v>
      </c>
      <c r="AL81" t="s">
        <v>119</v>
      </c>
      <c r="AM81">
        <v>1</v>
      </c>
      <c r="AN81" t="s">
        <v>51</v>
      </c>
      <c r="AO81" t="s">
        <v>67</v>
      </c>
      <c r="AP81" t="s">
        <v>68</v>
      </c>
      <c r="AQ81">
        <v>15</v>
      </c>
      <c r="AR81">
        <v>514</v>
      </c>
      <c r="AS81">
        <v>1029</v>
      </c>
      <c r="AT81">
        <v>2.2799999999999998</v>
      </c>
      <c r="AU81">
        <v>4.8879999999999999</v>
      </c>
      <c r="AV81" t="s">
        <v>344</v>
      </c>
      <c r="AX81" t="s">
        <v>345</v>
      </c>
    </row>
    <row r="82" spans="1:50" x14ac:dyDescent="0.25">
      <c r="A82" t="s">
        <v>346</v>
      </c>
      <c r="B82" t="s">
        <v>51</v>
      </c>
      <c r="C82">
        <v>0</v>
      </c>
      <c r="D82">
        <v>1</v>
      </c>
      <c r="F82">
        <v>0</v>
      </c>
      <c r="G82">
        <v>1</v>
      </c>
      <c r="H82">
        <v>0</v>
      </c>
      <c r="I82">
        <v>1</v>
      </c>
      <c r="J82">
        <v>2044</v>
      </c>
      <c r="K82">
        <v>0</v>
      </c>
      <c r="M82">
        <v>0</v>
      </c>
      <c r="N82">
        <v>1</v>
      </c>
      <c r="O82">
        <v>1</v>
      </c>
      <c r="P82">
        <v>0</v>
      </c>
      <c r="Q82">
        <v>1</v>
      </c>
      <c r="T82" t="s">
        <v>64</v>
      </c>
      <c r="U82" t="s">
        <v>72</v>
      </c>
      <c r="V82">
        <v>43</v>
      </c>
      <c r="W82" t="s">
        <v>54</v>
      </c>
      <c r="X82" t="s">
        <v>80</v>
      </c>
      <c r="Y82">
        <v>0</v>
      </c>
      <c r="Z82">
        <v>68.039000000000001</v>
      </c>
      <c r="AB82" t="s">
        <v>74</v>
      </c>
      <c r="AD82" t="s">
        <v>57</v>
      </c>
      <c r="AE82">
        <v>1</v>
      </c>
      <c r="AF82">
        <v>4</v>
      </c>
      <c r="AG82">
        <v>1</v>
      </c>
      <c r="AH82">
        <v>1.5</v>
      </c>
      <c r="AI82">
        <v>512</v>
      </c>
      <c r="AJ82">
        <v>512</v>
      </c>
      <c r="AK82">
        <v>192</v>
      </c>
      <c r="AL82" t="s">
        <v>81</v>
      </c>
      <c r="AM82">
        <v>1</v>
      </c>
      <c r="AN82" t="s">
        <v>51</v>
      </c>
      <c r="AO82" t="s">
        <v>67</v>
      </c>
      <c r="AP82" t="s">
        <v>68</v>
      </c>
      <c r="AQ82">
        <v>15</v>
      </c>
      <c r="AR82">
        <v>245</v>
      </c>
      <c r="AS82">
        <v>491</v>
      </c>
      <c r="AT82">
        <v>2.3199999999999998</v>
      </c>
      <c r="AU82">
        <v>4.9359999999999999</v>
      </c>
      <c r="AV82" t="s">
        <v>347</v>
      </c>
      <c r="AX82" t="s">
        <v>348</v>
      </c>
    </row>
    <row r="83" spans="1:50" x14ac:dyDescent="0.25">
      <c r="A83" t="s">
        <v>349</v>
      </c>
      <c r="B83" t="s">
        <v>51</v>
      </c>
      <c r="C83">
        <v>0</v>
      </c>
      <c r="D83">
        <v>0</v>
      </c>
      <c r="F83">
        <v>0</v>
      </c>
      <c r="G83">
        <v>0</v>
      </c>
      <c r="H83">
        <v>0</v>
      </c>
      <c r="I83">
        <v>0</v>
      </c>
      <c r="J83">
        <v>1679</v>
      </c>
      <c r="K83">
        <v>0</v>
      </c>
      <c r="M83">
        <v>0</v>
      </c>
      <c r="N83">
        <v>1</v>
      </c>
      <c r="O83">
        <v>1</v>
      </c>
      <c r="P83">
        <v>1</v>
      </c>
      <c r="Q83">
        <v>0</v>
      </c>
      <c r="U83" t="s">
        <v>93</v>
      </c>
      <c r="V83">
        <v>52</v>
      </c>
      <c r="W83" t="s">
        <v>79</v>
      </c>
      <c r="X83" t="s">
        <v>55</v>
      </c>
      <c r="Y83">
        <v>0</v>
      </c>
      <c r="Z83">
        <v>127.006</v>
      </c>
      <c r="AB83" t="s">
        <v>269</v>
      </c>
      <c r="AC83" t="s">
        <v>152</v>
      </c>
      <c r="AD83" t="s">
        <v>57</v>
      </c>
      <c r="AE83">
        <v>1</v>
      </c>
      <c r="AF83">
        <v>5</v>
      </c>
      <c r="AG83">
        <v>1</v>
      </c>
      <c r="AH83">
        <v>1.5</v>
      </c>
      <c r="AI83">
        <v>512</v>
      </c>
      <c r="AJ83">
        <v>512</v>
      </c>
      <c r="AK83">
        <v>186</v>
      </c>
      <c r="AL83" t="s">
        <v>350</v>
      </c>
      <c r="AM83">
        <v>1</v>
      </c>
      <c r="AN83" t="s">
        <v>51</v>
      </c>
      <c r="AO83" t="s">
        <v>67</v>
      </c>
      <c r="AP83" t="s">
        <v>114</v>
      </c>
      <c r="AQ83">
        <v>15</v>
      </c>
      <c r="AR83">
        <v>1152</v>
      </c>
      <c r="AS83">
        <v>2305</v>
      </c>
      <c r="AT83">
        <v>2.2200000000000002</v>
      </c>
      <c r="AU83">
        <v>4.7919999999999998</v>
      </c>
      <c r="AV83" t="s">
        <v>351</v>
      </c>
      <c r="AX83" t="s">
        <v>352</v>
      </c>
    </row>
    <row r="84" spans="1:50" x14ac:dyDescent="0.25">
      <c r="A84" t="s">
        <v>353</v>
      </c>
      <c r="B84" t="s">
        <v>51</v>
      </c>
      <c r="C84">
        <v>0</v>
      </c>
      <c r="D84">
        <v>0</v>
      </c>
      <c r="F84">
        <v>0</v>
      </c>
      <c r="G84">
        <v>0</v>
      </c>
      <c r="H84">
        <v>0</v>
      </c>
      <c r="I84">
        <v>0</v>
      </c>
      <c r="J84">
        <v>1329</v>
      </c>
      <c r="K84">
        <v>1500</v>
      </c>
      <c r="M84">
        <v>0</v>
      </c>
      <c r="N84">
        <v>1</v>
      </c>
      <c r="O84">
        <v>1</v>
      </c>
      <c r="P84">
        <v>0</v>
      </c>
      <c r="Q84">
        <v>0</v>
      </c>
      <c r="T84" t="s">
        <v>64</v>
      </c>
      <c r="U84" t="s">
        <v>93</v>
      </c>
      <c r="V84">
        <v>35</v>
      </c>
      <c r="W84" t="s">
        <v>54</v>
      </c>
      <c r="X84" t="s">
        <v>73</v>
      </c>
      <c r="Y84">
        <v>0</v>
      </c>
      <c r="Z84">
        <v>57.152645890199999</v>
      </c>
      <c r="AB84" t="s">
        <v>74</v>
      </c>
      <c r="AD84" t="s">
        <v>57</v>
      </c>
      <c r="AE84">
        <v>1</v>
      </c>
      <c r="AF84">
        <v>4</v>
      </c>
      <c r="AG84">
        <v>1</v>
      </c>
      <c r="AH84">
        <v>1.5</v>
      </c>
      <c r="AI84">
        <v>320</v>
      </c>
      <c r="AJ84">
        <v>320</v>
      </c>
      <c r="AK84">
        <v>144</v>
      </c>
      <c r="AL84" t="s">
        <v>354</v>
      </c>
      <c r="AM84">
        <v>1.0999999046325999</v>
      </c>
      <c r="AN84" t="s">
        <v>51</v>
      </c>
      <c r="AO84" t="s">
        <v>59</v>
      </c>
      <c r="AP84" t="s">
        <v>60</v>
      </c>
      <c r="AQ84">
        <v>11</v>
      </c>
      <c r="AR84">
        <v>52</v>
      </c>
      <c r="AS84">
        <v>143</v>
      </c>
      <c r="AT84">
        <v>1.5</v>
      </c>
      <c r="AU84">
        <v>4.26</v>
      </c>
      <c r="AV84" t="s">
        <v>355</v>
      </c>
      <c r="AX84" t="s">
        <v>356</v>
      </c>
    </row>
    <row r="85" spans="1:50" x14ac:dyDescent="0.25">
      <c r="A85" t="s">
        <v>357</v>
      </c>
      <c r="B85" t="s">
        <v>51</v>
      </c>
      <c r="C85">
        <v>0</v>
      </c>
      <c r="D85">
        <v>0</v>
      </c>
      <c r="F85">
        <v>0</v>
      </c>
      <c r="G85">
        <v>1</v>
      </c>
      <c r="H85">
        <v>0</v>
      </c>
      <c r="I85">
        <v>0</v>
      </c>
      <c r="J85">
        <v>1661</v>
      </c>
      <c r="K85">
        <v>0</v>
      </c>
      <c r="M85">
        <v>0</v>
      </c>
      <c r="N85">
        <v>1</v>
      </c>
      <c r="O85">
        <v>1</v>
      </c>
      <c r="P85">
        <v>1</v>
      </c>
      <c r="Q85">
        <v>1</v>
      </c>
      <c r="T85" t="s">
        <v>64</v>
      </c>
      <c r="U85" t="s">
        <v>72</v>
      </c>
      <c r="V85">
        <v>59</v>
      </c>
      <c r="W85" t="s">
        <v>79</v>
      </c>
      <c r="X85" t="s">
        <v>80</v>
      </c>
      <c r="Y85">
        <v>0</v>
      </c>
      <c r="Z85">
        <v>72.575000000000003</v>
      </c>
      <c r="AB85" t="s">
        <v>94</v>
      </c>
      <c r="AD85" t="s">
        <v>57</v>
      </c>
      <c r="AE85">
        <v>1</v>
      </c>
      <c r="AF85">
        <v>4</v>
      </c>
      <c r="AG85">
        <v>1</v>
      </c>
      <c r="AH85">
        <v>1.5</v>
      </c>
      <c r="AI85">
        <v>512</v>
      </c>
      <c r="AJ85">
        <v>512</v>
      </c>
      <c r="AK85">
        <v>148</v>
      </c>
      <c r="AL85" t="s">
        <v>81</v>
      </c>
      <c r="AM85">
        <v>1</v>
      </c>
      <c r="AN85" t="s">
        <v>51</v>
      </c>
      <c r="AO85" t="s">
        <v>67</v>
      </c>
      <c r="AP85" t="s">
        <v>68</v>
      </c>
      <c r="AQ85">
        <v>15</v>
      </c>
      <c r="AR85">
        <v>310</v>
      </c>
      <c r="AS85">
        <v>620</v>
      </c>
      <c r="AT85">
        <v>2.3119999999999998</v>
      </c>
      <c r="AU85">
        <v>4.9320000000000004</v>
      </c>
      <c r="AV85" t="s">
        <v>358</v>
      </c>
      <c r="AX85" t="s">
        <v>359</v>
      </c>
    </row>
    <row r="86" spans="1:50" x14ac:dyDescent="0.25">
      <c r="A86" t="s">
        <v>360</v>
      </c>
      <c r="B86" t="s">
        <v>51</v>
      </c>
      <c r="C86">
        <v>0</v>
      </c>
      <c r="D86">
        <v>0</v>
      </c>
      <c r="F86">
        <v>0</v>
      </c>
      <c r="G86">
        <v>0</v>
      </c>
      <c r="H86">
        <v>0</v>
      </c>
      <c r="I86">
        <v>1</v>
      </c>
      <c r="J86">
        <v>1519</v>
      </c>
      <c r="K86">
        <v>0</v>
      </c>
      <c r="M86">
        <v>0</v>
      </c>
      <c r="N86">
        <v>1</v>
      </c>
      <c r="O86">
        <v>1</v>
      </c>
      <c r="P86">
        <v>1</v>
      </c>
      <c r="Q86">
        <v>0</v>
      </c>
      <c r="T86" t="s">
        <v>64</v>
      </c>
      <c r="U86" t="s">
        <v>93</v>
      </c>
      <c r="V86">
        <v>37</v>
      </c>
      <c r="W86" t="s">
        <v>54</v>
      </c>
      <c r="Y86">
        <v>0</v>
      </c>
      <c r="Z86">
        <v>63.048999999999999</v>
      </c>
      <c r="AB86" t="s">
        <v>74</v>
      </c>
      <c r="AD86" t="s">
        <v>57</v>
      </c>
      <c r="AE86">
        <v>1</v>
      </c>
      <c r="AF86">
        <v>4</v>
      </c>
      <c r="AG86">
        <v>1</v>
      </c>
      <c r="AH86">
        <v>3</v>
      </c>
      <c r="AI86">
        <v>512</v>
      </c>
      <c r="AJ86">
        <v>512</v>
      </c>
      <c r="AK86">
        <v>162</v>
      </c>
      <c r="AL86" t="s">
        <v>81</v>
      </c>
      <c r="AM86">
        <v>1.2</v>
      </c>
      <c r="AN86" t="s">
        <v>51</v>
      </c>
      <c r="AO86" t="s">
        <v>67</v>
      </c>
      <c r="AP86" t="s">
        <v>68</v>
      </c>
      <c r="AQ86">
        <v>15</v>
      </c>
      <c r="AR86">
        <v>258</v>
      </c>
      <c r="AS86">
        <v>517</v>
      </c>
      <c r="AT86">
        <v>2.6080000000000001</v>
      </c>
      <c r="AU86">
        <v>6.0460000000000003</v>
      </c>
      <c r="AV86" t="s">
        <v>361</v>
      </c>
      <c r="AX86" t="s">
        <v>362</v>
      </c>
    </row>
    <row r="87" spans="1:50" x14ac:dyDescent="0.25">
      <c r="A87" t="s">
        <v>363</v>
      </c>
      <c r="B87" t="s">
        <v>51</v>
      </c>
      <c r="C87">
        <v>0</v>
      </c>
      <c r="D87">
        <v>0</v>
      </c>
      <c r="F87">
        <v>0</v>
      </c>
      <c r="G87">
        <v>1</v>
      </c>
      <c r="H87">
        <v>0</v>
      </c>
      <c r="I87">
        <v>1</v>
      </c>
      <c r="J87">
        <v>1971</v>
      </c>
      <c r="K87">
        <v>0</v>
      </c>
      <c r="M87">
        <v>0</v>
      </c>
      <c r="N87">
        <v>1</v>
      </c>
      <c r="O87">
        <v>1</v>
      </c>
      <c r="P87">
        <v>1</v>
      </c>
      <c r="Q87">
        <v>1</v>
      </c>
      <c r="U87" t="s">
        <v>72</v>
      </c>
      <c r="V87">
        <v>45</v>
      </c>
      <c r="W87" t="s">
        <v>54</v>
      </c>
      <c r="X87" t="s">
        <v>111</v>
      </c>
      <c r="Y87">
        <v>0</v>
      </c>
      <c r="Z87">
        <v>49.895000000000003</v>
      </c>
      <c r="AB87" t="s">
        <v>247</v>
      </c>
      <c r="AC87" t="s">
        <v>112</v>
      </c>
      <c r="AD87" t="s">
        <v>57</v>
      </c>
      <c r="AE87">
        <v>1</v>
      </c>
      <c r="AF87">
        <v>5</v>
      </c>
      <c r="AG87">
        <v>1</v>
      </c>
      <c r="AH87">
        <v>3</v>
      </c>
      <c r="AI87">
        <v>512</v>
      </c>
      <c r="AJ87">
        <v>512</v>
      </c>
      <c r="AK87">
        <v>156</v>
      </c>
      <c r="AL87" t="s">
        <v>66</v>
      </c>
      <c r="AM87">
        <v>1</v>
      </c>
      <c r="AN87" t="s">
        <v>51</v>
      </c>
      <c r="AO87" t="s">
        <v>67</v>
      </c>
      <c r="AP87" t="s">
        <v>114</v>
      </c>
      <c r="AQ87">
        <v>15</v>
      </c>
      <c r="AR87">
        <v>927</v>
      </c>
      <c r="AS87">
        <v>1854</v>
      </c>
      <c r="AT87">
        <v>2.504</v>
      </c>
      <c r="AU87">
        <v>6.4539999999999997</v>
      </c>
      <c r="AV87" t="s">
        <v>364</v>
      </c>
      <c r="AX87" t="s">
        <v>365</v>
      </c>
    </row>
    <row r="88" spans="1:50" x14ac:dyDescent="0.25">
      <c r="A88" t="s">
        <v>366</v>
      </c>
      <c r="B88" t="s">
        <v>51</v>
      </c>
      <c r="C88">
        <v>0</v>
      </c>
      <c r="D88">
        <v>0</v>
      </c>
      <c r="F88">
        <v>0</v>
      </c>
      <c r="G88">
        <v>1</v>
      </c>
      <c r="J88">
        <v>895</v>
      </c>
      <c r="K88">
        <v>0</v>
      </c>
      <c r="M88">
        <v>0</v>
      </c>
      <c r="N88">
        <v>0</v>
      </c>
      <c r="O88">
        <v>0</v>
      </c>
      <c r="P88">
        <v>0</v>
      </c>
      <c r="Q88">
        <v>1</v>
      </c>
      <c r="U88" t="s">
        <v>53</v>
      </c>
      <c r="V88">
        <v>62</v>
      </c>
      <c r="W88" t="s">
        <v>79</v>
      </c>
      <c r="X88" t="s">
        <v>55</v>
      </c>
      <c r="Y88">
        <v>0</v>
      </c>
      <c r="Z88">
        <v>66.224494444200005</v>
      </c>
      <c r="AA88">
        <v>1.4986029991667</v>
      </c>
      <c r="AB88" t="s">
        <v>94</v>
      </c>
      <c r="AD88" t="s">
        <v>57</v>
      </c>
      <c r="AE88">
        <v>1</v>
      </c>
      <c r="AF88">
        <v>4</v>
      </c>
      <c r="AG88">
        <v>1</v>
      </c>
      <c r="AH88">
        <v>3</v>
      </c>
      <c r="AI88">
        <v>448</v>
      </c>
      <c r="AJ88">
        <v>448</v>
      </c>
      <c r="AK88">
        <v>208</v>
      </c>
      <c r="AL88" t="s">
        <v>58</v>
      </c>
      <c r="AM88">
        <v>1</v>
      </c>
      <c r="AN88" t="s">
        <v>51</v>
      </c>
      <c r="AO88" t="s">
        <v>59</v>
      </c>
      <c r="AP88" t="s">
        <v>107</v>
      </c>
      <c r="AQ88">
        <v>11</v>
      </c>
      <c r="AR88">
        <v>75</v>
      </c>
      <c r="AS88">
        <v>223</v>
      </c>
      <c r="AT88">
        <v>1.44</v>
      </c>
      <c r="AU88">
        <v>3.77</v>
      </c>
      <c r="AV88" t="s">
        <v>367</v>
      </c>
      <c r="AX88" t="s">
        <v>368</v>
      </c>
    </row>
    <row r="89" spans="1:50" x14ac:dyDescent="0.25">
      <c r="A89" t="s">
        <v>369</v>
      </c>
      <c r="B89" t="s">
        <v>51</v>
      </c>
      <c r="C89">
        <v>0</v>
      </c>
      <c r="D89">
        <v>0</v>
      </c>
      <c r="F89">
        <v>0</v>
      </c>
      <c r="G89">
        <v>1</v>
      </c>
      <c r="H89">
        <v>1</v>
      </c>
      <c r="I89">
        <v>1</v>
      </c>
      <c r="J89">
        <v>1188</v>
      </c>
      <c r="K89">
        <v>0</v>
      </c>
      <c r="M89">
        <v>0</v>
      </c>
      <c r="N89">
        <v>1</v>
      </c>
      <c r="O89">
        <v>1</v>
      </c>
      <c r="P89">
        <v>1</v>
      </c>
      <c r="Q89">
        <v>1</v>
      </c>
      <c r="T89" t="s">
        <v>64</v>
      </c>
      <c r="U89" t="s">
        <v>72</v>
      </c>
      <c r="V89">
        <v>43</v>
      </c>
      <c r="W89" t="s">
        <v>54</v>
      </c>
      <c r="X89" t="s">
        <v>80</v>
      </c>
      <c r="Y89">
        <v>0</v>
      </c>
      <c r="Z89">
        <v>65.770902016500003</v>
      </c>
      <c r="AA89">
        <v>1.7018034058333</v>
      </c>
      <c r="AB89" t="s">
        <v>74</v>
      </c>
      <c r="AD89" t="s">
        <v>57</v>
      </c>
      <c r="AE89">
        <v>1</v>
      </c>
      <c r="AF89">
        <v>3</v>
      </c>
      <c r="AG89">
        <v>1</v>
      </c>
      <c r="AH89">
        <v>3</v>
      </c>
      <c r="AI89">
        <v>448</v>
      </c>
      <c r="AJ89">
        <v>448</v>
      </c>
      <c r="AK89">
        <v>208</v>
      </c>
      <c r="AL89" t="s">
        <v>75</v>
      </c>
      <c r="AM89">
        <v>1</v>
      </c>
      <c r="AN89" t="s">
        <v>51</v>
      </c>
      <c r="AO89" t="s">
        <v>59</v>
      </c>
      <c r="AP89" t="s">
        <v>107</v>
      </c>
      <c r="AQ89">
        <v>11</v>
      </c>
      <c r="AR89">
        <v>66</v>
      </c>
      <c r="AS89">
        <v>185</v>
      </c>
      <c r="AT89">
        <v>1.44</v>
      </c>
      <c r="AU89">
        <v>3.77</v>
      </c>
      <c r="AV89" t="s">
        <v>370</v>
      </c>
      <c r="AX89" t="s">
        <v>371</v>
      </c>
    </row>
    <row r="90" spans="1:50" x14ac:dyDescent="0.25">
      <c r="A90" t="s">
        <v>372</v>
      </c>
      <c r="B90" t="s">
        <v>51</v>
      </c>
      <c r="C90">
        <v>0</v>
      </c>
      <c r="D90">
        <v>0</v>
      </c>
      <c r="F90">
        <v>0</v>
      </c>
      <c r="G90">
        <v>1</v>
      </c>
      <c r="H90">
        <v>1</v>
      </c>
      <c r="I90">
        <v>0</v>
      </c>
      <c r="J90">
        <v>1337</v>
      </c>
      <c r="K90">
        <v>0</v>
      </c>
      <c r="M90">
        <v>0</v>
      </c>
      <c r="N90">
        <v>1</v>
      </c>
      <c r="O90">
        <v>1</v>
      </c>
      <c r="P90">
        <v>1</v>
      </c>
      <c r="Q90">
        <v>1</v>
      </c>
      <c r="T90" t="s">
        <v>64</v>
      </c>
      <c r="U90" t="s">
        <v>72</v>
      </c>
      <c r="V90">
        <v>47</v>
      </c>
      <c r="W90" t="s">
        <v>54</v>
      </c>
      <c r="X90" t="s">
        <v>55</v>
      </c>
      <c r="Y90">
        <v>0</v>
      </c>
      <c r="Z90">
        <v>71.213999999999999</v>
      </c>
      <c r="AB90" t="s">
        <v>94</v>
      </c>
      <c r="AD90" t="s">
        <v>57</v>
      </c>
      <c r="AE90">
        <v>1</v>
      </c>
      <c r="AF90">
        <v>4</v>
      </c>
      <c r="AG90">
        <v>1</v>
      </c>
      <c r="AH90">
        <v>3</v>
      </c>
      <c r="AI90">
        <v>512</v>
      </c>
      <c r="AJ90">
        <v>512</v>
      </c>
      <c r="AK90">
        <v>142</v>
      </c>
      <c r="AL90" t="s">
        <v>81</v>
      </c>
      <c r="AM90">
        <v>1</v>
      </c>
      <c r="AN90" t="s">
        <v>51</v>
      </c>
      <c r="AO90" t="s">
        <v>67</v>
      </c>
      <c r="AP90" t="s">
        <v>68</v>
      </c>
      <c r="AQ90">
        <v>15</v>
      </c>
      <c r="AR90">
        <v>225</v>
      </c>
      <c r="AS90">
        <v>450</v>
      </c>
      <c r="AT90">
        <v>2.6120000000000001</v>
      </c>
      <c r="AU90">
        <v>6.0830000000000002</v>
      </c>
      <c r="AV90" t="s">
        <v>373</v>
      </c>
      <c r="AX90" t="s">
        <v>374</v>
      </c>
    </row>
    <row r="91" spans="1:50" x14ac:dyDescent="0.25">
      <c r="A91" t="s">
        <v>375</v>
      </c>
      <c r="B91" t="s">
        <v>51</v>
      </c>
      <c r="C91">
        <v>0</v>
      </c>
      <c r="D91">
        <v>0</v>
      </c>
      <c r="F91">
        <v>0</v>
      </c>
      <c r="G91">
        <v>1</v>
      </c>
      <c r="I91">
        <v>0</v>
      </c>
      <c r="J91">
        <v>279</v>
      </c>
      <c r="K91">
        <v>0</v>
      </c>
      <c r="M91">
        <v>0</v>
      </c>
      <c r="N91">
        <v>1</v>
      </c>
      <c r="O91">
        <v>1</v>
      </c>
      <c r="P91">
        <v>0</v>
      </c>
      <c r="Q91">
        <v>1</v>
      </c>
      <c r="U91" t="s">
        <v>72</v>
      </c>
      <c r="V91">
        <v>44</v>
      </c>
      <c r="W91" t="s">
        <v>54</v>
      </c>
      <c r="X91" t="s">
        <v>73</v>
      </c>
      <c r="Y91">
        <v>0</v>
      </c>
      <c r="Z91">
        <v>75.749935425900006</v>
      </c>
      <c r="AA91">
        <v>1.6510033041667</v>
      </c>
      <c r="AB91" t="s">
        <v>94</v>
      </c>
      <c r="AD91" t="s">
        <v>57</v>
      </c>
      <c r="AE91">
        <v>1</v>
      </c>
      <c r="AF91">
        <v>4</v>
      </c>
      <c r="AG91">
        <v>1</v>
      </c>
      <c r="AH91">
        <v>1.5</v>
      </c>
      <c r="AI91">
        <v>448</v>
      </c>
      <c r="AJ91">
        <v>448</v>
      </c>
      <c r="AK91">
        <v>176</v>
      </c>
      <c r="AL91" t="s">
        <v>123</v>
      </c>
      <c r="AM91">
        <v>1</v>
      </c>
      <c r="AN91" t="s">
        <v>51</v>
      </c>
      <c r="AO91" t="s">
        <v>59</v>
      </c>
      <c r="AP91" t="s">
        <v>60</v>
      </c>
      <c r="AQ91">
        <v>11</v>
      </c>
      <c r="AR91">
        <v>71</v>
      </c>
      <c r="AS91">
        <v>180</v>
      </c>
      <c r="AT91">
        <v>1.36</v>
      </c>
      <c r="AU91">
        <v>4.3099999999999996</v>
      </c>
      <c r="AV91" t="s">
        <v>376</v>
      </c>
      <c r="AX91" t="s">
        <v>377</v>
      </c>
    </row>
    <row r="92" spans="1:50" x14ac:dyDescent="0.25">
      <c r="A92" t="s">
        <v>378</v>
      </c>
      <c r="B92" t="s">
        <v>51</v>
      </c>
      <c r="C92">
        <v>0</v>
      </c>
      <c r="D92">
        <v>1</v>
      </c>
      <c r="F92">
        <v>0</v>
      </c>
      <c r="G92">
        <v>0</v>
      </c>
      <c r="H92">
        <v>1</v>
      </c>
      <c r="I92">
        <v>1</v>
      </c>
      <c r="J92">
        <v>205</v>
      </c>
      <c r="K92">
        <v>0</v>
      </c>
      <c r="M92">
        <v>0</v>
      </c>
      <c r="N92">
        <v>0</v>
      </c>
      <c r="O92">
        <v>0</v>
      </c>
      <c r="P92">
        <v>0</v>
      </c>
      <c r="Q92">
        <v>0</v>
      </c>
      <c r="T92" t="s">
        <v>52</v>
      </c>
      <c r="U92" t="s">
        <v>65</v>
      </c>
      <c r="V92">
        <v>57</v>
      </c>
      <c r="W92" t="s">
        <v>79</v>
      </c>
      <c r="X92" t="s">
        <v>55</v>
      </c>
      <c r="Y92">
        <v>0</v>
      </c>
      <c r="AD92" t="s">
        <v>57</v>
      </c>
      <c r="AE92">
        <v>1</v>
      </c>
      <c r="AF92">
        <v>3</v>
      </c>
      <c r="AG92">
        <v>1</v>
      </c>
      <c r="AH92">
        <v>1.5</v>
      </c>
      <c r="AI92">
        <v>512</v>
      </c>
      <c r="AJ92">
        <v>512</v>
      </c>
      <c r="AK92">
        <v>184</v>
      </c>
      <c r="AL92" t="s">
        <v>88</v>
      </c>
      <c r="AM92">
        <v>1</v>
      </c>
      <c r="AN92" t="s">
        <v>51</v>
      </c>
      <c r="AO92" t="s">
        <v>67</v>
      </c>
      <c r="AP92" t="s">
        <v>68</v>
      </c>
      <c r="AQ92">
        <v>15</v>
      </c>
      <c r="AR92">
        <v>299</v>
      </c>
      <c r="AS92">
        <v>599</v>
      </c>
      <c r="AT92">
        <v>2.2480000000000002</v>
      </c>
      <c r="AU92">
        <v>4.8440000000000003</v>
      </c>
      <c r="AV92" t="s">
        <v>379</v>
      </c>
      <c r="AX92" t="s">
        <v>380</v>
      </c>
    </row>
    <row r="93" spans="1:50" x14ac:dyDescent="0.25">
      <c r="A93" t="s">
        <v>381</v>
      </c>
      <c r="B93" t="s">
        <v>51</v>
      </c>
      <c r="C93">
        <v>0</v>
      </c>
      <c r="D93">
        <v>1</v>
      </c>
      <c r="F93">
        <v>0</v>
      </c>
      <c r="G93">
        <v>1</v>
      </c>
      <c r="H93">
        <v>0</v>
      </c>
      <c r="I93">
        <v>1</v>
      </c>
      <c r="J93">
        <v>2593</v>
      </c>
      <c r="K93">
        <v>0</v>
      </c>
      <c r="M93">
        <v>0</v>
      </c>
      <c r="N93">
        <v>1</v>
      </c>
      <c r="O93">
        <v>1</v>
      </c>
      <c r="P93">
        <v>0</v>
      </c>
      <c r="Q93">
        <v>1</v>
      </c>
      <c r="T93" t="s">
        <v>52</v>
      </c>
      <c r="U93" t="s">
        <v>72</v>
      </c>
      <c r="V93">
        <v>45</v>
      </c>
      <c r="W93" t="s">
        <v>54</v>
      </c>
      <c r="X93" t="s">
        <v>80</v>
      </c>
      <c r="Y93">
        <v>0</v>
      </c>
      <c r="Z93">
        <v>65.771000000000001</v>
      </c>
      <c r="AB93" t="s">
        <v>74</v>
      </c>
      <c r="AD93" t="s">
        <v>57</v>
      </c>
      <c r="AE93">
        <v>1</v>
      </c>
      <c r="AF93">
        <v>5</v>
      </c>
      <c r="AG93">
        <v>1</v>
      </c>
      <c r="AH93">
        <v>3</v>
      </c>
      <c r="AI93">
        <v>512</v>
      </c>
      <c r="AJ93">
        <v>512</v>
      </c>
      <c r="AK93">
        <v>142</v>
      </c>
      <c r="AL93" t="s">
        <v>331</v>
      </c>
      <c r="AM93">
        <v>1</v>
      </c>
      <c r="AN93" t="s">
        <v>51</v>
      </c>
      <c r="AO93" t="s">
        <v>67</v>
      </c>
      <c r="AP93" t="s">
        <v>114</v>
      </c>
      <c r="AQ93">
        <v>15</v>
      </c>
      <c r="AR93">
        <v>919</v>
      </c>
      <c r="AS93">
        <v>1838</v>
      </c>
      <c r="AT93">
        <v>2.5640000000000001</v>
      </c>
      <c r="AU93">
        <v>7.0039999999999996</v>
      </c>
      <c r="AV93" t="s">
        <v>382</v>
      </c>
      <c r="AX93" t="s">
        <v>383</v>
      </c>
    </row>
    <row r="94" spans="1:50" x14ac:dyDescent="0.25">
      <c r="A94" t="s">
        <v>384</v>
      </c>
      <c r="B94" t="s">
        <v>51</v>
      </c>
      <c r="C94">
        <v>0</v>
      </c>
      <c r="D94">
        <v>0</v>
      </c>
      <c r="F94">
        <v>0</v>
      </c>
      <c r="G94">
        <v>0</v>
      </c>
      <c r="H94">
        <v>0</v>
      </c>
      <c r="I94">
        <v>0</v>
      </c>
      <c r="J94">
        <v>1743</v>
      </c>
      <c r="K94">
        <v>0</v>
      </c>
      <c r="M94">
        <v>0</v>
      </c>
      <c r="N94">
        <v>0</v>
      </c>
      <c r="O94">
        <v>0</v>
      </c>
      <c r="P94">
        <v>0</v>
      </c>
      <c r="Q94">
        <v>0</v>
      </c>
      <c r="U94" t="s">
        <v>65</v>
      </c>
      <c r="V94">
        <v>42</v>
      </c>
      <c r="W94" t="s">
        <v>54</v>
      </c>
      <c r="X94" t="s">
        <v>80</v>
      </c>
      <c r="Y94">
        <v>0</v>
      </c>
      <c r="Z94">
        <v>116.11966149120001</v>
      </c>
      <c r="AB94" t="s">
        <v>269</v>
      </c>
      <c r="AD94" t="s">
        <v>57</v>
      </c>
      <c r="AE94">
        <v>1</v>
      </c>
      <c r="AF94">
        <v>5</v>
      </c>
      <c r="AG94">
        <v>1</v>
      </c>
      <c r="AH94">
        <v>1.5</v>
      </c>
      <c r="AI94">
        <v>448</v>
      </c>
      <c r="AJ94">
        <v>448</v>
      </c>
      <c r="AK94">
        <v>160</v>
      </c>
      <c r="AL94" t="s">
        <v>385</v>
      </c>
      <c r="AM94">
        <v>1.1000000238419001</v>
      </c>
      <c r="AN94" t="s">
        <v>51</v>
      </c>
      <c r="AO94" t="s">
        <v>59</v>
      </c>
      <c r="AP94" t="s">
        <v>60</v>
      </c>
      <c r="AQ94">
        <v>11</v>
      </c>
      <c r="AR94">
        <v>64</v>
      </c>
      <c r="AS94">
        <v>178</v>
      </c>
      <c r="AT94">
        <v>1.33</v>
      </c>
      <c r="AU94">
        <v>4.12</v>
      </c>
      <c r="AV94" t="s">
        <v>386</v>
      </c>
      <c r="AX94" t="s">
        <v>387</v>
      </c>
    </row>
    <row r="95" spans="1:50" x14ac:dyDescent="0.25">
      <c r="A95" t="s">
        <v>388</v>
      </c>
      <c r="B95" t="s">
        <v>51</v>
      </c>
      <c r="C95">
        <v>0</v>
      </c>
      <c r="D95">
        <v>1</v>
      </c>
      <c r="F95">
        <v>0</v>
      </c>
      <c r="G95">
        <v>0</v>
      </c>
      <c r="H95">
        <v>0</v>
      </c>
      <c r="I95">
        <v>0</v>
      </c>
      <c r="J95">
        <v>582</v>
      </c>
      <c r="K95">
        <v>0</v>
      </c>
      <c r="M95">
        <v>0</v>
      </c>
      <c r="N95">
        <v>1</v>
      </c>
      <c r="O95">
        <v>1</v>
      </c>
      <c r="P95">
        <v>1</v>
      </c>
      <c r="Q95">
        <v>0</v>
      </c>
      <c r="T95" t="s">
        <v>64</v>
      </c>
      <c r="U95" t="s">
        <v>93</v>
      </c>
      <c r="V95">
        <v>42</v>
      </c>
      <c r="W95" t="s">
        <v>79</v>
      </c>
      <c r="X95" t="s">
        <v>80</v>
      </c>
      <c r="Y95">
        <v>0</v>
      </c>
      <c r="Z95">
        <v>52.163129185499997</v>
      </c>
      <c r="AA95">
        <v>1.6256032533333</v>
      </c>
      <c r="AB95" t="s">
        <v>74</v>
      </c>
      <c r="AD95" t="s">
        <v>57</v>
      </c>
      <c r="AE95">
        <v>1</v>
      </c>
      <c r="AF95">
        <v>4</v>
      </c>
      <c r="AG95">
        <v>1</v>
      </c>
      <c r="AH95">
        <v>1.5</v>
      </c>
      <c r="AI95">
        <v>448</v>
      </c>
      <c r="AJ95">
        <v>448</v>
      </c>
      <c r="AK95">
        <v>160</v>
      </c>
      <c r="AL95" t="s">
        <v>276</v>
      </c>
      <c r="AM95">
        <v>1</v>
      </c>
      <c r="AN95" t="s">
        <v>51</v>
      </c>
      <c r="AO95" t="s">
        <v>59</v>
      </c>
      <c r="AP95" t="s">
        <v>60</v>
      </c>
      <c r="AQ95">
        <v>11</v>
      </c>
      <c r="AR95">
        <v>78</v>
      </c>
      <c r="AS95">
        <v>197</v>
      </c>
      <c r="AT95">
        <v>1.43</v>
      </c>
      <c r="AU95">
        <v>4.4400000000000004</v>
      </c>
      <c r="AV95" t="s">
        <v>389</v>
      </c>
      <c r="AX95" t="s">
        <v>390</v>
      </c>
    </row>
    <row r="96" spans="1:50" x14ac:dyDescent="0.25">
      <c r="A96" t="s">
        <v>391</v>
      </c>
      <c r="B96" t="s">
        <v>51</v>
      </c>
      <c r="C96">
        <v>0</v>
      </c>
      <c r="D96">
        <v>1</v>
      </c>
      <c r="F96">
        <v>1</v>
      </c>
      <c r="G96">
        <v>0</v>
      </c>
      <c r="H96">
        <v>0</v>
      </c>
      <c r="I96">
        <v>1</v>
      </c>
      <c r="J96">
        <v>1875</v>
      </c>
      <c r="K96">
        <v>0</v>
      </c>
      <c r="M96">
        <v>0</v>
      </c>
      <c r="N96">
        <v>1</v>
      </c>
      <c r="O96">
        <v>1</v>
      </c>
      <c r="P96">
        <v>0</v>
      </c>
      <c r="Q96">
        <v>0</v>
      </c>
      <c r="U96" t="s">
        <v>93</v>
      </c>
      <c r="V96">
        <v>54</v>
      </c>
      <c r="W96" t="s">
        <v>79</v>
      </c>
      <c r="X96" t="s">
        <v>55</v>
      </c>
      <c r="Y96">
        <v>0</v>
      </c>
      <c r="Z96">
        <v>73.481999999999999</v>
      </c>
      <c r="AB96" t="s">
        <v>94</v>
      </c>
      <c r="AC96" t="s">
        <v>152</v>
      </c>
      <c r="AD96" t="s">
        <v>57</v>
      </c>
      <c r="AE96">
        <v>1</v>
      </c>
      <c r="AF96">
        <v>5</v>
      </c>
      <c r="AG96">
        <v>1</v>
      </c>
      <c r="AH96">
        <v>3</v>
      </c>
      <c r="AI96">
        <v>512</v>
      </c>
      <c r="AJ96">
        <v>512</v>
      </c>
      <c r="AK96">
        <v>172</v>
      </c>
      <c r="AL96" t="s">
        <v>128</v>
      </c>
      <c r="AM96">
        <v>1</v>
      </c>
      <c r="AN96" t="s">
        <v>51</v>
      </c>
      <c r="AO96" t="s">
        <v>67</v>
      </c>
      <c r="AP96" t="s">
        <v>114</v>
      </c>
      <c r="AQ96">
        <v>15</v>
      </c>
      <c r="AR96">
        <v>623</v>
      </c>
      <c r="AS96">
        <v>1247</v>
      </c>
      <c r="AT96">
        <v>2.4039999999999999</v>
      </c>
      <c r="AU96">
        <v>5.5179999999999998</v>
      </c>
      <c r="AV96" t="s">
        <v>392</v>
      </c>
      <c r="AX96" t="s">
        <v>393</v>
      </c>
    </row>
    <row r="97" spans="1:50" x14ac:dyDescent="0.25">
      <c r="A97" t="s">
        <v>394</v>
      </c>
      <c r="B97" t="s">
        <v>51</v>
      </c>
      <c r="C97">
        <v>0</v>
      </c>
      <c r="D97">
        <v>0</v>
      </c>
      <c r="F97">
        <v>0</v>
      </c>
      <c r="G97">
        <v>0</v>
      </c>
      <c r="H97">
        <v>0</v>
      </c>
      <c r="I97">
        <v>0</v>
      </c>
      <c r="J97">
        <v>1453</v>
      </c>
      <c r="K97">
        <v>0</v>
      </c>
      <c r="M97">
        <v>0</v>
      </c>
      <c r="N97">
        <v>0</v>
      </c>
      <c r="O97">
        <v>0</v>
      </c>
      <c r="P97">
        <v>0</v>
      </c>
      <c r="Q97">
        <v>0</v>
      </c>
      <c r="U97" t="s">
        <v>65</v>
      </c>
      <c r="V97">
        <v>46</v>
      </c>
      <c r="W97" t="s">
        <v>54</v>
      </c>
      <c r="X97" t="s">
        <v>55</v>
      </c>
      <c r="Y97">
        <v>0</v>
      </c>
      <c r="Z97">
        <v>88.450523401500007</v>
      </c>
      <c r="AB97" t="s">
        <v>118</v>
      </c>
      <c r="AC97" t="s">
        <v>102</v>
      </c>
      <c r="AD97" t="s">
        <v>57</v>
      </c>
      <c r="AE97">
        <v>1</v>
      </c>
      <c r="AF97">
        <v>5</v>
      </c>
      <c r="AG97">
        <v>1</v>
      </c>
      <c r="AH97">
        <v>1.5</v>
      </c>
      <c r="AI97">
        <v>320</v>
      </c>
      <c r="AJ97">
        <v>320</v>
      </c>
      <c r="AK97">
        <v>160</v>
      </c>
      <c r="AL97" t="s">
        <v>354</v>
      </c>
      <c r="AM97">
        <v>1.1000000238419001</v>
      </c>
      <c r="AN97" t="s">
        <v>51</v>
      </c>
      <c r="AO97" t="s">
        <v>59</v>
      </c>
      <c r="AP97" t="s">
        <v>60</v>
      </c>
      <c r="AQ97">
        <v>11</v>
      </c>
      <c r="AR97">
        <v>41</v>
      </c>
      <c r="AS97">
        <v>110</v>
      </c>
      <c r="AT97">
        <v>1.5</v>
      </c>
      <c r="AU97">
        <v>4.26</v>
      </c>
      <c r="AV97" t="s">
        <v>395</v>
      </c>
      <c r="AX97" t="s">
        <v>396</v>
      </c>
    </row>
    <row r="98" spans="1:50" x14ac:dyDescent="0.25">
      <c r="A98" t="s">
        <v>397</v>
      </c>
      <c r="B98" t="s">
        <v>51</v>
      </c>
      <c r="C98">
        <v>0</v>
      </c>
      <c r="D98">
        <v>0</v>
      </c>
      <c r="F98">
        <v>0</v>
      </c>
      <c r="G98">
        <v>0</v>
      </c>
      <c r="H98">
        <v>0</v>
      </c>
      <c r="I98">
        <v>0</v>
      </c>
      <c r="J98">
        <v>1543</v>
      </c>
      <c r="K98">
        <v>0</v>
      </c>
      <c r="M98">
        <v>0</v>
      </c>
      <c r="N98">
        <v>0</v>
      </c>
      <c r="O98">
        <v>0</v>
      </c>
      <c r="P98">
        <v>0</v>
      </c>
      <c r="Q98">
        <v>0</v>
      </c>
      <c r="T98" t="s">
        <v>52</v>
      </c>
      <c r="U98" t="s">
        <v>65</v>
      </c>
      <c r="V98">
        <v>63</v>
      </c>
      <c r="W98" t="s">
        <v>79</v>
      </c>
      <c r="X98" t="s">
        <v>55</v>
      </c>
      <c r="Y98">
        <v>0</v>
      </c>
      <c r="AD98" t="s">
        <v>57</v>
      </c>
      <c r="AE98">
        <v>1</v>
      </c>
      <c r="AF98">
        <v>4</v>
      </c>
      <c r="AG98">
        <v>1</v>
      </c>
      <c r="AH98">
        <v>1.5</v>
      </c>
      <c r="AI98">
        <v>448</v>
      </c>
      <c r="AJ98">
        <v>448</v>
      </c>
      <c r="AK98">
        <v>192</v>
      </c>
      <c r="AL98" t="s">
        <v>123</v>
      </c>
      <c r="AM98">
        <v>1</v>
      </c>
      <c r="AN98" t="s">
        <v>51</v>
      </c>
      <c r="AO98" t="s">
        <v>59</v>
      </c>
      <c r="AP98" t="s">
        <v>60</v>
      </c>
      <c r="AQ98">
        <v>15</v>
      </c>
      <c r="AR98">
        <v>110</v>
      </c>
      <c r="AS98">
        <v>302</v>
      </c>
      <c r="AT98">
        <v>1.36</v>
      </c>
      <c r="AU98">
        <v>4.3099999999999996</v>
      </c>
      <c r="AV98" t="s">
        <v>398</v>
      </c>
      <c r="AX98" t="s">
        <v>399</v>
      </c>
    </row>
    <row r="99" spans="1:50" x14ac:dyDescent="0.25">
      <c r="A99" t="s">
        <v>400</v>
      </c>
      <c r="B99" t="s">
        <v>51</v>
      </c>
      <c r="C99">
        <v>0</v>
      </c>
      <c r="D99">
        <v>1</v>
      </c>
      <c r="F99">
        <v>0</v>
      </c>
      <c r="G99">
        <v>0</v>
      </c>
      <c r="H99">
        <v>0</v>
      </c>
      <c r="I99">
        <v>0</v>
      </c>
      <c r="J99">
        <v>133</v>
      </c>
      <c r="K99">
        <v>548</v>
      </c>
      <c r="M99">
        <v>801</v>
      </c>
      <c r="N99">
        <v>0</v>
      </c>
      <c r="O99">
        <v>0</v>
      </c>
      <c r="P99">
        <v>0</v>
      </c>
      <c r="Q99">
        <v>0</v>
      </c>
      <c r="T99" t="s">
        <v>64</v>
      </c>
      <c r="U99" t="s">
        <v>65</v>
      </c>
      <c r="V99">
        <v>43</v>
      </c>
      <c r="W99" t="s">
        <v>54</v>
      </c>
      <c r="X99" t="s">
        <v>55</v>
      </c>
      <c r="Y99">
        <v>0</v>
      </c>
      <c r="AD99" t="s">
        <v>57</v>
      </c>
      <c r="AE99">
        <v>1</v>
      </c>
      <c r="AF99">
        <v>3</v>
      </c>
      <c r="AG99">
        <v>1</v>
      </c>
      <c r="AH99">
        <v>1.5</v>
      </c>
      <c r="AI99">
        <v>448</v>
      </c>
      <c r="AJ99">
        <v>448</v>
      </c>
      <c r="AK99">
        <v>176</v>
      </c>
      <c r="AL99" t="s">
        <v>123</v>
      </c>
      <c r="AM99">
        <v>1</v>
      </c>
      <c r="AN99" t="s">
        <v>51</v>
      </c>
      <c r="AO99" t="s">
        <v>59</v>
      </c>
      <c r="AP99" t="s">
        <v>60</v>
      </c>
      <c r="AQ99">
        <v>15</v>
      </c>
      <c r="AR99">
        <v>110</v>
      </c>
      <c r="AS99">
        <v>210</v>
      </c>
      <c r="AT99">
        <v>1.36</v>
      </c>
      <c r="AU99">
        <v>4.3099999999999996</v>
      </c>
      <c r="AV99" t="s">
        <v>401</v>
      </c>
      <c r="AX99" t="s">
        <v>402</v>
      </c>
    </row>
    <row r="100" spans="1:50" x14ac:dyDescent="0.25">
      <c r="A100" t="s">
        <v>403</v>
      </c>
      <c r="B100" t="s">
        <v>51</v>
      </c>
      <c r="C100">
        <v>0</v>
      </c>
      <c r="D100">
        <v>0</v>
      </c>
      <c r="F100">
        <v>0</v>
      </c>
      <c r="G100">
        <v>0</v>
      </c>
      <c r="H100">
        <v>0</v>
      </c>
      <c r="I100">
        <v>0</v>
      </c>
      <c r="J100">
        <v>1876</v>
      </c>
      <c r="K100">
        <v>0</v>
      </c>
      <c r="M100">
        <v>0</v>
      </c>
      <c r="N100">
        <v>0</v>
      </c>
      <c r="O100">
        <v>0</v>
      </c>
      <c r="P100">
        <v>0</v>
      </c>
      <c r="Q100">
        <v>0</v>
      </c>
      <c r="T100" t="s">
        <v>64</v>
      </c>
      <c r="U100" t="s">
        <v>65</v>
      </c>
      <c r="V100">
        <v>51</v>
      </c>
      <c r="W100" t="s">
        <v>79</v>
      </c>
      <c r="X100" t="s">
        <v>55</v>
      </c>
      <c r="Y100">
        <v>0</v>
      </c>
      <c r="AD100" t="s">
        <v>57</v>
      </c>
      <c r="AE100">
        <v>1</v>
      </c>
      <c r="AF100">
        <v>4</v>
      </c>
      <c r="AG100">
        <v>1</v>
      </c>
      <c r="AH100">
        <v>3</v>
      </c>
      <c r="AI100">
        <v>512</v>
      </c>
      <c r="AJ100">
        <v>512</v>
      </c>
      <c r="AK100">
        <v>176</v>
      </c>
      <c r="AL100" t="s">
        <v>88</v>
      </c>
      <c r="AM100">
        <v>1</v>
      </c>
      <c r="AN100" t="s">
        <v>51</v>
      </c>
      <c r="AO100" t="s">
        <v>67</v>
      </c>
      <c r="AP100" t="s">
        <v>68</v>
      </c>
      <c r="AQ100">
        <v>15</v>
      </c>
      <c r="AR100">
        <v>516</v>
      </c>
      <c r="AS100">
        <v>1033</v>
      </c>
      <c r="AT100">
        <v>2.36</v>
      </c>
      <c r="AU100">
        <v>5.1360000000000001</v>
      </c>
      <c r="AV100" t="s">
        <v>404</v>
      </c>
      <c r="AX100" t="s">
        <v>405</v>
      </c>
    </row>
    <row r="101" spans="1:50" x14ac:dyDescent="0.25">
      <c r="A101" t="s">
        <v>406</v>
      </c>
      <c r="B101" t="s">
        <v>51</v>
      </c>
      <c r="C101">
        <v>0</v>
      </c>
      <c r="D101">
        <v>1</v>
      </c>
      <c r="F101">
        <v>0</v>
      </c>
      <c r="G101">
        <v>0</v>
      </c>
      <c r="H101">
        <v>0</v>
      </c>
      <c r="I101">
        <v>1</v>
      </c>
      <c r="J101">
        <v>1287</v>
      </c>
      <c r="K101">
        <v>0</v>
      </c>
      <c r="M101">
        <v>0</v>
      </c>
      <c r="N101">
        <v>1</v>
      </c>
      <c r="O101">
        <v>1</v>
      </c>
      <c r="P101">
        <v>1</v>
      </c>
      <c r="Q101">
        <v>0</v>
      </c>
      <c r="T101" t="s">
        <v>64</v>
      </c>
      <c r="U101" t="s">
        <v>93</v>
      </c>
      <c r="V101">
        <v>46</v>
      </c>
      <c r="W101" t="s">
        <v>54</v>
      </c>
      <c r="X101" t="s">
        <v>55</v>
      </c>
      <c r="Y101">
        <v>0</v>
      </c>
      <c r="Z101">
        <v>97.52</v>
      </c>
      <c r="AB101" t="s">
        <v>56</v>
      </c>
      <c r="AD101" t="s">
        <v>57</v>
      </c>
      <c r="AE101">
        <v>1</v>
      </c>
      <c r="AF101">
        <v>4</v>
      </c>
      <c r="AG101">
        <v>1</v>
      </c>
      <c r="AH101">
        <v>1.5</v>
      </c>
      <c r="AI101">
        <v>512</v>
      </c>
      <c r="AJ101">
        <v>512</v>
      </c>
      <c r="AK101">
        <v>176</v>
      </c>
      <c r="AL101" t="s">
        <v>88</v>
      </c>
      <c r="AM101">
        <v>1.1000000000000001</v>
      </c>
      <c r="AN101" t="s">
        <v>51</v>
      </c>
      <c r="AO101" t="s">
        <v>67</v>
      </c>
      <c r="AP101" t="s">
        <v>89</v>
      </c>
      <c r="AQ101">
        <v>15</v>
      </c>
      <c r="AR101">
        <v>325</v>
      </c>
      <c r="AS101">
        <v>650</v>
      </c>
      <c r="AT101">
        <v>2.4359999999999999</v>
      </c>
      <c r="AU101">
        <v>5.2359999999999998</v>
      </c>
      <c r="AV101" t="s">
        <v>407</v>
      </c>
      <c r="AX101" t="s">
        <v>408</v>
      </c>
    </row>
    <row r="102" spans="1:50" x14ac:dyDescent="0.25">
      <c r="A102" t="s">
        <v>409</v>
      </c>
      <c r="B102" t="s">
        <v>51</v>
      </c>
      <c r="C102">
        <v>0</v>
      </c>
      <c r="D102">
        <v>1</v>
      </c>
      <c r="F102">
        <v>0</v>
      </c>
      <c r="G102">
        <v>0</v>
      </c>
      <c r="H102">
        <v>0</v>
      </c>
      <c r="I102">
        <v>1</v>
      </c>
      <c r="J102">
        <v>2129</v>
      </c>
      <c r="K102">
        <v>0</v>
      </c>
      <c r="M102">
        <v>0</v>
      </c>
      <c r="N102">
        <v>1</v>
      </c>
      <c r="O102">
        <v>1</v>
      </c>
      <c r="P102">
        <v>1</v>
      </c>
      <c r="Q102">
        <v>0</v>
      </c>
      <c r="T102" t="s">
        <v>52</v>
      </c>
      <c r="U102" t="s">
        <v>93</v>
      </c>
      <c r="V102">
        <v>46</v>
      </c>
      <c r="W102" t="s">
        <v>54</v>
      </c>
      <c r="X102" t="s">
        <v>80</v>
      </c>
      <c r="Y102">
        <v>0</v>
      </c>
      <c r="Z102">
        <v>58.06</v>
      </c>
      <c r="AB102" t="s">
        <v>74</v>
      </c>
      <c r="AD102" t="s">
        <v>57</v>
      </c>
      <c r="AE102">
        <v>1</v>
      </c>
      <c r="AF102">
        <v>4</v>
      </c>
      <c r="AG102">
        <v>1</v>
      </c>
      <c r="AH102">
        <v>3</v>
      </c>
      <c r="AI102">
        <v>512</v>
      </c>
      <c r="AJ102">
        <v>512</v>
      </c>
      <c r="AK102">
        <v>166</v>
      </c>
      <c r="AL102" t="s">
        <v>81</v>
      </c>
      <c r="AM102">
        <v>1</v>
      </c>
      <c r="AN102" t="s">
        <v>51</v>
      </c>
      <c r="AO102" t="s">
        <v>67</v>
      </c>
      <c r="AP102" t="s">
        <v>68</v>
      </c>
      <c r="AQ102">
        <v>15</v>
      </c>
      <c r="AR102">
        <v>570</v>
      </c>
      <c r="AS102">
        <v>1141</v>
      </c>
      <c r="AT102">
        <v>2.4159999999999999</v>
      </c>
      <c r="AU102">
        <v>5.657</v>
      </c>
      <c r="AV102" t="s">
        <v>410</v>
      </c>
      <c r="AX102" t="s">
        <v>411</v>
      </c>
    </row>
    <row r="103" spans="1:50" x14ac:dyDescent="0.25">
      <c r="A103" t="s">
        <v>412</v>
      </c>
      <c r="B103" t="s">
        <v>51</v>
      </c>
      <c r="C103">
        <v>1</v>
      </c>
      <c r="D103">
        <v>1</v>
      </c>
      <c r="F103">
        <v>0</v>
      </c>
      <c r="G103">
        <v>0</v>
      </c>
      <c r="H103">
        <v>0</v>
      </c>
      <c r="I103">
        <v>1</v>
      </c>
      <c r="J103">
        <v>878</v>
      </c>
      <c r="K103">
        <v>0</v>
      </c>
      <c r="M103">
        <v>0</v>
      </c>
      <c r="N103">
        <v>1</v>
      </c>
      <c r="O103">
        <v>1</v>
      </c>
      <c r="P103">
        <v>1</v>
      </c>
      <c r="Q103">
        <v>0</v>
      </c>
      <c r="T103" t="s">
        <v>52</v>
      </c>
      <c r="U103" t="s">
        <v>93</v>
      </c>
      <c r="V103">
        <v>40</v>
      </c>
      <c r="W103" t="s">
        <v>54</v>
      </c>
      <c r="X103" t="s">
        <v>80</v>
      </c>
      <c r="Y103">
        <v>0</v>
      </c>
      <c r="Z103">
        <v>62.595755022600002</v>
      </c>
      <c r="AA103">
        <v>1.6256032533333</v>
      </c>
      <c r="AB103" t="s">
        <v>74</v>
      </c>
      <c r="AD103" t="s">
        <v>57</v>
      </c>
      <c r="AE103">
        <v>1</v>
      </c>
      <c r="AF103">
        <v>4</v>
      </c>
      <c r="AG103">
        <v>1</v>
      </c>
      <c r="AH103">
        <v>3</v>
      </c>
      <c r="AI103">
        <v>448</v>
      </c>
      <c r="AJ103">
        <v>448</v>
      </c>
      <c r="AK103">
        <v>224</v>
      </c>
      <c r="AL103" t="s">
        <v>75</v>
      </c>
      <c r="AM103">
        <v>1</v>
      </c>
      <c r="AN103" t="s">
        <v>51</v>
      </c>
      <c r="AO103" t="s">
        <v>59</v>
      </c>
      <c r="AP103" t="s">
        <v>107</v>
      </c>
      <c r="AQ103">
        <v>11</v>
      </c>
      <c r="AR103">
        <v>115</v>
      </c>
      <c r="AS103">
        <v>416</v>
      </c>
      <c r="AT103">
        <v>1.44</v>
      </c>
      <c r="AU103">
        <v>3.77</v>
      </c>
      <c r="AV103" t="s">
        <v>413</v>
      </c>
      <c r="AX103" t="s">
        <v>414</v>
      </c>
    </row>
    <row r="104" spans="1:50" x14ac:dyDescent="0.25">
      <c r="A104" t="s">
        <v>415</v>
      </c>
      <c r="B104" t="s">
        <v>51</v>
      </c>
      <c r="C104">
        <v>0</v>
      </c>
      <c r="D104">
        <v>1</v>
      </c>
      <c r="F104">
        <v>0</v>
      </c>
      <c r="G104">
        <v>0</v>
      </c>
      <c r="H104">
        <v>0</v>
      </c>
      <c r="I104">
        <v>1</v>
      </c>
      <c r="J104">
        <v>526</v>
      </c>
      <c r="K104">
        <v>570</v>
      </c>
      <c r="M104">
        <v>0</v>
      </c>
      <c r="N104">
        <v>0</v>
      </c>
      <c r="O104">
        <v>0</v>
      </c>
      <c r="P104">
        <v>0</v>
      </c>
      <c r="Q104">
        <v>0</v>
      </c>
      <c r="T104" t="s">
        <v>52</v>
      </c>
      <c r="U104" t="s">
        <v>65</v>
      </c>
      <c r="V104">
        <v>50</v>
      </c>
      <c r="W104" t="s">
        <v>54</v>
      </c>
      <c r="X104" t="s">
        <v>80</v>
      </c>
      <c r="Y104">
        <v>0</v>
      </c>
      <c r="AD104" t="s">
        <v>57</v>
      </c>
      <c r="AE104">
        <v>1</v>
      </c>
      <c r="AF104">
        <v>4</v>
      </c>
      <c r="AG104">
        <v>1</v>
      </c>
      <c r="AH104">
        <v>1.5</v>
      </c>
      <c r="AI104">
        <v>448</v>
      </c>
      <c r="AJ104">
        <v>448</v>
      </c>
      <c r="AK104">
        <v>176</v>
      </c>
      <c r="AL104" t="s">
        <v>58</v>
      </c>
      <c r="AM104">
        <v>1</v>
      </c>
      <c r="AN104" t="s">
        <v>51</v>
      </c>
      <c r="AO104" t="s">
        <v>59</v>
      </c>
      <c r="AP104" t="s">
        <v>60</v>
      </c>
      <c r="AQ104">
        <v>15</v>
      </c>
      <c r="AR104">
        <v>61</v>
      </c>
      <c r="AS104">
        <v>158</v>
      </c>
      <c r="AT104">
        <v>1.33</v>
      </c>
      <c r="AU104">
        <v>4.3099999999999996</v>
      </c>
      <c r="AV104" t="s">
        <v>416</v>
      </c>
      <c r="AX104" t="s">
        <v>417</v>
      </c>
    </row>
    <row r="105" spans="1:50" x14ac:dyDescent="0.25">
      <c r="A105" t="s">
        <v>418</v>
      </c>
      <c r="B105" t="s">
        <v>51</v>
      </c>
      <c r="C105">
        <v>0</v>
      </c>
      <c r="D105">
        <v>1</v>
      </c>
      <c r="F105">
        <v>0</v>
      </c>
      <c r="G105">
        <v>0</v>
      </c>
      <c r="H105">
        <v>0</v>
      </c>
      <c r="I105">
        <v>1</v>
      </c>
      <c r="J105">
        <v>344</v>
      </c>
      <c r="K105">
        <v>476</v>
      </c>
      <c r="M105">
        <v>947</v>
      </c>
      <c r="N105">
        <v>1</v>
      </c>
      <c r="O105">
        <v>1</v>
      </c>
      <c r="P105">
        <v>0</v>
      </c>
      <c r="Q105">
        <v>0</v>
      </c>
      <c r="T105" t="s">
        <v>52</v>
      </c>
      <c r="U105" t="s">
        <v>93</v>
      </c>
      <c r="V105">
        <v>42</v>
      </c>
      <c r="W105" t="s">
        <v>54</v>
      </c>
      <c r="X105" t="s">
        <v>55</v>
      </c>
      <c r="Y105">
        <v>0</v>
      </c>
      <c r="Z105">
        <v>113.85</v>
      </c>
      <c r="AB105" t="s">
        <v>269</v>
      </c>
      <c r="AD105" t="s">
        <v>57</v>
      </c>
      <c r="AE105">
        <v>1</v>
      </c>
      <c r="AF105">
        <v>4</v>
      </c>
      <c r="AG105">
        <v>1</v>
      </c>
      <c r="AH105">
        <v>1.5</v>
      </c>
      <c r="AI105">
        <v>512</v>
      </c>
      <c r="AJ105">
        <v>512</v>
      </c>
      <c r="AK105">
        <v>182</v>
      </c>
      <c r="AL105" t="s">
        <v>419</v>
      </c>
      <c r="AM105">
        <v>1.2</v>
      </c>
      <c r="AN105" t="s">
        <v>51</v>
      </c>
      <c r="AO105" t="s">
        <v>67</v>
      </c>
      <c r="AP105" t="s">
        <v>89</v>
      </c>
      <c r="AQ105">
        <v>15</v>
      </c>
      <c r="AR105">
        <v>345</v>
      </c>
      <c r="AS105">
        <v>691</v>
      </c>
      <c r="AT105">
        <v>2.3759999999999999</v>
      </c>
      <c r="AU105">
        <v>5.1319999999999997</v>
      </c>
      <c r="AV105" t="s">
        <v>420</v>
      </c>
      <c r="AX105" t="s">
        <v>421</v>
      </c>
    </row>
    <row r="106" spans="1:50" x14ac:dyDescent="0.25">
      <c r="A106" t="s">
        <v>422</v>
      </c>
      <c r="B106" t="s">
        <v>51</v>
      </c>
      <c r="C106">
        <v>0</v>
      </c>
      <c r="D106">
        <v>1</v>
      </c>
      <c r="F106">
        <v>0</v>
      </c>
      <c r="G106">
        <v>0</v>
      </c>
      <c r="H106">
        <v>1</v>
      </c>
      <c r="I106">
        <v>0</v>
      </c>
      <c r="J106">
        <v>1383</v>
      </c>
      <c r="K106">
        <v>0</v>
      </c>
      <c r="M106">
        <v>0</v>
      </c>
      <c r="N106">
        <v>1</v>
      </c>
      <c r="O106">
        <v>1</v>
      </c>
      <c r="P106">
        <v>0</v>
      </c>
      <c r="Q106">
        <v>0</v>
      </c>
      <c r="U106" t="s">
        <v>93</v>
      </c>
      <c r="V106">
        <v>60</v>
      </c>
      <c r="W106" t="s">
        <v>79</v>
      </c>
      <c r="X106" t="s">
        <v>80</v>
      </c>
      <c r="Y106">
        <v>0</v>
      </c>
      <c r="Z106">
        <v>58.06</v>
      </c>
      <c r="AB106" t="s">
        <v>74</v>
      </c>
      <c r="AC106" t="s">
        <v>102</v>
      </c>
      <c r="AD106" t="s">
        <v>57</v>
      </c>
      <c r="AE106">
        <v>1</v>
      </c>
      <c r="AF106">
        <v>5</v>
      </c>
      <c r="AG106">
        <v>1</v>
      </c>
      <c r="AH106">
        <v>1.5</v>
      </c>
      <c r="AI106">
        <v>512</v>
      </c>
      <c r="AJ106">
        <v>512</v>
      </c>
      <c r="AK106">
        <v>164</v>
      </c>
      <c r="AL106" t="s">
        <v>81</v>
      </c>
      <c r="AM106">
        <v>1</v>
      </c>
      <c r="AN106" t="s">
        <v>51</v>
      </c>
      <c r="AO106" t="s">
        <v>67</v>
      </c>
      <c r="AP106" t="s">
        <v>114</v>
      </c>
      <c r="AQ106">
        <v>15</v>
      </c>
      <c r="AR106">
        <v>458</v>
      </c>
      <c r="AS106">
        <v>917</v>
      </c>
      <c r="AT106">
        <v>2.3119999999999998</v>
      </c>
      <c r="AU106">
        <v>4.9240000000000004</v>
      </c>
      <c r="AV106" t="s">
        <v>423</v>
      </c>
      <c r="AX106" t="s">
        <v>424</v>
      </c>
    </row>
    <row r="107" spans="1:50" x14ac:dyDescent="0.25">
      <c r="A107" t="s">
        <v>425</v>
      </c>
      <c r="B107" t="s">
        <v>51</v>
      </c>
      <c r="C107">
        <v>0</v>
      </c>
      <c r="D107">
        <v>0</v>
      </c>
      <c r="F107">
        <v>0</v>
      </c>
      <c r="G107">
        <v>0</v>
      </c>
      <c r="H107">
        <v>0</v>
      </c>
      <c r="I107">
        <v>0</v>
      </c>
      <c r="J107">
        <v>1337</v>
      </c>
      <c r="K107">
        <v>0</v>
      </c>
      <c r="M107">
        <v>0</v>
      </c>
      <c r="N107">
        <v>1</v>
      </c>
      <c r="O107">
        <v>1</v>
      </c>
      <c r="P107">
        <v>1</v>
      </c>
      <c r="Q107">
        <v>0</v>
      </c>
      <c r="U107" t="s">
        <v>93</v>
      </c>
      <c r="V107">
        <v>52</v>
      </c>
      <c r="W107" t="s">
        <v>54</v>
      </c>
      <c r="X107" t="s">
        <v>426</v>
      </c>
      <c r="Y107">
        <v>0</v>
      </c>
      <c r="Z107">
        <v>90.718000000000004</v>
      </c>
      <c r="AB107" t="s">
        <v>118</v>
      </c>
      <c r="AC107" t="s">
        <v>152</v>
      </c>
      <c r="AD107" t="s">
        <v>57</v>
      </c>
      <c r="AE107">
        <v>1</v>
      </c>
      <c r="AF107">
        <v>5</v>
      </c>
      <c r="AG107">
        <v>1</v>
      </c>
      <c r="AH107">
        <v>3</v>
      </c>
      <c r="AI107">
        <v>512</v>
      </c>
      <c r="AJ107">
        <v>512</v>
      </c>
      <c r="AK107">
        <v>168</v>
      </c>
      <c r="AL107" t="s">
        <v>119</v>
      </c>
      <c r="AM107">
        <v>1</v>
      </c>
      <c r="AN107" t="s">
        <v>51</v>
      </c>
      <c r="AO107" t="s">
        <v>67</v>
      </c>
      <c r="AP107" t="s">
        <v>114</v>
      </c>
      <c r="AQ107">
        <v>15</v>
      </c>
      <c r="AR107">
        <v>928</v>
      </c>
      <c r="AS107">
        <v>1856</v>
      </c>
      <c r="AT107">
        <v>2.3919999999999999</v>
      </c>
      <c r="AU107">
        <v>5.38</v>
      </c>
      <c r="AV107" t="s">
        <v>427</v>
      </c>
      <c r="AX107" t="s">
        <v>428</v>
      </c>
    </row>
    <row r="108" spans="1:50" x14ac:dyDescent="0.25">
      <c r="A108" t="s">
        <v>429</v>
      </c>
      <c r="B108" t="s">
        <v>51</v>
      </c>
      <c r="C108">
        <v>0</v>
      </c>
      <c r="D108">
        <v>1</v>
      </c>
      <c r="F108">
        <v>0</v>
      </c>
      <c r="G108">
        <v>0</v>
      </c>
      <c r="H108">
        <v>0</v>
      </c>
      <c r="I108">
        <v>1</v>
      </c>
      <c r="J108">
        <v>1231</v>
      </c>
      <c r="K108">
        <v>0</v>
      </c>
      <c r="M108">
        <v>0</v>
      </c>
      <c r="N108">
        <v>1</v>
      </c>
      <c r="O108">
        <v>1</v>
      </c>
      <c r="P108">
        <v>1</v>
      </c>
      <c r="Q108">
        <v>0</v>
      </c>
      <c r="S108">
        <v>15</v>
      </c>
      <c r="U108" t="s">
        <v>93</v>
      </c>
      <c r="V108">
        <v>60</v>
      </c>
      <c r="W108" t="s">
        <v>79</v>
      </c>
      <c r="X108" t="s">
        <v>80</v>
      </c>
      <c r="Y108">
        <v>0</v>
      </c>
      <c r="Z108">
        <v>70.760418721199997</v>
      </c>
      <c r="AB108" t="s">
        <v>94</v>
      </c>
      <c r="AD108" t="s">
        <v>57</v>
      </c>
      <c r="AE108">
        <v>1</v>
      </c>
      <c r="AF108">
        <v>5</v>
      </c>
      <c r="AG108">
        <v>1</v>
      </c>
      <c r="AH108">
        <v>1.5</v>
      </c>
      <c r="AI108">
        <v>320</v>
      </c>
      <c r="AJ108">
        <v>320</v>
      </c>
      <c r="AK108">
        <v>160</v>
      </c>
      <c r="AL108" t="s">
        <v>354</v>
      </c>
      <c r="AM108">
        <v>1.1000000238419001</v>
      </c>
      <c r="AN108" t="s">
        <v>51</v>
      </c>
      <c r="AO108" t="s">
        <v>59</v>
      </c>
      <c r="AP108" t="s">
        <v>60</v>
      </c>
      <c r="AQ108">
        <v>11</v>
      </c>
      <c r="AR108">
        <v>47</v>
      </c>
      <c r="AS108">
        <v>128</v>
      </c>
      <c r="AT108">
        <v>1.5</v>
      </c>
      <c r="AU108">
        <v>4.26</v>
      </c>
      <c r="AV108" t="s">
        <v>430</v>
      </c>
      <c r="AX108" t="s">
        <v>431</v>
      </c>
    </row>
    <row r="109" spans="1:50" x14ac:dyDescent="0.25">
      <c r="A109" t="s">
        <v>432</v>
      </c>
      <c r="B109" t="s">
        <v>51</v>
      </c>
      <c r="C109">
        <v>0</v>
      </c>
      <c r="D109">
        <v>1</v>
      </c>
      <c r="F109">
        <v>0</v>
      </c>
      <c r="G109">
        <v>1</v>
      </c>
      <c r="H109">
        <v>0</v>
      </c>
      <c r="I109">
        <v>1</v>
      </c>
      <c r="J109">
        <v>1131</v>
      </c>
      <c r="K109">
        <v>0</v>
      </c>
      <c r="M109">
        <v>0</v>
      </c>
      <c r="N109">
        <v>0</v>
      </c>
      <c r="O109">
        <v>0</v>
      </c>
      <c r="P109">
        <v>0</v>
      </c>
      <c r="Q109">
        <v>1</v>
      </c>
      <c r="U109" t="s">
        <v>53</v>
      </c>
      <c r="V109">
        <v>59</v>
      </c>
      <c r="W109" t="s">
        <v>79</v>
      </c>
      <c r="X109" t="s">
        <v>80</v>
      </c>
      <c r="Y109">
        <v>0</v>
      </c>
      <c r="Z109">
        <v>51.256</v>
      </c>
      <c r="AB109" t="s">
        <v>74</v>
      </c>
      <c r="AD109" t="s">
        <v>57</v>
      </c>
      <c r="AE109">
        <v>1</v>
      </c>
      <c r="AF109">
        <v>5</v>
      </c>
      <c r="AG109">
        <v>1</v>
      </c>
      <c r="AH109">
        <v>3</v>
      </c>
      <c r="AI109">
        <v>512</v>
      </c>
      <c r="AJ109">
        <v>512</v>
      </c>
      <c r="AK109">
        <v>150</v>
      </c>
      <c r="AL109" t="s">
        <v>196</v>
      </c>
      <c r="AM109">
        <v>1</v>
      </c>
      <c r="AN109" t="s">
        <v>51</v>
      </c>
      <c r="AO109" t="s">
        <v>67</v>
      </c>
      <c r="AP109" t="s">
        <v>114</v>
      </c>
      <c r="AQ109">
        <v>15</v>
      </c>
      <c r="AR109">
        <v>712</v>
      </c>
      <c r="AS109">
        <v>1425</v>
      </c>
      <c r="AT109">
        <v>2.456</v>
      </c>
      <c r="AU109">
        <v>5.976</v>
      </c>
      <c r="AV109" t="s">
        <v>433</v>
      </c>
      <c r="AX109" t="s">
        <v>434</v>
      </c>
    </row>
    <row r="110" spans="1:50" x14ac:dyDescent="0.25">
      <c r="A110" t="s">
        <v>435</v>
      </c>
      <c r="B110" t="s">
        <v>51</v>
      </c>
      <c r="C110">
        <v>0</v>
      </c>
      <c r="D110">
        <v>0</v>
      </c>
      <c r="F110">
        <v>0</v>
      </c>
      <c r="G110">
        <v>0</v>
      </c>
      <c r="H110">
        <v>0</v>
      </c>
      <c r="I110">
        <v>0</v>
      </c>
      <c r="J110">
        <v>618</v>
      </c>
      <c r="K110">
        <v>0</v>
      </c>
      <c r="M110">
        <v>639</v>
      </c>
      <c r="N110">
        <v>0</v>
      </c>
      <c r="O110">
        <v>0</v>
      </c>
      <c r="P110">
        <v>0</v>
      </c>
      <c r="Q110">
        <v>0</v>
      </c>
      <c r="T110" t="s">
        <v>52</v>
      </c>
      <c r="U110" t="s">
        <v>65</v>
      </c>
      <c r="V110">
        <v>64</v>
      </c>
      <c r="W110" t="s">
        <v>79</v>
      </c>
      <c r="X110" t="s">
        <v>80</v>
      </c>
      <c r="Y110">
        <v>0</v>
      </c>
      <c r="AD110" t="s">
        <v>57</v>
      </c>
      <c r="AE110">
        <v>1</v>
      </c>
      <c r="AF110">
        <v>4</v>
      </c>
      <c r="AG110">
        <v>1</v>
      </c>
      <c r="AH110">
        <v>3</v>
      </c>
      <c r="AI110">
        <v>448</v>
      </c>
      <c r="AJ110">
        <v>448</v>
      </c>
      <c r="AK110">
        <v>208</v>
      </c>
      <c r="AL110" t="s">
        <v>436</v>
      </c>
      <c r="AM110">
        <v>1.1000000238419001</v>
      </c>
      <c r="AN110" t="s">
        <v>51</v>
      </c>
      <c r="AO110" t="s">
        <v>59</v>
      </c>
      <c r="AP110" t="s">
        <v>107</v>
      </c>
      <c r="AQ110">
        <v>15</v>
      </c>
      <c r="AR110">
        <v>64</v>
      </c>
      <c r="AS110">
        <v>185</v>
      </c>
      <c r="AT110">
        <v>1.44</v>
      </c>
      <c r="AU110">
        <v>3.77</v>
      </c>
      <c r="AV110" t="s">
        <v>437</v>
      </c>
      <c r="AX110" t="s">
        <v>438</v>
      </c>
    </row>
    <row r="111" spans="1:50" x14ac:dyDescent="0.25">
      <c r="A111" t="s">
        <v>439</v>
      </c>
      <c r="B111" t="s">
        <v>51</v>
      </c>
      <c r="C111">
        <v>0</v>
      </c>
      <c r="D111">
        <v>1</v>
      </c>
      <c r="F111">
        <v>0</v>
      </c>
      <c r="G111">
        <v>0</v>
      </c>
      <c r="H111">
        <v>0</v>
      </c>
      <c r="I111">
        <v>1</v>
      </c>
      <c r="J111">
        <v>347</v>
      </c>
      <c r="K111">
        <v>381</v>
      </c>
      <c r="M111">
        <v>398</v>
      </c>
      <c r="N111">
        <v>1</v>
      </c>
      <c r="O111">
        <v>1</v>
      </c>
      <c r="P111">
        <v>0</v>
      </c>
      <c r="Q111">
        <v>0</v>
      </c>
      <c r="T111" t="s">
        <v>64</v>
      </c>
      <c r="U111" t="s">
        <v>93</v>
      </c>
      <c r="V111">
        <v>54</v>
      </c>
      <c r="W111" t="s">
        <v>79</v>
      </c>
      <c r="X111" t="s">
        <v>55</v>
      </c>
      <c r="Y111">
        <v>0</v>
      </c>
      <c r="AD111" t="s">
        <v>57</v>
      </c>
      <c r="AE111">
        <v>1</v>
      </c>
      <c r="AF111">
        <v>4</v>
      </c>
      <c r="AG111">
        <v>1</v>
      </c>
      <c r="AH111">
        <v>1.5</v>
      </c>
      <c r="AI111">
        <v>448</v>
      </c>
      <c r="AJ111">
        <v>448</v>
      </c>
      <c r="AK111">
        <v>160</v>
      </c>
      <c r="AL111" t="s">
        <v>75</v>
      </c>
      <c r="AM111">
        <v>1</v>
      </c>
      <c r="AN111" t="s">
        <v>51</v>
      </c>
      <c r="AO111" t="s">
        <v>59</v>
      </c>
      <c r="AP111" t="s">
        <v>60</v>
      </c>
      <c r="AQ111">
        <v>15</v>
      </c>
      <c r="AR111">
        <v>123</v>
      </c>
      <c r="AS111">
        <v>244</v>
      </c>
      <c r="AT111">
        <v>1.54</v>
      </c>
      <c r="AU111">
        <v>4.68</v>
      </c>
      <c r="AV111" t="s">
        <v>440</v>
      </c>
      <c r="AX111" t="s">
        <v>441</v>
      </c>
    </row>
    <row r="112" spans="1:50" x14ac:dyDescent="0.25">
      <c r="A112" t="s">
        <v>442</v>
      </c>
      <c r="B112" t="s">
        <v>51</v>
      </c>
      <c r="C112">
        <v>0</v>
      </c>
      <c r="D112">
        <v>0</v>
      </c>
      <c r="F112">
        <v>0</v>
      </c>
      <c r="G112">
        <v>0</v>
      </c>
      <c r="H112">
        <v>1</v>
      </c>
      <c r="I112">
        <v>0</v>
      </c>
      <c r="J112">
        <v>736</v>
      </c>
      <c r="K112">
        <v>0</v>
      </c>
      <c r="M112">
        <v>0</v>
      </c>
      <c r="N112">
        <v>1</v>
      </c>
      <c r="O112">
        <v>0</v>
      </c>
      <c r="P112">
        <v>1</v>
      </c>
      <c r="Q112">
        <v>0</v>
      </c>
      <c r="T112" t="s">
        <v>64</v>
      </c>
      <c r="U112" t="s">
        <v>93</v>
      </c>
      <c r="V112">
        <v>63</v>
      </c>
      <c r="W112" t="s">
        <v>79</v>
      </c>
      <c r="X112" t="s">
        <v>55</v>
      </c>
      <c r="Y112">
        <v>0</v>
      </c>
      <c r="Z112">
        <v>77.11</v>
      </c>
      <c r="AB112" t="s">
        <v>94</v>
      </c>
      <c r="AD112" t="s">
        <v>57</v>
      </c>
      <c r="AE112">
        <v>1</v>
      </c>
      <c r="AF112">
        <v>4</v>
      </c>
      <c r="AG112">
        <v>1</v>
      </c>
      <c r="AH112">
        <v>1.5</v>
      </c>
      <c r="AI112">
        <v>512</v>
      </c>
      <c r="AJ112">
        <v>512</v>
      </c>
      <c r="AK112">
        <v>168</v>
      </c>
      <c r="AL112" t="s">
        <v>119</v>
      </c>
      <c r="AM112">
        <v>1</v>
      </c>
      <c r="AN112" t="s">
        <v>51</v>
      </c>
      <c r="AO112" t="s">
        <v>67</v>
      </c>
      <c r="AP112" t="s">
        <v>89</v>
      </c>
      <c r="AQ112">
        <v>15</v>
      </c>
      <c r="AR112">
        <v>464</v>
      </c>
      <c r="AS112">
        <v>929</v>
      </c>
      <c r="AT112">
        <v>2.456</v>
      </c>
      <c r="AU112">
        <v>5.2960000000000003</v>
      </c>
      <c r="AV112" t="s">
        <v>443</v>
      </c>
      <c r="AX112" t="s">
        <v>444</v>
      </c>
    </row>
    <row r="113" spans="1:50" x14ac:dyDescent="0.25">
      <c r="A113" t="s">
        <v>445</v>
      </c>
      <c r="B113" t="s">
        <v>51</v>
      </c>
      <c r="C113">
        <v>0</v>
      </c>
      <c r="D113">
        <v>0</v>
      </c>
      <c r="F113">
        <v>0</v>
      </c>
      <c r="G113">
        <v>1</v>
      </c>
      <c r="H113">
        <v>0</v>
      </c>
      <c r="I113">
        <v>1</v>
      </c>
      <c r="J113">
        <v>776</v>
      </c>
      <c r="K113">
        <v>0</v>
      </c>
      <c r="M113">
        <v>0</v>
      </c>
      <c r="N113">
        <v>0</v>
      </c>
      <c r="O113">
        <v>0</v>
      </c>
      <c r="P113">
        <v>0</v>
      </c>
      <c r="Q113">
        <v>1</v>
      </c>
      <c r="U113" t="s">
        <v>53</v>
      </c>
      <c r="V113">
        <v>45</v>
      </c>
      <c r="W113" t="s">
        <v>54</v>
      </c>
      <c r="X113" t="s">
        <v>80</v>
      </c>
      <c r="Y113">
        <v>0</v>
      </c>
      <c r="Z113">
        <v>90.718485540000003</v>
      </c>
      <c r="AB113" t="s">
        <v>118</v>
      </c>
      <c r="AD113" t="s">
        <v>57</v>
      </c>
      <c r="AE113">
        <v>1</v>
      </c>
      <c r="AF113">
        <v>5</v>
      </c>
      <c r="AG113">
        <v>1</v>
      </c>
      <c r="AH113">
        <v>1.5</v>
      </c>
      <c r="AI113">
        <v>320</v>
      </c>
      <c r="AJ113">
        <v>320</v>
      </c>
      <c r="AK113">
        <v>144</v>
      </c>
      <c r="AL113" t="s">
        <v>446</v>
      </c>
      <c r="AM113">
        <v>1.0999999046325999</v>
      </c>
      <c r="AN113" t="s">
        <v>51</v>
      </c>
      <c r="AO113" t="s">
        <v>59</v>
      </c>
      <c r="AP113" t="s">
        <v>60</v>
      </c>
      <c r="AQ113">
        <v>11</v>
      </c>
      <c r="AR113">
        <v>43</v>
      </c>
      <c r="AS113">
        <v>118</v>
      </c>
      <c r="AT113">
        <v>1.5</v>
      </c>
      <c r="AU113">
        <v>4.26</v>
      </c>
      <c r="AV113" t="s">
        <v>447</v>
      </c>
      <c r="AX113" t="s">
        <v>448</v>
      </c>
    </row>
    <row r="114" spans="1:50" x14ac:dyDescent="0.25">
      <c r="A114" t="s">
        <v>449</v>
      </c>
      <c r="B114" t="s">
        <v>51</v>
      </c>
      <c r="C114">
        <v>0</v>
      </c>
      <c r="D114">
        <v>1</v>
      </c>
      <c r="F114">
        <v>0</v>
      </c>
      <c r="G114">
        <v>0</v>
      </c>
      <c r="H114">
        <v>0</v>
      </c>
      <c r="I114">
        <v>0</v>
      </c>
      <c r="J114">
        <v>2249</v>
      </c>
      <c r="K114">
        <v>0</v>
      </c>
      <c r="M114">
        <v>0</v>
      </c>
      <c r="N114">
        <v>1</v>
      </c>
      <c r="O114">
        <v>1</v>
      </c>
      <c r="P114">
        <v>1</v>
      </c>
      <c r="Q114">
        <v>0</v>
      </c>
      <c r="S114">
        <v>13</v>
      </c>
      <c r="T114" t="s">
        <v>289</v>
      </c>
      <c r="U114" t="s">
        <v>93</v>
      </c>
      <c r="V114">
        <v>42</v>
      </c>
      <c r="W114" t="s">
        <v>54</v>
      </c>
      <c r="X114" t="s">
        <v>80</v>
      </c>
      <c r="Y114">
        <v>0</v>
      </c>
      <c r="Z114">
        <v>68.038864154999999</v>
      </c>
      <c r="AA114">
        <v>1.6256032533333</v>
      </c>
      <c r="AB114" t="s">
        <v>94</v>
      </c>
      <c r="AD114" t="s">
        <v>57</v>
      </c>
      <c r="AE114">
        <v>1</v>
      </c>
      <c r="AF114">
        <v>4</v>
      </c>
      <c r="AG114">
        <v>1</v>
      </c>
      <c r="AH114">
        <v>3</v>
      </c>
      <c r="AI114">
        <v>448</v>
      </c>
      <c r="AJ114">
        <v>448</v>
      </c>
      <c r="AK114">
        <v>128</v>
      </c>
      <c r="AL114" t="s">
        <v>123</v>
      </c>
      <c r="AM114">
        <v>1.1000000238419001</v>
      </c>
      <c r="AN114" t="s">
        <v>51</v>
      </c>
      <c r="AO114" t="s">
        <v>59</v>
      </c>
      <c r="AP114" t="s">
        <v>124</v>
      </c>
      <c r="AQ114">
        <v>11</v>
      </c>
      <c r="AR114">
        <v>58</v>
      </c>
      <c r="AS114">
        <v>160</v>
      </c>
      <c r="AT114">
        <v>1.58</v>
      </c>
      <c r="AU114">
        <v>3.94</v>
      </c>
      <c r="AV114" t="s">
        <v>450</v>
      </c>
      <c r="AX114" t="s">
        <v>451</v>
      </c>
    </row>
    <row r="115" spans="1:50" x14ac:dyDescent="0.25">
      <c r="A115" t="s">
        <v>452</v>
      </c>
      <c r="B115" t="s">
        <v>51</v>
      </c>
      <c r="C115">
        <v>0</v>
      </c>
      <c r="D115">
        <v>0</v>
      </c>
      <c r="F115">
        <v>0</v>
      </c>
      <c r="G115">
        <v>1</v>
      </c>
      <c r="H115">
        <v>1</v>
      </c>
      <c r="I115">
        <v>0</v>
      </c>
      <c r="J115">
        <v>2694</v>
      </c>
      <c r="K115">
        <v>0</v>
      </c>
      <c r="M115">
        <v>0</v>
      </c>
      <c r="N115">
        <v>1</v>
      </c>
      <c r="O115">
        <v>1</v>
      </c>
      <c r="P115">
        <v>1</v>
      </c>
      <c r="Q115">
        <v>1</v>
      </c>
      <c r="T115" t="s">
        <v>64</v>
      </c>
      <c r="U115" t="s">
        <v>72</v>
      </c>
      <c r="V115">
        <v>47</v>
      </c>
      <c r="W115" t="s">
        <v>54</v>
      </c>
      <c r="X115" t="s">
        <v>80</v>
      </c>
      <c r="Y115">
        <v>0</v>
      </c>
      <c r="Z115">
        <v>77.111000000000004</v>
      </c>
      <c r="AB115" t="s">
        <v>94</v>
      </c>
      <c r="AD115" t="s">
        <v>57</v>
      </c>
      <c r="AE115">
        <v>1</v>
      </c>
      <c r="AF115">
        <v>5</v>
      </c>
      <c r="AG115">
        <v>1</v>
      </c>
      <c r="AH115">
        <v>3</v>
      </c>
      <c r="AI115">
        <v>512</v>
      </c>
      <c r="AJ115">
        <v>512</v>
      </c>
      <c r="AK115">
        <v>176</v>
      </c>
      <c r="AL115" t="s">
        <v>119</v>
      </c>
      <c r="AM115">
        <v>1</v>
      </c>
      <c r="AN115" t="s">
        <v>51</v>
      </c>
      <c r="AO115" t="s">
        <v>67</v>
      </c>
      <c r="AP115" t="s">
        <v>114</v>
      </c>
      <c r="AQ115">
        <v>15</v>
      </c>
      <c r="AR115">
        <v>1699</v>
      </c>
      <c r="AS115">
        <v>3399</v>
      </c>
      <c r="AT115">
        <v>2.48</v>
      </c>
      <c r="AU115">
        <v>5.3159999999999998</v>
      </c>
      <c r="AV115" t="s">
        <v>453</v>
      </c>
      <c r="AX115" t="s">
        <v>454</v>
      </c>
    </row>
    <row r="116" spans="1:50" x14ac:dyDescent="0.25">
      <c r="A116" t="s">
        <v>455</v>
      </c>
      <c r="B116" t="s">
        <v>51</v>
      </c>
      <c r="C116">
        <v>0</v>
      </c>
      <c r="D116">
        <v>0</v>
      </c>
      <c r="F116">
        <v>0</v>
      </c>
      <c r="G116">
        <v>0</v>
      </c>
      <c r="H116">
        <v>0</v>
      </c>
      <c r="I116">
        <v>0</v>
      </c>
      <c r="J116">
        <v>1720</v>
      </c>
      <c r="K116">
        <v>0</v>
      </c>
      <c r="M116">
        <v>0</v>
      </c>
      <c r="N116">
        <v>1</v>
      </c>
      <c r="O116">
        <v>1</v>
      </c>
      <c r="P116">
        <v>1</v>
      </c>
      <c r="Q116">
        <v>0</v>
      </c>
      <c r="S116">
        <v>29</v>
      </c>
      <c r="U116" t="s">
        <v>93</v>
      </c>
      <c r="V116">
        <v>44</v>
      </c>
      <c r="W116" t="s">
        <v>54</v>
      </c>
      <c r="X116" t="s">
        <v>80</v>
      </c>
      <c r="Y116">
        <v>0</v>
      </c>
      <c r="Z116">
        <v>61.234999999999999</v>
      </c>
      <c r="AB116" t="s">
        <v>74</v>
      </c>
      <c r="AC116" t="s">
        <v>112</v>
      </c>
      <c r="AD116" t="s">
        <v>57</v>
      </c>
      <c r="AE116">
        <v>1</v>
      </c>
      <c r="AF116">
        <v>5</v>
      </c>
      <c r="AG116">
        <v>1</v>
      </c>
      <c r="AH116">
        <v>3</v>
      </c>
      <c r="AI116">
        <v>512</v>
      </c>
      <c r="AJ116">
        <v>512</v>
      </c>
      <c r="AK116">
        <v>156</v>
      </c>
      <c r="AL116" t="s">
        <v>81</v>
      </c>
      <c r="AM116">
        <v>1</v>
      </c>
      <c r="AN116" t="s">
        <v>51</v>
      </c>
      <c r="AO116" t="s">
        <v>67</v>
      </c>
      <c r="AP116" t="s">
        <v>114</v>
      </c>
      <c r="AQ116">
        <v>15</v>
      </c>
      <c r="AR116">
        <v>577</v>
      </c>
      <c r="AS116">
        <v>1155</v>
      </c>
      <c r="AT116">
        <v>2.4159999999999999</v>
      </c>
      <c r="AU116">
        <v>5.66</v>
      </c>
      <c r="AV116" t="s">
        <v>456</v>
      </c>
      <c r="AX116" t="s">
        <v>457</v>
      </c>
    </row>
    <row r="117" spans="1:50" x14ac:dyDescent="0.25">
      <c r="A117" t="s">
        <v>458</v>
      </c>
      <c r="B117" t="s">
        <v>51</v>
      </c>
      <c r="C117">
        <v>0</v>
      </c>
      <c r="D117">
        <v>0</v>
      </c>
      <c r="F117">
        <v>0</v>
      </c>
      <c r="G117">
        <v>0</v>
      </c>
      <c r="J117">
        <v>1419</v>
      </c>
      <c r="K117">
        <v>0</v>
      </c>
      <c r="M117">
        <v>0</v>
      </c>
      <c r="N117">
        <v>1</v>
      </c>
      <c r="O117">
        <v>1</v>
      </c>
      <c r="P117">
        <v>1</v>
      </c>
      <c r="Q117">
        <v>0</v>
      </c>
      <c r="U117" t="s">
        <v>93</v>
      </c>
      <c r="V117">
        <v>41</v>
      </c>
      <c r="W117" t="s">
        <v>54</v>
      </c>
      <c r="X117" t="s">
        <v>80</v>
      </c>
      <c r="Y117">
        <v>0</v>
      </c>
      <c r="Z117">
        <v>95.254409816999996</v>
      </c>
      <c r="AB117" t="s">
        <v>118</v>
      </c>
      <c r="AD117" t="s">
        <v>57</v>
      </c>
      <c r="AE117">
        <v>1</v>
      </c>
      <c r="AF117">
        <v>5</v>
      </c>
      <c r="AG117">
        <v>1</v>
      </c>
      <c r="AH117">
        <v>1.5</v>
      </c>
      <c r="AI117">
        <v>320</v>
      </c>
      <c r="AJ117">
        <v>320</v>
      </c>
      <c r="AK117">
        <v>144</v>
      </c>
      <c r="AL117" t="s">
        <v>459</v>
      </c>
      <c r="AM117">
        <v>1.0999999046325999</v>
      </c>
      <c r="AN117" t="s">
        <v>51</v>
      </c>
      <c r="AO117" t="s">
        <v>59</v>
      </c>
      <c r="AP117" t="s">
        <v>60</v>
      </c>
      <c r="AQ117">
        <v>11</v>
      </c>
      <c r="AR117">
        <v>48</v>
      </c>
      <c r="AS117">
        <v>129</v>
      </c>
      <c r="AT117">
        <v>1.52</v>
      </c>
      <c r="AU117">
        <v>4.26</v>
      </c>
      <c r="AV117" t="s">
        <v>460</v>
      </c>
      <c r="AX117" t="s">
        <v>461</v>
      </c>
    </row>
    <row r="118" spans="1:50" x14ac:dyDescent="0.25">
      <c r="A118" t="s">
        <v>462</v>
      </c>
      <c r="B118" t="s">
        <v>51</v>
      </c>
      <c r="C118">
        <v>0</v>
      </c>
      <c r="D118">
        <v>1</v>
      </c>
      <c r="F118">
        <v>0</v>
      </c>
      <c r="G118">
        <v>0</v>
      </c>
      <c r="H118">
        <v>1</v>
      </c>
      <c r="I118">
        <v>0</v>
      </c>
      <c r="J118">
        <v>1500</v>
      </c>
      <c r="K118">
        <v>0</v>
      </c>
      <c r="M118">
        <v>0</v>
      </c>
      <c r="N118">
        <v>1</v>
      </c>
      <c r="O118">
        <v>1</v>
      </c>
      <c r="P118">
        <v>1</v>
      </c>
      <c r="Q118">
        <v>0</v>
      </c>
      <c r="S118">
        <v>76</v>
      </c>
      <c r="U118" t="s">
        <v>93</v>
      </c>
      <c r="V118">
        <v>54</v>
      </c>
      <c r="W118" t="s">
        <v>79</v>
      </c>
      <c r="X118" t="s">
        <v>80</v>
      </c>
      <c r="Y118">
        <v>0</v>
      </c>
      <c r="Z118">
        <v>81.647000000000006</v>
      </c>
      <c r="AB118" t="s">
        <v>94</v>
      </c>
      <c r="AC118" t="s">
        <v>152</v>
      </c>
      <c r="AD118" t="s">
        <v>57</v>
      </c>
      <c r="AE118">
        <v>1</v>
      </c>
      <c r="AF118">
        <v>5</v>
      </c>
      <c r="AG118">
        <v>1</v>
      </c>
      <c r="AH118">
        <v>1.5</v>
      </c>
      <c r="AI118">
        <v>512</v>
      </c>
      <c r="AJ118">
        <v>512</v>
      </c>
      <c r="AK118">
        <v>170</v>
      </c>
      <c r="AL118" t="s">
        <v>81</v>
      </c>
      <c r="AM118">
        <v>1</v>
      </c>
      <c r="AN118" t="s">
        <v>51</v>
      </c>
      <c r="AO118" t="s">
        <v>67</v>
      </c>
      <c r="AP118" t="s">
        <v>114</v>
      </c>
      <c r="AQ118">
        <v>15</v>
      </c>
      <c r="AR118">
        <v>356</v>
      </c>
      <c r="AS118">
        <v>713</v>
      </c>
      <c r="AT118">
        <v>2.3119999999999998</v>
      </c>
      <c r="AU118">
        <v>4.9240000000000004</v>
      </c>
      <c r="AV118" t="s">
        <v>463</v>
      </c>
      <c r="AX118" t="s">
        <v>464</v>
      </c>
    </row>
    <row r="119" spans="1:50" x14ac:dyDescent="0.25">
      <c r="A119" t="s">
        <v>465</v>
      </c>
      <c r="B119" t="s">
        <v>51</v>
      </c>
      <c r="C119">
        <v>0</v>
      </c>
      <c r="D119">
        <v>0</v>
      </c>
      <c r="F119">
        <v>0</v>
      </c>
      <c r="G119">
        <v>1</v>
      </c>
      <c r="H119">
        <v>0</v>
      </c>
      <c r="I119">
        <v>1</v>
      </c>
      <c r="J119">
        <v>1701</v>
      </c>
      <c r="K119">
        <v>0</v>
      </c>
      <c r="M119">
        <v>0</v>
      </c>
      <c r="N119">
        <v>1</v>
      </c>
      <c r="O119">
        <v>1</v>
      </c>
      <c r="P119">
        <v>1</v>
      </c>
      <c r="Q119">
        <v>1</v>
      </c>
      <c r="S119">
        <v>23</v>
      </c>
      <c r="U119" t="s">
        <v>72</v>
      </c>
      <c r="V119">
        <v>68</v>
      </c>
      <c r="W119" t="s">
        <v>79</v>
      </c>
      <c r="X119" t="s">
        <v>80</v>
      </c>
      <c r="Y119">
        <v>0</v>
      </c>
      <c r="Z119">
        <v>59.874000000000002</v>
      </c>
      <c r="AB119" t="s">
        <v>74</v>
      </c>
      <c r="AC119" t="s">
        <v>112</v>
      </c>
      <c r="AD119" t="s">
        <v>57</v>
      </c>
      <c r="AE119">
        <v>1</v>
      </c>
      <c r="AF119">
        <v>5</v>
      </c>
      <c r="AG119">
        <v>1</v>
      </c>
      <c r="AH119">
        <v>3</v>
      </c>
      <c r="AI119">
        <v>512</v>
      </c>
      <c r="AJ119">
        <v>512</v>
      </c>
      <c r="AK119">
        <v>176</v>
      </c>
      <c r="AL119" t="s">
        <v>153</v>
      </c>
      <c r="AM119">
        <v>1</v>
      </c>
      <c r="AN119" t="s">
        <v>51</v>
      </c>
      <c r="AO119" t="s">
        <v>67</v>
      </c>
      <c r="AP119" t="s">
        <v>114</v>
      </c>
      <c r="AQ119">
        <v>15</v>
      </c>
      <c r="AR119">
        <v>579</v>
      </c>
      <c r="AS119">
        <v>1158</v>
      </c>
      <c r="AT119">
        <v>2.4319999999999999</v>
      </c>
      <c r="AU119">
        <v>5.8090000000000002</v>
      </c>
      <c r="AV119" t="s">
        <v>466</v>
      </c>
      <c r="AX119" t="s">
        <v>467</v>
      </c>
    </row>
    <row r="120" spans="1:50" x14ac:dyDescent="0.25">
      <c r="A120" t="s">
        <v>468</v>
      </c>
      <c r="B120" t="s">
        <v>51</v>
      </c>
      <c r="C120">
        <v>0</v>
      </c>
      <c r="D120">
        <v>1</v>
      </c>
      <c r="F120">
        <v>0</v>
      </c>
      <c r="G120">
        <v>0</v>
      </c>
      <c r="H120">
        <v>0</v>
      </c>
      <c r="I120">
        <v>1</v>
      </c>
      <c r="J120">
        <v>1276</v>
      </c>
      <c r="K120">
        <v>0</v>
      </c>
      <c r="M120">
        <v>0</v>
      </c>
      <c r="N120">
        <v>1</v>
      </c>
      <c r="O120">
        <v>1</v>
      </c>
      <c r="P120">
        <v>1</v>
      </c>
      <c r="Q120">
        <v>0</v>
      </c>
      <c r="T120" t="s">
        <v>64</v>
      </c>
      <c r="U120" t="s">
        <v>93</v>
      </c>
      <c r="V120">
        <v>46</v>
      </c>
      <c r="W120" t="s">
        <v>79</v>
      </c>
      <c r="X120" t="s">
        <v>55</v>
      </c>
      <c r="Y120">
        <v>0</v>
      </c>
      <c r="Z120">
        <v>91</v>
      </c>
      <c r="AB120" t="s">
        <v>118</v>
      </c>
      <c r="AD120" t="s">
        <v>57</v>
      </c>
      <c r="AE120">
        <v>1</v>
      </c>
      <c r="AF120">
        <v>4</v>
      </c>
      <c r="AG120">
        <v>1</v>
      </c>
      <c r="AH120">
        <v>3</v>
      </c>
      <c r="AI120">
        <v>512</v>
      </c>
      <c r="AJ120">
        <v>512</v>
      </c>
      <c r="AK120">
        <v>176</v>
      </c>
      <c r="AL120" t="s">
        <v>350</v>
      </c>
      <c r="AM120">
        <v>1.1000000000000001</v>
      </c>
      <c r="AN120" t="s">
        <v>51</v>
      </c>
      <c r="AO120" t="s">
        <v>67</v>
      </c>
      <c r="AP120" t="s">
        <v>68</v>
      </c>
      <c r="AQ120">
        <v>15</v>
      </c>
      <c r="AR120">
        <v>341</v>
      </c>
      <c r="AS120">
        <v>682</v>
      </c>
      <c r="AT120">
        <v>2.508</v>
      </c>
      <c r="AU120">
        <v>5.3719999999999999</v>
      </c>
      <c r="AV120" t="s">
        <v>469</v>
      </c>
      <c r="AX120" t="s">
        <v>470</v>
      </c>
    </row>
    <row r="121" spans="1:50" x14ac:dyDescent="0.25">
      <c r="A121" t="s">
        <v>471</v>
      </c>
      <c r="B121" t="s">
        <v>51</v>
      </c>
      <c r="C121">
        <v>0</v>
      </c>
      <c r="D121">
        <v>1</v>
      </c>
      <c r="F121">
        <v>0</v>
      </c>
      <c r="G121">
        <v>0</v>
      </c>
      <c r="H121">
        <v>1</v>
      </c>
      <c r="I121">
        <v>0</v>
      </c>
      <c r="J121">
        <v>1478</v>
      </c>
      <c r="K121">
        <v>0</v>
      </c>
      <c r="M121">
        <v>0</v>
      </c>
      <c r="N121">
        <v>1</v>
      </c>
      <c r="O121">
        <v>1</v>
      </c>
      <c r="P121">
        <v>0</v>
      </c>
      <c r="Q121">
        <v>0</v>
      </c>
      <c r="T121" t="s">
        <v>64</v>
      </c>
      <c r="U121" t="s">
        <v>93</v>
      </c>
      <c r="V121">
        <v>51</v>
      </c>
      <c r="W121" t="s">
        <v>54</v>
      </c>
      <c r="X121" t="s">
        <v>55</v>
      </c>
      <c r="Y121">
        <v>0</v>
      </c>
      <c r="Z121">
        <v>97.52</v>
      </c>
      <c r="AB121" t="s">
        <v>56</v>
      </c>
      <c r="AD121" t="s">
        <v>57</v>
      </c>
      <c r="AE121">
        <v>1</v>
      </c>
      <c r="AF121">
        <v>4</v>
      </c>
      <c r="AG121">
        <v>1</v>
      </c>
      <c r="AH121">
        <v>1.5</v>
      </c>
      <c r="AI121">
        <v>512</v>
      </c>
      <c r="AJ121">
        <v>512</v>
      </c>
      <c r="AK121">
        <v>182</v>
      </c>
      <c r="AL121" t="s">
        <v>119</v>
      </c>
      <c r="AM121">
        <v>1.2</v>
      </c>
      <c r="AN121" t="s">
        <v>51</v>
      </c>
      <c r="AO121" t="s">
        <v>67</v>
      </c>
      <c r="AP121" t="s">
        <v>89</v>
      </c>
      <c r="AQ121">
        <v>15</v>
      </c>
      <c r="AR121">
        <v>272</v>
      </c>
      <c r="AS121">
        <v>544</v>
      </c>
      <c r="AT121">
        <v>2.476</v>
      </c>
      <c r="AU121">
        <v>5.2640000000000002</v>
      </c>
      <c r="AV121" t="s">
        <v>472</v>
      </c>
      <c r="AX121" t="s">
        <v>473</v>
      </c>
    </row>
    <row r="122" spans="1:50" x14ac:dyDescent="0.25">
      <c r="A122" t="s">
        <v>474</v>
      </c>
      <c r="B122" t="s">
        <v>51</v>
      </c>
      <c r="C122">
        <v>0</v>
      </c>
      <c r="D122">
        <v>0</v>
      </c>
      <c r="F122">
        <v>0</v>
      </c>
      <c r="G122">
        <v>1</v>
      </c>
      <c r="H122">
        <v>0</v>
      </c>
      <c r="I122">
        <v>1</v>
      </c>
      <c r="J122">
        <v>287</v>
      </c>
      <c r="K122">
        <v>0</v>
      </c>
      <c r="M122">
        <v>0</v>
      </c>
      <c r="N122">
        <v>1</v>
      </c>
      <c r="O122">
        <v>1</v>
      </c>
      <c r="P122">
        <v>1</v>
      </c>
      <c r="Q122">
        <v>1</v>
      </c>
      <c r="T122" t="s">
        <v>52</v>
      </c>
      <c r="U122" t="s">
        <v>72</v>
      </c>
      <c r="V122">
        <v>39</v>
      </c>
      <c r="W122" t="s">
        <v>54</v>
      </c>
      <c r="X122" t="s">
        <v>80</v>
      </c>
      <c r="Y122">
        <v>0</v>
      </c>
      <c r="Z122">
        <v>93.440040106200001</v>
      </c>
      <c r="AA122">
        <v>1.6764033549999999</v>
      </c>
      <c r="AB122" t="s">
        <v>118</v>
      </c>
      <c r="AD122" t="s">
        <v>57</v>
      </c>
      <c r="AE122">
        <v>1</v>
      </c>
      <c r="AF122">
        <v>4</v>
      </c>
      <c r="AG122">
        <v>1</v>
      </c>
      <c r="AH122">
        <v>1.5</v>
      </c>
      <c r="AI122">
        <v>448</v>
      </c>
      <c r="AJ122">
        <v>448</v>
      </c>
      <c r="AK122">
        <v>176</v>
      </c>
      <c r="AL122" t="s">
        <v>123</v>
      </c>
      <c r="AM122">
        <v>1</v>
      </c>
      <c r="AN122" t="s">
        <v>51</v>
      </c>
      <c r="AO122" t="s">
        <v>59</v>
      </c>
      <c r="AP122" t="s">
        <v>60</v>
      </c>
      <c r="AQ122">
        <v>11</v>
      </c>
      <c r="AR122">
        <v>61</v>
      </c>
      <c r="AS122">
        <v>155</v>
      </c>
      <c r="AT122">
        <v>1.36</v>
      </c>
      <c r="AU122">
        <v>4.3099999999999996</v>
      </c>
      <c r="AV122" t="s">
        <v>475</v>
      </c>
      <c r="AX122" t="s">
        <v>476</v>
      </c>
    </row>
    <row r="123" spans="1:50" x14ac:dyDescent="0.25">
      <c r="A123" t="s">
        <v>477</v>
      </c>
      <c r="B123" t="s">
        <v>51</v>
      </c>
      <c r="C123">
        <v>0</v>
      </c>
      <c r="D123">
        <v>1</v>
      </c>
      <c r="F123">
        <v>0</v>
      </c>
      <c r="G123">
        <v>0</v>
      </c>
      <c r="H123">
        <v>0</v>
      </c>
      <c r="I123">
        <v>1</v>
      </c>
      <c r="J123">
        <v>3119</v>
      </c>
      <c r="K123">
        <v>0</v>
      </c>
      <c r="M123">
        <v>0</v>
      </c>
      <c r="N123">
        <v>1</v>
      </c>
      <c r="O123">
        <v>1</v>
      </c>
      <c r="P123">
        <v>1</v>
      </c>
      <c r="Q123">
        <v>0</v>
      </c>
      <c r="T123" t="s">
        <v>52</v>
      </c>
      <c r="U123" t="s">
        <v>93</v>
      </c>
      <c r="V123">
        <v>38</v>
      </c>
      <c r="W123" t="s">
        <v>54</v>
      </c>
      <c r="X123" t="s">
        <v>80</v>
      </c>
      <c r="Y123">
        <v>0</v>
      </c>
      <c r="Z123">
        <v>58.967015601</v>
      </c>
      <c r="AA123">
        <v>1.7018034058333</v>
      </c>
      <c r="AB123" t="s">
        <v>74</v>
      </c>
      <c r="AD123" t="s">
        <v>57</v>
      </c>
      <c r="AE123">
        <v>1</v>
      </c>
      <c r="AF123">
        <v>5</v>
      </c>
      <c r="AG123">
        <v>1</v>
      </c>
      <c r="AH123">
        <v>3</v>
      </c>
      <c r="AI123">
        <v>448</v>
      </c>
      <c r="AJ123">
        <v>448</v>
      </c>
      <c r="AK123">
        <v>160</v>
      </c>
      <c r="AL123" t="s">
        <v>123</v>
      </c>
      <c r="AM123">
        <v>1.1000000238419001</v>
      </c>
      <c r="AN123" t="s">
        <v>51</v>
      </c>
      <c r="AO123" t="s">
        <v>59</v>
      </c>
      <c r="AP123" t="s">
        <v>124</v>
      </c>
      <c r="AQ123">
        <v>11</v>
      </c>
      <c r="AR123">
        <v>35</v>
      </c>
      <c r="AS123">
        <v>95</v>
      </c>
      <c r="AT123">
        <v>1.36</v>
      </c>
      <c r="AU123">
        <v>3.54</v>
      </c>
      <c r="AV123" t="s">
        <v>478</v>
      </c>
      <c r="AX123" t="s">
        <v>479</v>
      </c>
    </row>
    <row r="124" spans="1:50" x14ac:dyDescent="0.25">
      <c r="A124" t="s">
        <v>480</v>
      </c>
      <c r="B124" t="s">
        <v>51</v>
      </c>
      <c r="C124">
        <v>0</v>
      </c>
      <c r="D124">
        <v>0</v>
      </c>
      <c r="F124">
        <v>0</v>
      </c>
      <c r="G124">
        <v>0</v>
      </c>
      <c r="H124">
        <v>0</v>
      </c>
      <c r="I124">
        <v>0</v>
      </c>
      <c r="J124">
        <v>1445</v>
      </c>
      <c r="K124">
        <v>0</v>
      </c>
      <c r="M124">
        <v>0</v>
      </c>
      <c r="N124">
        <v>0</v>
      </c>
      <c r="O124">
        <v>0</v>
      </c>
      <c r="P124">
        <v>0</v>
      </c>
      <c r="Q124">
        <v>0</v>
      </c>
      <c r="U124" t="s">
        <v>65</v>
      </c>
      <c r="V124">
        <v>55</v>
      </c>
      <c r="W124" t="s">
        <v>79</v>
      </c>
      <c r="X124" t="s">
        <v>55</v>
      </c>
      <c r="Y124">
        <v>0</v>
      </c>
      <c r="Z124">
        <v>103.419</v>
      </c>
      <c r="AB124" t="s">
        <v>56</v>
      </c>
      <c r="AC124" t="s">
        <v>112</v>
      </c>
      <c r="AD124" t="s">
        <v>57</v>
      </c>
      <c r="AE124">
        <v>1</v>
      </c>
      <c r="AF124">
        <v>5</v>
      </c>
      <c r="AG124">
        <v>1</v>
      </c>
      <c r="AH124">
        <v>3</v>
      </c>
      <c r="AI124">
        <v>512</v>
      </c>
      <c r="AJ124">
        <v>512</v>
      </c>
      <c r="AK124">
        <v>170</v>
      </c>
      <c r="AL124" t="s">
        <v>88</v>
      </c>
      <c r="AM124">
        <v>1.2</v>
      </c>
      <c r="AN124" t="s">
        <v>51</v>
      </c>
      <c r="AO124" t="s">
        <v>67</v>
      </c>
      <c r="AP124" t="s">
        <v>114</v>
      </c>
      <c r="AQ124">
        <v>15</v>
      </c>
      <c r="AR124">
        <v>1488</v>
      </c>
      <c r="AS124">
        <v>2976</v>
      </c>
      <c r="AT124">
        <v>2.3639999999999999</v>
      </c>
      <c r="AU124">
        <v>5.0679999999999996</v>
      </c>
      <c r="AV124" t="s">
        <v>481</v>
      </c>
      <c r="AX124" t="s">
        <v>482</v>
      </c>
    </row>
    <row r="125" spans="1:50" x14ac:dyDescent="0.25">
      <c r="A125" t="s">
        <v>483</v>
      </c>
      <c r="B125" t="s">
        <v>51</v>
      </c>
      <c r="C125">
        <v>0</v>
      </c>
      <c r="D125">
        <v>1</v>
      </c>
      <c r="F125">
        <v>0</v>
      </c>
      <c r="G125">
        <v>0</v>
      </c>
      <c r="H125">
        <v>0</v>
      </c>
      <c r="I125">
        <v>1</v>
      </c>
      <c r="J125">
        <v>1523</v>
      </c>
      <c r="K125">
        <v>0</v>
      </c>
      <c r="M125">
        <v>0</v>
      </c>
      <c r="N125">
        <v>0</v>
      </c>
      <c r="O125">
        <v>0</v>
      </c>
      <c r="P125">
        <v>0</v>
      </c>
      <c r="Q125">
        <v>0</v>
      </c>
      <c r="T125" t="s">
        <v>64</v>
      </c>
      <c r="U125" t="s">
        <v>65</v>
      </c>
      <c r="V125">
        <v>36</v>
      </c>
      <c r="W125" t="s">
        <v>79</v>
      </c>
      <c r="X125" t="s">
        <v>73</v>
      </c>
      <c r="Y125">
        <v>0</v>
      </c>
      <c r="AD125" t="s">
        <v>57</v>
      </c>
      <c r="AE125">
        <v>1</v>
      </c>
      <c r="AF125">
        <v>4</v>
      </c>
      <c r="AG125">
        <v>1</v>
      </c>
      <c r="AH125">
        <v>1.5</v>
      </c>
      <c r="AI125">
        <v>320</v>
      </c>
      <c r="AJ125">
        <v>320</v>
      </c>
      <c r="AK125">
        <v>160</v>
      </c>
      <c r="AL125" t="s">
        <v>484</v>
      </c>
      <c r="AM125">
        <v>1.1000000238419001</v>
      </c>
      <c r="AN125" t="s">
        <v>51</v>
      </c>
      <c r="AO125" t="s">
        <v>59</v>
      </c>
      <c r="AP125" t="s">
        <v>60</v>
      </c>
      <c r="AQ125">
        <v>15</v>
      </c>
      <c r="AR125">
        <v>48</v>
      </c>
      <c r="AS125">
        <v>128</v>
      </c>
      <c r="AT125">
        <v>1.51</v>
      </c>
      <c r="AU125">
        <v>4.26</v>
      </c>
      <c r="AV125" t="s">
        <v>485</v>
      </c>
      <c r="AX125" t="s">
        <v>486</v>
      </c>
    </row>
    <row r="126" spans="1:50" x14ac:dyDescent="0.25">
      <c r="A126" t="s">
        <v>487</v>
      </c>
      <c r="B126" t="s">
        <v>51</v>
      </c>
      <c r="C126">
        <v>0</v>
      </c>
      <c r="D126">
        <v>0</v>
      </c>
      <c r="F126">
        <v>0</v>
      </c>
      <c r="G126">
        <v>1</v>
      </c>
      <c r="H126">
        <v>0</v>
      </c>
      <c r="I126">
        <v>1</v>
      </c>
      <c r="J126">
        <v>461</v>
      </c>
      <c r="K126">
        <v>0</v>
      </c>
      <c r="M126">
        <v>0</v>
      </c>
      <c r="N126">
        <v>1</v>
      </c>
      <c r="O126">
        <v>1</v>
      </c>
      <c r="P126">
        <v>1</v>
      </c>
      <c r="Q126">
        <v>1</v>
      </c>
      <c r="T126" t="s">
        <v>52</v>
      </c>
      <c r="U126" t="s">
        <v>72</v>
      </c>
      <c r="V126">
        <v>39</v>
      </c>
      <c r="W126" t="s">
        <v>54</v>
      </c>
      <c r="X126" t="s">
        <v>55</v>
      </c>
      <c r="Y126">
        <v>0</v>
      </c>
      <c r="Z126">
        <v>63.956532305700001</v>
      </c>
      <c r="AA126">
        <v>1.7018034058333</v>
      </c>
      <c r="AB126" t="s">
        <v>74</v>
      </c>
      <c r="AD126" t="s">
        <v>57</v>
      </c>
      <c r="AE126">
        <v>1</v>
      </c>
      <c r="AF126">
        <v>4</v>
      </c>
      <c r="AG126">
        <v>1</v>
      </c>
      <c r="AH126">
        <v>3</v>
      </c>
      <c r="AI126">
        <v>448</v>
      </c>
      <c r="AJ126">
        <v>448</v>
      </c>
      <c r="AK126">
        <v>208</v>
      </c>
      <c r="AL126" t="s">
        <v>75</v>
      </c>
      <c r="AM126">
        <v>1</v>
      </c>
      <c r="AN126" t="s">
        <v>51</v>
      </c>
      <c r="AO126" t="s">
        <v>59</v>
      </c>
      <c r="AP126" t="s">
        <v>107</v>
      </c>
      <c r="AQ126">
        <v>11</v>
      </c>
      <c r="AR126">
        <v>47</v>
      </c>
      <c r="AS126">
        <v>128</v>
      </c>
      <c r="AT126">
        <v>1.44</v>
      </c>
      <c r="AU126">
        <v>3.77</v>
      </c>
      <c r="AV126" t="s">
        <v>488</v>
      </c>
      <c r="AX126" t="s">
        <v>489</v>
      </c>
    </row>
    <row r="127" spans="1:50" x14ac:dyDescent="0.25">
      <c r="A127" t="s">
        <v>490</v>
      </c>
      <c r="B127" t="s">
        <v>51</v>
      </c>
      <c r="C127">
        <v>0</v>
      </c>
      <c r="D127">
        <v>1</v>
      </c>
      <c r="F127">
        <v>0</v>
      </c>
      <c r="G127">
        <v>0</v>
      </c>
      <c r="H127">
        <v>1</v>
      </c>
      <c r="I127">
        <v>0</v>
      </c>
      <c r="J127">
        <v>1162</v>
      </c>
      <c r="K127">
        <v>0</v>
      </c>
      <c r="M127">
        <v>0</v>
      </c>
      <c r="N127">
        <v>0</v>
      </c>
      <c r="O127">
        <v>0</v>
      </c>
      <c r="P127">
        <v>0</v>
      </c>
      <c r="Q127">
        <v>0</v>
      </c>
      <c r="T127" t="s">
        <v>64</v>
      </c>
      <c r="U127" t="s">
        <v>65</v>
      </c>
      <c r="V127">
        <v>46</v>
      </c>
      <c r="W127" t="s">
        <v>54</v>
      </c>
      <c r="X127" t="s">
        <v>55</v>
      </c>
      <c r="Y127">
        <v>0</v>
      </c>
      <c r="AD127" t="s">
        <v>57</v>
      </c>
      <c r="AE127">
        <v>1</v>
      </c>
      <c r="AF127">
        <v>4</v>
      </c>
      <c r="AG127">
        <v>1</v>
      </c>
      <c r="AH127">
        <v>1.5</v>
      </c>
      <c r="AI127">
        <v>512</v>
      </c>
      <c r="AJ127">
        <v>512</v>
      </c>
      <c r="AK127">
        <v>176</v>
      </c>
      <c r="AL127" t="s">
        <v>119</v>
      </c>
      <c r="AM127">
        <v>1</v>
      </c>
      <c r="AN127" t="s">
        <v>51</v>
      </c>
      <c r="AO127" t="s">
        <v>67</v>
      </c>
      <c r="AP127" t="s">
        <v>89</v>
      </c>
      <c r="AQ127">
        <v>15</v>
      </c>
      <c r="AR127">
        <v>446</v>
      </c>
      <c r="AS127">
        <v>892</v>
      </c>
      <c r="AT127">
        <v>2.476</v>
      </c>
      <c r="AU127">
        <v>5.34</v>
      </c>
      <c r="AV127" t="s">
        <v>491</v>
      </c>
      <c r="AX127" t="s">
        <v>492</v>
      </c>
    </row>
    <row r="128" spans="1:50" x14ac:dyDescent="0.25">
      <c r="A128" t="s">
        <v>493</v>
      </c>
      <c r="B128" t="s">
        <v>51</v>
      </c>
      <c r="C128">
        <v>0</v>
      </c>
      <c r="D128">
        <v>0</v>
      </c>
      <c r="F128">
        <v>0</v>
      </c>
      <c r="G128">
        <v>0</v>
      </c>
      <c r="H128">
        <v>0</v>
      </c>
      <c r="I128">
        <v>0</v>
      </c>
      <c r="J128">
        <v>1588</v>
      </c>
      <c r="K128">
        <v>1246</v>
      </c>
      <c r="M128">
        <v>0</v>
      </c>
      <c r="N128">
        <v>1</v>
      </c>
      <c r="O128">
        <v>1</v>
      </c>
      <c r="P128">
        <v>0</v>
      </c>
      <c r="Q128">
        <v>0</v>
      </c>
      <c r="U128" t="s">
        <v>93</v>
      </c>
      <c r="V128">
        <v>72</v>
      </c>
      <c r="W128" t="s">
        <v>79</v>
      </c>
      <c r="X128" t="s">
        <v>80</v>
      </c>
      <c r="Y128">
        <v>0</v>
      </c>
      <c r="Z128">
        <v>52.616999999999997</v>
      </c>
      <c r="AB128" t="s">
        <v>74</v>
      </c>
      <c r="AC128" t="s">
        <v>102</v>
      </c>
      <c r="AD128" t="s">
        <v>57</v>
      </c>
      <c r="AE128">
        <v>1</v>
      </c>
      <c r="AF128">
        <v>5</v>
      </c>
      <c r="AG128">
        <v>1</v>
      </c>
      <c r="AH128">
        <v>3</v>
      </c>
      <c r="AI128">
        <v>512</v>
      </c>
      <c r="AJ128">
        <v>512</v>
      </c>
      <c r="AK128">
        <v>156</v>
      </c>
      <c r="AL128" t="s">
        <v>113</v>
      </c>
      <c r="AM128">
        <v>1</v>
      </c>
      <c r="AN128" t="s">
        <v>51</v>
      </c>
      <c r="AO128" t="s">
        <v>67</v>
      </c>
      <c r="AP128" t="s">
        <v>114</v>
      </c>
      <c r="AQ128">
        <v>15</v>
      </c>
      <c r="AR128">
        <v>612</v>
      </c>
      <c r="AS128">
        <v>1225</v>
      </c>
      <c r="AT128">
        <v>2.48</v>
      </c>
      <c r="AU128">
        <v>6.1970000000000001</v>
      </c>
      <c r="AV128" t="s">
        <v>494</v>
      </c>
      <c r="AX128" t="s">
        <v>495</v>
      </c>
    </row>
    <row r="129" spans="1:50" x14ac:dyDescent="0.25">
      <c r="A129" t="s">
        <v>496</v>
      </c>
      <c r="B129" t="s">
        <v>51</v>
      </c>
      <c r="C129">
        <v>0</v>
      </c>
      <c r="D129">
        <v>0</v>
      </c>
      <c r="F129">
        <v>0</v>
      </c>
      <c r="G129">
        <v>0</v>
      </c>
      <c r="H129">
        <v>0</v>
      </c>
      <c r="I129">
        <v>1</v>
      </c>
      <c r="J129">
        <v>279</v>
      </c>
      <c r="K129">
        <v>322</v>
      </c>
      <c r="M129">
        <v>524</v>
      </c>
      <c r="N129">
        <v>0</v>
      </c>
      <c r="O129">
        <v>0</v>
      </c>
      <c r="P129">
        <v>0</v>
      </c>
      <c r="Q129">
        <v>0</v>
      </c>
      <c r="T129" t="s">
        <v>64</v>
      </c>
      <c r="U129" t="s">
        <v>65</v>
      </c>
      <c r="V129">
        <v>43</v>
      </c>
      <c r="W129" t="s">
        <v>54</v>
      </c>
      <c r="X129" t="s">
        <v>80</v>
      </c>
      <c r="Y129">
        <v>0</v>
      </c>
      <c r="AD129" t="s">
        <v>57</v>
      </c>
      <c r="AE129">
        <v>1</v>
      </c>
      <c r="AF129">
        <v>5</v>
      </c>
      <c r="AG129">
        <v>1</v>
      </c>
      <c r="AH129">
        <v>3</v>
      </c>
      <c r="AI129">
        <v>512</v>
      </c>
      <c r="AJ129">
        <v>512</v>
      </c>
      <c r="AK129">
        <v>146</v>
      </c>
      <c r="AL129" t="s">
        <v>497</v>
      </c>
      <c r="AM129">
        <v>1</v>
      </c>
      <c r="AN129" t="s">
        <v>51</v>
      </c>
      <c r="AO129" t="s">
        <v>67</v>
      </c>
      <c r="AP129" t="s">
        <v>114</v>
      </c>
      <c r="AQ129">
        <v>15</v>
      </c>
      <c r="AR129">
        <v>744</v>
      </c>
      <c r="AS129">
        <v>1488</v>
      </c>
      <c r="AT129">
        <v>2.532</v>
      </c>
      <c r="AU129">
        <v>6.7249999999999996</v>
      </c>
      <c r="AV129" t="s">
        <v>498</v>
      </c>
      <c r="AX129" t="s">
        <v>499</v>
      </c>
    </row>
    <row r="130" spans="1:50" x14ac:dyDescent="0.25">
      <c r="A130" t="s">
        <v>500</v>
      </c>
      <c r="B130" t="s">
        <v>51</v>
      </c>
      <c r="C130">
        <v>0</v>
      </c>
      <c r="D130">
        <v>1</v>
      </c>
      <c r="F130">
        <v>0</v>
      </c>
      <c r="G130">
        <v>0</v>
      </c>
      <c r="H130">
        <v>0</v>
      </c>
      <c r="I130">
        <v>1</v>
      </c>
      <c r="J130">
        <v>538</v>
      </c>
      <c r="K130">
        <v>599</v>
      </c>
      <c r="M130">
        <v>0</v>
      </c>
      <c r="N130">
        <v>1</v>
      </c>
      <c r="O130">
        <v>1</v>
      </c>
      <c r="P130">
        <v>1</v>
      </c>
      <c r="Q130">
        <v>0</v>
      </c>
      <c r="T130" t="s">
        <v>64</v>
      </c>
      <c r="U130" t="s">
        <v>93</v>
      </c>
      <c r="V130">
        <v>40</v>
      </c>
      <c r="W130" t="s">
        <v>54</v>
      </c>
      <c r="X130" t="s">
        <v>80</v>
      </c>
      <c r="Y130">
        <v>0</v>
      </c>
      <c r="Z130">
        <v>136.07772831</v>
      </c>
      <c r="AA130">
        <v>1.7780035583333</v>
      </c>
      <c r="AB130" t="s">
        <v>269</v>
      </c>
      <c r="AD130" t="s">
        <v>57</v>
      </c>
      <c r="AE130">
        <v>1</v>
      </c>
      <c r="AF130">
        <v>4</v>
      </c>
      <c r="AG130">
        <v>1</v>
      </c>
      <c r="AH130">
        <v>3</v>
      </c>
      <c r="AI130">
        <v>448</v>
      </c>
      <c r="AJ130">
        <v>448</v>
      </c>
      <c r="AK130">
        <v>240</v>
      </c>
      <c r="AL130" t="s">
        <v>501</v>
      </c>
      <c r="AM130">
        <v>1.1000000238419001</v>
      </c>
      <c r="AN130" t="s">
        <v>51</v>
      </c>
      <c r="AO130" t="s">
        <v>59</v>
      </c>
      <c r="AP130" t="s">
        <v>107</v>
      </c>
      <c r="AQ130">
        <v>11</v>
      </c>
      <c r="AR130">
        <v>67</v>
      </c>
      <c r="AS130">
        <v>181</v>
      </c>
      <c r="AT130">
        <v>1.44</v>
      </c>
      <c r="AU130">
        <v>3.77</v>
      </c>
      <c r="AV130" t="s">
        <v>502</v>
      </c>
      <c r="AX130" t="s">
        <v>503</v>
      </c>
    </row>
    <row r="131" spans="1:50" x14ac:dyDescent="0.25">
      <c r="A131" t="s">
        <v>504</v>
      </c>
      <c r="B131" t="s">
        <v>51</v>
      </c>
      <c r="C131">
        <v>0</v>
      </c>
      <c r="D131">
        <v>1</v>
      </c>
      <c r="F131">
        <v>0</v>
      </c>
      <c r="G131">
        <v>0</v>
      </c>
      <c r="H131">
        <v>0</v>
      </c>
      <c r="I131">
        <v>1</v>
      </c>
      <c r="J131">
        <v>2815</v>
      </c>
      <c r="K131">
        <v>0</v>
      </c>
      <c r="M131">
        <v>0</v>
      </c>
      <c r="N131">
        <v>0</v>
      </c>
      <c r="O131">
        <v>0</v>
      </c>
      <c r="P131">
        <v>0</v>
      </c>
      <c r="Q131">
        <v>1</v>
      </c>
      <c r="T131" t="s">
        <v>52</v>
      </c>
      <c r="U131" t="s">
        <v>53</v>
      </c>
      <c r="V131">
        <v>51</v>
      </c>
      <c r="W131" t="s">
        <v>79</v>
      </c>
      <c r="X131" t="s">
        <v>55</v>
      </c>
      <c r="Y131">
        <v>0</v>
      </c>
      <c r="Z131">
        <v>84.368191552200003</v>
      </c>
      <c r="AB131" t="s">
        <v>118</v>
      </c>
      <c r="AD131" t="s">
        <v>57</v>
      </c>
      <c r="AE131">
        <v>1</v>
      </c>
      <c r="AF131">
        <v>5</v>
      </c>
      <c r="AG131">
        <v>1</v>
      </c>
      <c r="AH131">
        <v>1.5</v>
      </c>
      <c r="AI131">
        <v>448</v>
      </c>
      <c r="AJ131">
        <v>448</v>
      </c>
      <c r="AK131">
        <v>160</v>
      </c>
      <c r="AL131" t="s">
        <v>58</v>
      </c>
      <c r="AM131">
        <v>1.1000000238419001</v>
      </c>
      <c r="AN131" t="s">
        <v>51</v>
      </c>
      <c r="AO131" t="s">
        <v>59</v>
      </c>
      <c r="AP131" t="s">
        <v>60</v>
      </c>
      <c r="AQ131">
        <v>11</v>
      </c>
      <c r="AR131">
        <v>48</v>
      </c>
      <c r="AS131">
        <v>132</v>
      </c>
      <c r="AT131">
        <v>1.36</v>
      </c>
      <c r="AU131">
        <v>4.12</v>
      </c>
      <c r="AV131" t="s">
        <v>505</v>
      </c>
      <c r="AX131" t="s">
        <v>506</v>
      </c>
    </row>
    <row r="132" spans="1:50" x14ac:dyDescent="0.25">
      <c r="A132" t="s">
        <v>507</v>
      </c>
      <c r="B132" t="s">
        <v>51</v>
      </c>
      <c r="C132">
        <v>0</v>
      </c>
      <c r="D132">
        <v>1</v>
      </c>
      <c r="F132">
        <v>0</v>
      </c>
      <c r="G132">
        <v>0</v>
      </c>
      <c r="H132">
        <v>0</v>
      </c>
      <c r="I132">
        <v>1</v>
      </c>
      <c r="J132">
        <v>3014</v>
      </c>
      <c r="K132">
        <v>0</v>
      </c>
      <c r="M132">
        <v>0</v>
      </c>
      <c r="N132">
        <v>1</v>
      </c>
      <c r="O132">
        <v>1</v>
      </c>
      <c r="P132">
        <v>1</v>
      </c>
      <c r="Q132">
        <v>0</v>
      </c>
      <c r="T132" t="s">
        <v>52</v>
      </c>
      <c r="U132" t="s">
        <v>93</v>
      </c>
      <c r="V132">
        <v>39</v>
      </c>
      <c r="W132" t="s">
        <v>54</v>
      </c>
      <c r="X132" t="s">
        <v>80</v>
      </c>
      <c r="Y132">
        <v>0</v>
      </c>
      <c r="Z132">
        <v>71.668000000000006</v>
      </c>
      <c r="AB132" t="s">
        <v>94</v>
      </c>
      <c r="AD132" t="s">
        <v>57</v>
      </c>
      <c r="AE132">
        <v>1</v>
      </c>
      <c r="AF132">
        <v>5</v>
      </c>
      <c r="AG132">
        <v>1</v>
      </c>
      <c r="AH132">
        <v>3</v>
      </c>
      <c r="AI132">
        <v>512</v>
      </c>
      <c r="AJ132">
        <v>512</v>
      </c>
      <c r="AK132">
        <v>156</v>
      </c>
      <c r="AL132" t="s">
        <v>113</v>
      </c>
      <c r="AM132">
        <v>1.2</v>
      </c>
      <c r="AN132" t="s">
        <v>51</v>
      </c>
      <c r="AO132" t="s">
        <v>67</v>
      </c>
      <c r="AP132" t="s">
        <v>114</v>
      </c>
      <c r="AQ132">
        <v>15</v>
      </c>
      <c r="AR132">
        <v>1736</v>
      </c>
      <c r="AS132">
        <v>3473</v>
      </c>
      <c r="AT132">
        <v>2.488</v>
      </c>
      <c r="AU132">
        <v>6.1840000000000002</v>
      </c>
      <c r="AV132" t="s">
        <v>508</v>
      </c>
      <c r="AX132" t="s">
        <v>509</v>
      </c>
    </row>
    <row r="133" spans="1:50" x14ac:dyDescent="0.25">
      <c r="A133" t="s">
        <v>510</v>
      </c>
      <c r="B133" t="s">
        <v>51</v>
      </c>
      <c r="C133">
        <v>0</v>
      </c>
      <c r="D133">
        <v>0</v>
      </c>
      <c r="F133">
        <v>0</v>
      </c>
      <c r="G133">
        <v>1</v>
      </c>
      <c r="H133">
        <v>0</v>
      </c>
      <c r="I133">
        <v>0</v>
      </c>
      <c r="J133">
        <v>1960</v>
      </c>
      <c r="K133">
        <v>0</v>
      </c>
      <c r="M133">
        <v>0</v>
      </c>
      <c r="N133">
        <v>0</v>
      </c>
      <c r="O133">
        <v>0</v>
      </c>
      <c r="P133">
        <v>0</v>
      </c>
      <c r="Q133">
        <v>1</v>
      </c>
      <c r="T133" t="s">
        <v>52</v>
      </c>
      <c r="U133" t="s">
        <v>53</v>
      </c>
      <c r="V133">
        <v>48</v>
      </c>
      <c r="W133" t="s">
        <v>54</v>
      </c>
      <c r="X133" t="s">
        <v>55</v>
      </c>
      <c r="Y133">
        <v>0</v>
      </c>
      <c r="Z133">
        <v>63.503</v>
      </c>
      <c r="AB133" t="s">
        <v>74</v>
      </c>
      <c r="AD133" t="s">
        <v>57</v>
      </c>
      <c r="AE133">
        <v>1</v>
      </c>
      <c r="AF133">
        <v>4</v>
      </c>
      <c r="AG133">
        <v>1</v>
      </c>
      <c r="AH133">
        <v>3</v>
      </c>
      <c r="AI133">
        <v>512</v>
      </c>
      <c r="AJ133">
        <v>512</v>
      </c>
      <c r="AK133">
        <v>182</v>
      </c>
      <c r="AL133" t="s">
        <v>81</v>
      </c>
      <c r="AM133">
        <v>1</v>
      </c>
      <c r="AN133" t="s">
        <v>51</v>
      </c>
      <c r="AO133" t="s">
        <v>67</v>
      </c>
      <c r="AP133" t="s">
        <v>68</v>
      </c>
      <c r="AQ133">
        <v>15</v>
      </c>
      <c r="AR133">
        <v>515</v>
      </c>
      <c r="AS133">
        <v>1030</v>
      </c>
      <c r="AT133">
        <v>2.42</v>
      </c>
      <c r="AU133">
        <v>5.665</v>
      </c>
      <c r="AV133" t="s">
        <v>511</v>
      </c>
      <c r="AX133" t="s">
        <v>512</v>
      </c>
    </row>
    <row r="134" spans="1:50" x14ac:dyDescent="0.25">
      <c r="A134" t="s">
        <v>513</v>
      </c>
      <c r="B134" t="s">
        <v>51</v>
      </c>
      <c r="C134">
        <v>0</v>
      </c>
      <c r="D134">
        <v>1</v>
      </c>
      <c r="F134">
        <v>0</v>
      </c>
      <c r="G134">
        <v>1</v>
      </c>
      <c r="H134">
        <v>0</v>
      </c>
      <c r="I134">
        <v>1</v>
      </c>
      <c r="J134">
        <v>2207</v>
      </c>
      <c r="K134">
        <v>0</v>
      </c>
      <c r="M134">
        <v>0</v>
      </c>
      <c r="N134">
        <v>1</v>
      </c>
      <c r="O134">
        <v>1</v>
      </c>
      <c r="P134">
        <v>1</v>
      </c>
      <c r="Q134">
        <v>1</v>
      </c>
      <c r="T134" t="s">
        <v>52</v>
      </c>
      <c r="U134" t="s">
        <v>72</v>
      </c>
      <c r="V134">
        <v>50</v>
      </c>
      <c r="W134" t="s">
        <v>79</v>
      </c>
      <c r="X134" t="s">
        <v>80</v>
      </c>
      <c r="Y134">
        <v>0</v>
      </c>
      <c r="Z134">
        <v>63.503</v>
      </c>
      <c r="AB134" t="s">
        <v>74</v>
      </c>
      <c r="AD134" t="s">
        <v>57</v>
      </c>
      <c r="AE134">
        <v>1</v>
      </c>
      <c r="AF134">
        <v>4</v>
      </c>
      <c r="AG134">
        <v>1</v>
      </c>
      <c r="AH134">
        <v>1.5</v>
      </c>
      <c r="AI134">
        <v>512</v>
      </c>
      <c r="AJ134">
        <v>512</v>
      </c>
      <c r="AK134">
        <v>180</v>
      </c>
      <c r="AL134" t="s">
        <v>81</v>
      </c>
      <c r="AM134">
        <v>1</v>
      </c>
      <c r="AN134" t="s">
        <v>51</v>
      </c>
      <c r="AO134" t="s">
        <v>67</v>
      </c>
      <c r="AP134" t="s">
        <v>68</v>
      </c>
      <c r="AQ134">
        <v>15</v>
      </c>
      <c r="AR134">
        <v>354</v>
      </c>
      <c r="AS134">
        <v>709</v>
      </c>
      <c r="AT134">
        <v>2.3119999999999998</v>
      </c>
      <c r="AU134">
        <v>4.9240000000000004</v>
      </c>
      <c r="AV134" t="s">
        <v>514</v>
      </c>
      <c r="AX134" t="s">
        <v>515</v>
      </c>
    </row>
    <row r="135" spans="1:50" x14ac:dyDescent="0.25">
      <c r="A135" t="s">
        <v>516</v>
      </c>
      <c r="B135" t="s">
        <v>51</v>
      </c>
      <c r="C135">
        <v>0</v>
      </c>
      <c r="D135">
        <v>0</v>
      </c>
      <c r="F135">
        <v>0</v>
      </c>
      <c r="G135">
        <v>0</v>
      </c>
      <c r="H135">
        <v>1</v>
      </c>
      <c r="I135">
        <v>1</v>
      </c>
      <c r="J135">
        <v>1174</v>
      </c>
      <c r="K135">
        <v>0</v>
      </c>
      <c r="M135">
        <v>0</v>
      </c>
      <c r="N135">
        <v>0</v>
      </c>
      <c r="O135">
        <v>0</v>
      </c>
      <c r="P135">
        <v>0</v>
      </c>
      <c r="Q135">
        <v>0</v>
      </c>
      <c r="T135" t="s">
        <v>64</v>
      </c>
      <c r="U135" t="s">
        <v>65</v>
      </c>
      <c r="V135">
        <v>26</v>
      </c>
      <c r="W135" t="s">
        <v>54</v>
      </c>
      <c r="X135" t="s">
        <v>80</v>
      </c>
      <c r="Y135">
        <v>0</v>
      </c>
      <c r="AD135" t="s">
        <v>57</v>
      </c>
      <c r="AE135">
        <v>1</v>
      </c>
      <c r="AF135">
        <v>4</v>
      </c>
      <c r="AG135">
        <v>1</v>
      </c>
      <c r="AH135">
        <v>1.5</v>
      </c>
      <c r="AI135">
        <v>448</v>
      </c>
      <c r="AJ135">
        <v>448</v>
      </c>
      <c r="AK135">
        <v>144</v>
      </c>
      <c r="AL135" t="s">
        <v>276</v>
      </c>
      <c r="AM135">
        <v>1</v>
      </c>
      <c r="AN135" t="s">
        <v>51</v>
      </c>
      <c r="AO135" t="s">
        <v>59</v>
      </c>
      <c r="AP135" t="s">
        <v>60</v>
      </c>
      <c r="AQ135">
        <v>15</v>
      </c>
      <c r="AR135">
        <v>84</v>
      </c>
      <c r="AS135">
        <v>210</v>
      </c>
      <c r="AT135">
        <v>1.43</v>
      </c>
      <c r="AU135">
        <v>4.4400000000000004</v>
      </c>
      <c r="AV135" t="s">
        <v>517</v>
      </c>
      <c r="AX135" t="s">
        <v>518</v>
      </c>
    </row>
    <row r="136" spans="1:50" x14ac:dyDescent="0.25">
      <c r="A136" t="s">
        <v>519</v>
      </c>
      <c r="B136" t="s">
        <v>51</v>
      </c>
      <c r="C136">
        <v>0</v>
      </c>
      <c r="D136">
        <v>1</v>
      </c>
      <c r="F136">
        <v>0</v>
      </c>
      <c r="G136">
        <v>0</v>
      </c>
      <c r="H136">
        <v>0</v>
      </c>
      <c r="I136">
        <v>0</v>
      </c>
      <c r="K136">
        <v>785</v>
      </c>
      <c r="M136">
        <v>1167</v>
      </c>
      <c r="N136">
        <v>1</v>
      </c>
      <c r="O136">
        <v>1</v>
      </c>
      <c r="P136">
        <v>0</v>
      </c>
      <c r="Q136">
        <v>0</v>
      </c>
      <c r="U136" t="s">
        <v>93</v>
      </c>
      <c r="V136">
        <v>54</v>
      </c>
      <c r="W136" t="s">
        <v>79</v>
      </c>
      <c r="X136" t="s">
        <v>73</v>
      </c>
      <c r="Y136">
        <v>0</v>
      </c>
      <c r="Z136">
        <v>65.771000000000001</v>
      </c>
      <c r="AB136" t="s">
        <v>74</v>
      </c>
      <c r="AC136" t="s">
        <v>102</v>
      </c>
      <c r="AD136" t="s">
        <v>57</v>
      </c>
      <c r="AE136">
        <v>1</v>
      </c>
      <c r="AF136">
        <v>5</v>
      </c>
      <c r="AG136">
        <v>1</v>
      </c>
      <c r="AH136">
        <v>3</v>
      </c>
      <c r="AI136">
        <v>512</v>
      </c>
      <c r="AJ136">
        <v>512</v>
      </c>
      <c r="AK136">
        <v>152</v>
      </c>
      <c r="AL136" t="s">
        <v>128</v>
      </c>
      <c r="AM136">
        <v>1</v>
      </c>
      <c r="AN136" t="s">
        <v>51</v>
      </c>
      <c r="AO136" t="s">
        <v>67</v>
      </c>
      <c r="AP136" t="s">
        <v>114</v>
      </c>
      <c r="AQ136">
        <v>15</v>
      </c>
      <c r="AR136">
        <v>585</v>
      </c>
      <c r="AS136">
        <v>1170</v>
      </c>
      <c r="AT136">
        <v>2.4</v>
      </c>
      <c r="AU136">
        <v>5.5119999999999996</v>
      </c>
      <c r="AV136" t="s">
        <v>520</v>
      </c>
      <c r="AX136" t="s">
        <v>521</v>
      </c>
    </row>
    <row r="137" spans="1:50" x14ac:dyDescent="0.25">
      <c r="A137" t="s">
        <v>522</v>
      </c>
      <c r="B137" t="s">
        <v>51</v>
      </c>
      <c r="C137">
        <v>0</v>
      </c>
      <c r="D137">
        <v>0</v>
      </c>
      <c r="F137">
        <v>0</v>
      </c>
      <c r="G137">
        <v>0</v>
      </c>
      <c r="H137">
        <v>0</v>
      </c>
      <c r="I137">
        <v>0</v>
      </c>
      <c r="J137">
        <v>2036</v>
      </c>
      <c r="K137">
        <v>0</v>
      </c>
      <c r="M137">
        <v>0</v>
      </c>
      <c r="N137">
        <v>0</v>
      </c>
      <c r="O137">
        <v>0</v>
      </c>
      <c r="P137">
        <v>0</v>
      </c>
      <c r="Q137">
        <v>1</v>
      </c>
      <c r="U137" t="s">
        <v>53</v>
      </c>
      <c r="V137">
        <v>43</v>
      </c>
      <c r="W137" t="s">
        <v>79</v>
      </c>
      <c r="X137" t="s">
        <v>55</v>
      </c>
      <c r="Y137">
        <v>0</v>
      </c>
      <c r="Z137">
        <v>99.79</v>
      </c>
      <c r="AB137" t="s">
        <v>56</v>
      </c>
      <c r="AC137" t="s">
        <v>102</v>
      </c>
      <c r="AD137" t="s">
        <v>57</v>
      </c>
      <c r="AE137">
        <v>1</v>
      </c>
      <c r="AF137">
        <v>5</v>
      </c>
      <c r="AG137">
        <v>1</v>
      </c>
      <c r="AH137">
        <v>3</v>
      </c>
      <c r="AI137">
        <v>512</v>
      </c>
      <c r="AJ137">
        <v>512</v>
      </c>
      <c r="AK137">
        <v>158</v>
      </c>
      <c r="AL137" t="s">
        <v>128</v>
      </c>
      <c r="AM137">
        <v>1</v>
      </c>
      <c r="AN137" t="s">
        <v>51</v>
      </c>
      <c r="AO137" t="s">
        <v>67</v>
      </c>
      <c r="AP137" t="s">
        <v>114</v>
      </c>
      <c r="AQ137">
        <v>15</v>
      </c>
      <c r="AR137">
        <v>1283</v>
      </c>
      <c r="AS137">
        <v>2567</v>
      </c>
      <c r="AT137">
        <v>2.4159999999999999</v>
      </c>
      <c r="AU137">
        <v>5.5220000000000002</v>
      </c>
      <c r="AV137" t="s">
        <v>523</v>
      </c>
      <c r="AX137" t="s">
        <v>524</v>
      </c>
    </row>
    <row r="138" spans="1:50" x14ac:dyDescent="0.25">
      <c r="A138" t="s">
        <v>525</v>
      </c>
      <c r="B138" t="s">
        <v>51</v>
      </c>
      <c r="C138">
        <v>0</v>
      </c>
      <c r="D138">
        <v>1</v>
      </c>
      <c r="F138">
        <v>0</v>
      </c>
      <c r="G138">
        <v>0</v>
      </c>
      <c r="J138">
        <v>76</v>
      </c>
      <c r="K138">
        <v>554</v>
      </c>
      <c r="M138">
        <v>0</v>
      </c>
      <c r="N138">
        <v>1</v>
      </c>
      <c r="O138">
        <v>1</v>
      </c>
      <c r="P138">
        <v>1</v>
      </c>
      <c r="Q138">
        <v>0</v>
      </c>
      <c r="T138" t="s">
        <v>64</v>
      </c>
      <c r="U138" t="s">
        <v>93</v>
      </c>
      <c r="V138">
        <v>54</v>
      </c>
      <c r="W138" t="s">
        <v>79</v>
      </c>
      <c r="X138" t="s">
        <v>55</v>
      </c>
      <c r="Y138">
        <v>0</v>
      </c>
      <c r="Z138">
        <v>83.915000000000006</v>
      </c>
      <c r="AB138" t="s">
        <v>118</v>
      </c>
      <c r="AD138" t="s">
        <v>57</v>
      </c>
      <c r="AE138">
        <v>1</v>
      </c>
      <c r="AF138">
        <v>5</v>
      </c>
      <c r="AG138">
        <v>1</v>
      </c>
      <c r="AH138">
        <v>1.5</v>
      </c>
      <c r="AI138">
        <v>512</v>
      </c>
      <c r="AJ138">
        <v>512</v>
      </c>
      <c r="AK138">
        <v>192</v>
      </c>
      <c r="AL138" t="s">
        <v>128</v>
      </c>
      <c r="AM138">
        <v>2.2000000000000002</v>
      </c>
      <c r="AN138" t="s">
        <v>51</v>
      </c>
      <c r="AO138" t="s">
        <v>67</v>
      </c>
      <c r="AP138" t="s">
        <v>114</v>
      </c>
      <c r="AQ138">
        <v>15</v>
      </c>
      <c r="AR138">
        <v>122</v>
      </c>
      <c r="AS138">
        <v>244</v>
      </c>
      <c r="AT138">
        <v>2.58</v>
      </c>
      <c r="AU138">
        <v>5.4539999999999997</v>
      </c>
      <c r="AV138" t="s">
        <v>526</v>
      </c>
      <c r="AX138" t="s">
        <v>527</v>
      </c>
    </row>
    <row r="139" spans="1:50" x14ac:dyDescent="0.25">
      <c r="A139" t="s">
        <v>528</v>
      </c>
      <c r="B139" t="s">
        <v>51</v>
      </c>
      <c r="C139">
        <v>0</v>
      </c>
      <c r="D139">
        <v>0</v>
      </c>
      <c r="F139">
        <v>0</v>
      </c>
      <c r="G139">
        <v>0</v>
      </c>
      <c r="H139">
        <v>0</v>
      </c>
      <c r="I139">
        <v>0</v>
      </c>
      <c r="J139">
        <v>249</v>
      </c>
      <c r="K139">
        <v>0</v>
      </c>
      <c r="M139">
        <v>0</v>
      </c>
      <c r="N139">
        <v>1</v>
      </c>
      <c r="O139">
        <v>1</v>
      </c>
      <c r="P139">
        <v>1</v>
      </c>
      <c r="Q139">
        <v>0</v>
      </c>
      <c r="T139" t="s">
        <v>52</v>
      </c>
      <c r="U139" t="s">
        <v>93</v>
      </c>
      <c r="V139">
        <v>45</v>
      </c>
      <c r="W139" t="s">
        <v>54</v>
      </c>
      <c r="X139" t="s">
        <v>55</v>
      </c>
      <c r="Y139">
        <v>0</v>
      </c>
      <c r="Z139">
        <v>88.450999999999993</v>
      </c>
      <c r="AB139" t="s">
        <v>118</v>
      </c>
      <c r="AD139" t="s">
        <v>57</v>
      </c>
      <c r="AE139">
        <v>1</v>
      </c>
      <c r="AF139">
        <v>4</v>
      </c>
      <c r="AG139">
        <v>1</v>
      </c>
      <c r="AH139">
        <v>1.5</v>
      </c>
      <c r="AI139">
        <v>512</v>
      </c>
      <c r="AJ139">
        <v>512</v>
      </c>
      <c r="AK139">
        <v>200</v>
      </c>
      <c r="AL139" t="s">
        <v>119</v>
      </c>
      <c r="AM139">
        <v>1</v>
      </c>
      <c r="AN139" t="s">
        <v>51</v>
      </c>
      <c r="AO139" t="s">
        <v>67</v>
      </c>
      <c r="AP139" t="s">
        <v>68</v>
      </c>
      <c r="AQ139">
        <v>15</v>
      </c>
      <c r="AR139">
        <v>337</v>
      </c>
      <c r="AS139">
        <v>674</v>
      </c>
      <c r="AT139">
        <v>2.2799999999999998</v>
      </c>
      <c r="AU139">
        <v>4.88</v>
      </c>
      <c r="AV139" t="s">
        <v>529</v>
      </c>
      <c r="AX139" t="s">
        <v>530</v>
      </c>
    </row>
    <row r="140" spans="1:50" x14ac:dyDescent="0.25">
      <c r="A140" t="s">
        <v>531</v>
      </c>
      <c r="B140" t="s">
        <v>51</v>
      </c>
      <c r="C140">
        <v>0</v>
      </c>
      <c r="D140">
        <v>0</v>
      </c>
      <c r="F140">
        <v>0</v>
      </c>
      <c r="G140">
        <v>0</v>
      </c>
      <c r="H140">
        <v>1</v>
      </c>
      <c r="I140">
        <v>0</v>
      </c>
      <c r="J140">
        <v>1489</v>
      </c>
      <c r="K140">
        <v>0</v>
      </c>
      <c r="M140">
        <v>0</v>
      </c>
      <c r="N140">
        <v>1</v>
      </c>
      <c r="O140">
        <v>1</v>
      </c>
      <c r="P140">
        <v>0</v>
      </c>
      <c r="Q140">
        <v>0</v>
      </c>
      <c r="U140" t="s">
        <v>93</v>
      </c>
      <c r="V140">
        <v>34</v>
      </c>
      <c r="W140" t="s">
        <v>54</v>
      </c>
      <c r="X140" t="s">
        <v>55</v>
      </c>
      <c r="Y140">
        <v>0</v>
      </c>
      <c r="Z140">
        <v>68.039000000000001</v>
      </c>
      <c r="AB140" t="s">
        <v>74</v>
      </c>
      <c r="AC140" t="s">
        <v>112</v>
      </c>
      <c r="AD140" t="s">
        <v>57</v>
      </c>
      <c r="AE140">
        <v>1</v>
      </c>
      <c r="AF140">
        <v>5</v>
      </c>
      <c r="AG140">
        <v>1</v>
      </c>
      <c r="AH140">
        <v>1.5</v>
      </c>
      <c r="AI140">
        <v>512</v>
      </c>
      <c r="AJ140">
        <v>512</v>
      </c>
      <c r="AK140">
        <v>186</v>
      </c>
      <c r="AL140" t="s">
        <v>196</v>
      </c>
      <c r="AM140">
        <v>1</v>
      </c>
      <c r="AN140" t="s">
        <v>51</v>
      </c>
      <c r="AO140" t="s">
        <v>67</v>
      </c>
      <c r="AP140" t="s">
        <v>114</v>
      </c>
      <c r="AQ140">
        <v>15</v>
      </c>
      <c r="AR140">
        <v>520</v>
      </c>
      <c r="AS140">
        <v>1040</v>
      </c>
      <c r="AT140">
        <v>2.3519999999999999</v>
      </c>
      <c r="AU140">
        <v>4.968</v>
      </c>
      <c r="AV140" t="s">
        <v>532</v>
      </c>
      <c r="AX140" t="s">
        <v>533</v>
      </c>
    </row>
    <row r="141" spans="1:50" x14ac:dyDescent="0.25">
      <c r="A141" t="s">
        <v>534</v>
      </c>
      <c r="B141" t="s">
        <v>51</v>
      </c>
      <c r="C141">
        <v>0</v>
      </c>
      <c r="D141">
        <v>0</v>
      </c>
      <c r="F141">
        <v>0</v>
      </c>
      <c r="G141">
        <v>0</v>
      </c>
      <c r="H141">
        <v>0</v>
      </c>
      <c r="I141">
        <v>1</v>
      </c>
      <c r="J141">
        <v>1530</v>
      </c>
      <c r="K141">
        <v>0</v>
      </c>
      <c r="M141">
        <v>0</v>
      </c>
      <c r="N141">
        <v>1</v>
      </c>
      <c r="O141">
        <v>1</v>
      </c>
      <c r="P141">
        <v>1</v>
      </c>
      <c r="Q141">
        <v>0</v>
      </c>
      <c r="T141" t="s">
        <v>52</v>
      </c>
      <c r="U141" t="s">
        <v>93</v>
      </c>
      <c r="V141">
        <v>60</v>
      </c>
      <c r="W141" t="s">
        <v>79</v>
      </c>
      <c r="X141" t="s">
        <v>80</v>
      </c>
      <c r="Y141">
        <v>0</v>
      </c>
      <c r="Z141">
        <v>99.79</v>
      </c>
      <c r="AB141" t="s">
        <v>56</v>
      </c>
      <c r="AD141" t="s">
        <v>57</v>
      </c>
      <c r="AE141">
        <v>1</v>
      </c>
      <c r="AF141">
        <v>4</v>
      </c>
      <c r="AG141">
        <v>1</v>
      </c>
      <c r="AH141">
        <v>3</v>
      </c>
      <c r="AI141">
        <v>512</v>
      </c>
      <c r="AJ141">
        <v>512</v>
      </c>
      <c r="AK141">
        <v>176</v>
      </c>
      <c r="AL141" t="s">
        <v>350</v>
      </c>
      <c r="AM141">
        <v>1.2</v>
      </c>
      <c r="AN141" t="s">
        <v>51</v>
      </c>
      <c r="AO141" t="s">
        <v>67</v>
      </c>
      <c r="AP141" t="s">
        <v>68</v>
      </c>
      <c r="AQ141">
        <v>15</v>
      </c>
      <c r="AR141">
        <v>387</v>
      </c>
      <c r="AS141">
        <v>775</v>
      </c>
      <c r="AT141">
        <v>2.512</v>
      </c>
      <c r="AU141">
        <v>5.3520000000000003</v>
      </c>
      <c r="AV141" t="s">
        <v>535</v>
      </c>
      <c r="AX141" t="s">
        <v>536</v>
      </c>
    </row>
    <row r="142" spans="1:50" x14ac:dyDescent="0.25">
      <c r="A142" t="s">
        <v>537</v>
      </c>
      <c r="B142" t="s">
        <v>51</v>
      </c>
      <c r="C142">
        <v>0</v>
      </c>
      <c r="D142">
        <v>0</v>
      </c>
      <c r="F142">
        <v>0</v>
      </c>
      <c r="G142">
        <v>1</v>
      </c>
      <c r="H142">
        <v>0</v>
      </c>
      <c r="I142">
        <v>0</v>
      </c>
      <c r="J142">
        <v>1636</v>
      </c>
      <c r="K142">
        <v>0</v>
      </c>
      <c r="M142">
        <v>0</v>
      </c>
      <c r="N142">
        <v>1</v>
      </c>
      <c r="O142">
        <v>1</v>
      </c>
      <c r="P142">
        <v>0</v>
      </c>
      <c r="Q142">
        <v>1</v>
      </c>
      <c r="T142" t="s">
        <v>52</v>
      </c>
      <c r="U142" t="s">
        <v>72</v>
      </c>
      <c r="V142">
        <v>42</v>
      </c>
      <c r="W142" t="s">
        <v>54</v>
      </c>
      <c r="X142" t="s">
        <v>55</v>
      </c>
      <c r="Y142">
        <v>0</v>
      </c>
      <c r="Z142">
        <v>101.151</v>
      </c>
      <c r="AB142" t="s">
        <v>56</v>
      </c>
      <c r="AD142" t="s">
        <v>57</v>
      </c>
      <c r="AE142">
        <v>1</v>
      </c>
      <c r="AF142">
        <v>4</v>
      </c>
      <c r="AG142">
        <v>1</v>
      </c>
      <c r="AH142">
        <v>3</v>
      </c>
      <c r="AI142">
        <v>512</v>
      </c>
      <c r="AJ142">
        <v>512</v>
      </c>
      <c r="AK142">
        <v>176</v>
      </c>
      <c r="AL142" t="s">
        <v>88</v>
      </c>
      <c r="AM142">
        <v>1</v>
      </c>
      <c r="AN142" t="s">
        <v>51</v>
      </c>
      <c r="AO142" t="s">
        <v>67</v>
      </c>
      <c r="AP142" t="s">
        <v>114</v>
      </c>
      <c r="AQ142">
        <v>15</v>
      </c>
      <c r="AR142">
        <v>2965</v>
      </c>
      <c r="AS142">
        <v>5931</v>
      </c>
      <c r="AT142">
        <v>2.3639999999999999</v>
      </c>
      <c r="AU142">
        <v>5.1559999999999997</v>
      </c>
      <c r="AV142" t="s">
        <v>538</v>
      </c>
      <c r="AX142" t="s">
        <v>539</v>
      </c>
    </row>
    <row r="143" spans="1:50" x14ac:dyDescent="0.25">
      <c r="A143" t="s">
        <v>540</v>
      </c>
      <c r="B143" t="s">
        <v>51</v>
      </c>
      <c r="C143">
        <v>0</v>
      </c>
      <c r="D143">
        <v>0</v>
      </c>
      <c r="F143">
        <v>0</v>
      </c>
      <c r="G143">
        <v>1</v>
      </c>
      <c r="H143">
        <v>1</v>
      </c>
      <c r="I143">
        <v>1</v>
      </c>
      <c r="J143">
        <v>614</v>
      </c>
      <c r="K143">
        <v>0</v>
      </c>
      <c r="M143">
        <v>0</v>
      </c>
      <c r="N143">
        <v>0</v>
      </c>
      <c r="O143">
        <v>0</v>
      </c>
      <c r="P143">
        <v>0</v>
      </c>
      <c r="Q143">
        <v>0</v>
      </c>
      <c r="T143" t="s">
        <v>64</v>
      </c>
      <c r="U143" t="s">
        <v>65</v>
      </c>
      <c r="V143">
        <v>23</v>
      </c>
      <c r="W143" t="s">
        <v>54</v>
      </c>
      <c r="X143" t="s">
        <v>55</v>
      </c>
      <c r="Y143">
        <v>0</v>
      </c>
      <c r="Z143">
        <v>111.1301447865</v>
      </c>
      <c r="AA143">
        <v>1.6764033549999999</v>
      </c>
      <c r="AB143" t="s">
        <v>56</v>
      </c>
      <c r="AD143" t="s">
        <v>57</v>
      </c>
      <c r="AE143">
        <v>1</v>
      </c>
      <c r="AF143">
        <v>4</v>
      </c>
      <c r="AG143">
        <v>1</v>
      </c>
      <c r="AH143">
        <v>1.5</v>
      </c>
      <c r="AI143">
        <v>320</v>
      </c>
      <c r="AJ143">
        <v>320</v>
      </c>
      <c r="AK143">
        <v>160</v>
      </c>
      <c r="AL143" t="s">
        <v>446</v>
      </c>
      <c r="AM143">
        <v>1.2000000476837001</v>
      </c>
      <c r="AN143" t="s">
        <v>51</v>
      </c>
      <c r="AO143" t="s">
        <v>59</v>
      </c>
      <c r="AP143" t="s">
        <v>60</v>
      </c>
      <c r="AQ143">
        <v>11</v>
      </c>
      <c r="AR143">
        <v>36</v>
      </c>
      <c r="AS143">
        <v>96</v>
      </c>
      <c r="AT143">
        <v>1.47</v>
      </c>
      <c r="AU143">
        <v>4.26</v>
      </c>
      <c r="AV143" t="s">
        <v>541</v>
      </c>
      <c r="AX143" t="s">
        <v>542</v>
      </c>
    </row>
    <row r="144" spans="1:50" x14ac:dyDescent="0.25">
      <c r="A144" t="s">
        <v>543</v>
      </c>
      <c r="B144" t="s">
        <v>51</v>
      </c>
      <c r="C144">
        <v>0</v>
      </c>
      <c r="D144">
        <v>0</v>
      </c>
      <c r="F144">
        <v>0</v>
      </c>
      <c r="G144">
        <v>1</v>
      </c>
      <c r="H144">
        <v>1</v>
      </c>
      <c r="I144">
        <v>1</v>
      </c>
      <c r="J144">
        <v>1624</v>
      </c>
      <c r="K144">
        <v>0</v>
      </c>
      <c r="M144">
        <v>0</v>
      </c>
      <c r="N144">
        <v>1</v>
      </c>
      <c r="O144">
        <v>1</v>
      </c>
      <c r="P144">
        <v>0</v>
      </c>
      <c r="Q144">
        <v>1</v>
      </c>
      <c r="U144" t="s">
        <v>72</v>
      </c>
      <c r="V144">
        <v>36</v>
      </c>
      <c r="W144" t="s">
        <v>54</v>
      </c>
      <c r="X144" t="s">
        <v>80</v>
      </c>
      <c r="Y144">
        <v>0</v>
      </c>
      <c r="Z144">
        <v>99.79</v>
      </c>
      <c r="AB144" t="s">
        <v>56</v>
      </c>
      <c r="AC144" t="s">
        <v>112</v>
      </c>
      <c r="AD144" t="s">
        <v>57</v>
      </c>
      <c r="AE144">
        <v>1</v>
      </c>
      <c r="AF144">
        <v>5</v>
      </c>
      <c r="AG144">
        <v>1</v>
      </c>
      <c r="AH144">
        <v>3</v>
      </c>
      <c r="AI144">
        <v>512</v>
      </c>
      <c r="AJ144">
        <v>512</v>
      </c>
      <c r="AK144">
        <v>170</v>
      </c>
      <c r="AL144" t="s">
        <v>240</v>
      </c>
      <c r="AM144">
        <v>1</v>
      </c>
      <c r="AN144" t="s">
        <v>51</v>
      </c>
      <c r="AO144" t="s">
        <v>67</v>
      </c>
      <c r="AP144" t="s">
        <v>114</v>
      </c>
      <c r="AQ144">
        <v>15</v>
      </c>
      <c r="AR144">
        <v>1230</v>
      </c>
      <c r="AS144">
        <v>2460</v>
      </c>
      <c r="AT144">
        <v>2.38</v>
      </c>
      <c r="AU144">
        <v>5.2249999999999996</v>
      </c>
      <c r="AV144" t="s">
        <v>544</v>
      </c>
      <c r="AX144" t="s">
        <v>545</v>
      </c>
    </row>
    <row r="145" spans="1:50" x14ac:dyDescent="0.25">
      <c r="A145" t="s">
        <v>546</v>
      </c>
      <c r="B145" t="s">
        <v>51</v>
      </c>
      <c r="C145">
        <v>0</v>
      </c>
      <c r="D145">
        <v>0</v>
      </c>
      <c r="F145">
        <v>0</v>
      </c>
      <c r="G145">
        <v>0</v>
      </c>
      <c r="H145">
        <v>0</v>
      </c>
      <c r="I145">
        <v>1</v>
      </c>
      <c r="J145">
        <v>1189</v>
      </c>
      <c r="K145">
        <v>0</v>
      </c>
      <c r="M145">
        <v>0</v>
      </c>
      <c r="N145">
        <v>1</v>
      </c>
      <c r="O145">
        <v>1</v>
      </c>
      <c r="P145">
        <v>1</v>
      </c>
      <c r="Q145">
        <v>0</v>
      </c>
      <c r="T145" t="s">
        <v>64</v>
      </c>
      <c r="U145" t="s">
        <v>93</v>
      </c>
      <c r="V145">
        <v>42</v>
      </c>
      <c r="W145" t="s">
        <v>54</v>
      </c>
      <c r="X145" t="s">
        <v>80</v>
      </c>
      <c r="Y145">
        <v>0</v>
      </c>
      <c r="Z145">
        <v>48.534389763900002</v>
      </c>
      <c r="AB145" t="s">
        <v>247</v>
      </c>
      <c r="AD145" t="s">
        <v>57</v>
      </c>
      <c r="AE145">
        <v>1</v>
      </c>
      <c r="AF145">
        <v>4</v>
      </c>
      <c r="AG145">
        <v>1</v>
      </c>
      <c r="AH145">
        <v>1.5</v>
      </c>
      <c r="AI145">
        <v>448</v>
      </c>
      <c r="AJ145">
        <v>448</v>
      </c>
      <c r="AK145">
        <v>160</v>
      </c>
      <c r="AL145" t="s">
        <v>230</v>
      </c>
      <c r="AM145">
        <v>1</v>
      </c>
      <c r="AN145" t="s">
        <v>51</v>
      </c>
      <c r="AO145" t="s">
        <v>59</v>
      </c>
      <c r="AP145" t="s">
        <v>60</v>
      </c>
      <c r="AQ145">
        <v>11</v>
      </c>
      <c r="AR145">
        <v>202</v>
      </c>
      <c r="AS145">
        <v>338</v>
      </c>
      <c r="AT145">
        <v>1.39</v>
      </c>
      <c r="AU145">
        <v>4.37</v>
      </c>
      <c r="AV145" t="s">
        <v>547</v>
      </c>
      <c r="AX145" t="s">
        <v>548</v>
      </c>
    </row>
    <row r="146" spans="1:50" x14ac:dyDescent="0.25">
      <c r="A146" t="s">
        <v>549</v>
      </c>
      <c r="B146" t="s">
        <v>51</v>
      </c>
      <c r="C146">
        <v>0</v>
      </c>
      <c r="D146">
        <v>1</v>
      </c>
      <c r="F146">
        <v>0</v>
      </c>
      <c r="G146">
        <v>1</v>
      </c>
      <c r="H146">
        <v>0</v>
      </c>
      <c r="I146">
        <v>0</v>
      </c>
      <c r="J146">
        <v>1938</v>
      </c>
      <c r="K146">
        <v>0</v>
      </c>
      <c r="M146">
        <v>0</v>
      </c>
      <c r="N146">
        <v>0</v>
      </c>
      <c r="O146">
        <v>0</v>
      </c>
      <c r="P146">
        <v>0</v>
      </c>
      <c r="Q146">
        <v>1</v>
      </c>
      <c r="T146" t="s">
        <v>52</v>
      </c>
      <c r="U146" t="s">
        <v>53</v>
      </c>
      <c r="V146">
        <v>54</v>
      </c>
      <c r="W146" t="s">
        <v>79</v>
      </c>
      <c r="X146" t="s">
        <v>80</v>
      </c>
      <c r="Y146">
        <v>0</v>
      </c>
      <c r="Z146">
        <v>68.038864154999999</v>
      </c>
      <c r="AA146">
        <v>1.7018034058333</v>
      </c>
      <c r="AB146" t="s">
        <v>74</v>
      </c>
      <c r="AD146" t="s">
        <v>57</v>
      </c>
      <c r="AE146">
        <v>1</v>
      </c>
      <c r="AF146">
        <v>4</v>
      </c>
      <c r="AG146">
        <v>1</v>
      </c>
      <c r="AH146">
        <v>1.5</v>
      </c>
      <c r="AI146">
        <v>320</v>
      </c>
      <c r="AJ146">
        <v>320</v>
      </c>
      <c r="AK146">
        <v>144</v>
      </c>
      <c r="AL146" t="s">
        <v>354</v>
      </c>
      <c r="AM146">
        <v>1.0999999046325999</v>
      </c>
      <c r="AN146" t="s">
        <v>51</v>
      </c>
      <c r="AO146" t="s">
        <v>59</v>
      </c>
      <c r="AP146" t="s">
        <v>60</v>
      </c>
      <c r="AQ146">
        <v>11</v>
      </c>
      <c r="AR146">
        <v>49</v>
      </c>
      <c r="AS146">
        <v>133</v>
      </c>
      <c r="AT146">
        <v>1.5</v>
      </c>
      <c r="AU146">
        <v>4.26</v>
      </c>
      <c r="AV146" t="s">
        <v>550</v>
      </c>
      <c r="AX146" t="s">
        <v>551</v>
      </c>
    </row>
    <row r="147" spans="1:50" x14ac:dyDescent="0.25">
      <c r="A147" t="s">
        <v>552</v>
      </c>
      <c r="B147" t="s">
        <v>51</v>
      </c>
      <c r="C147">
        <v>1</v>
      </c>
      <c r="D147">
        <v>0</v>
      </c>
      <c r="F147">
        <v>0</v>
      </c>
      <c r="G147">
        <v>1</v>
      </c>
      <c r="H147">
        <v>0</v>
      </c>
      <c r="I147">
        <v>1</v>
      </c>
      <c r="J147">
        <v>2022</v>
      </c>
      <c r="K147">
        <v>2382</v>
      </c>
      <c r="M147">
        <v>0</v>
      </c>
      <c r="N147">
        <v>0</v>
      </c>
      <c r="O147">
        <v>0</v>
      </c>
      <c r="P147">
        <v>0</v>
      </c>
      <c r="Q147">
        <v>1</v>
      </c>
      <c r="T147" t="s">
        <v>289</v>
      </c>
      <c r="U147" t="s">
        <v>53</v>
      </c>
      <c r="V147">
        <v>51</v>
      </c>
      <c r="W147" t="s">
        <v>79</v>
      </c>
      <c r="X147" t="s">
        <v>321</v>
      </c>
      <c r="Y147">
        <v>0</v>
      </c>
      <c r="Z147">
        <v>134.71695102690001</v>
      </c>
      <c r="AA147">
        <v>1.7272034566667001</v>
      </c>
      <c r="AB147" t="s">
        <v>269</v>
      </c>
      <c r="AD147" t="s">
        <v>57</v>
      </c>
      <c r="AE147">
        <v>1</v>
      </c>
      <c r="AF147">
        <v>5</v>
      </c>
      <c r="AG147">
        <v>1</v>
      </c>
      <c r="AH147">
        <v>1.5</v>
      </c>
      <c r="AI147">
        <v>320</v>
      </c>
      <c r="AJ147">
        <v>320</v>
      </c>
      <c r="AK147">
        <v>160</v>
      </c>
      <c r="AL147" t="s">
        <v>293</v>
      </c>
      <c r="AM147">
        <v>1.2000000476837001</v>
      </c>
      <c r="AN147" t="s">
        <v>51</v>
      </c>
      <c r="AO147" t="s">
        <v>59</v>
      </c>
      <c r="AP147" t="s">
        <v>60</v>
      </c>
      <c r="AQ147">
        <v>11</v>
      </c>
      <c r="AR147">
        <v>40</v>
      </c>
      <c r="AS147">
        <v>107</v>
      </c>
      <c r="AT147">
        <v>1.47</v>
      </c>
      <c r="AU147">
        <v>4.26</v>
      </c>
      <c r="AV147" t="s">
        <v>553</v>
      </c>
      <c r="AX147" t="s">
        <v>554</v>
      </c>
    </row>
    <row r="148" spans="1:50" x14ac:dyDescent="0.25">
      <c r="A148" t="s">
        <v>555</v>
      </c>
      <c r="B148" t="s">
        <v>51</v>
      </c>
      <c r="C148">
        <v>0</v>
      </c>
      <c r="D148">
        <v>0</v>
      </c>
      <c r="F148">
        <v>0</v>
      </c>
      <c r="G148">
        <v>1</v>
      </c>
      <c r="H148">
        <v>0</v>
      </c>
      <c r="I148">
        <v>0</v>
      </c>
      <c r="J148">
        <v>1499</v>
      </c>
      <c r="K148">
        <v>0</v>
      </c>
      <c r="M148">
        <v>0</v>
      </c>
      <c r="N148">
        <v>1</v>
      </c>
      <c r="O148">
        <v>0</v>
      </c>
      <c r="P148">
        <v>1</v>
      </c>
      <c r="Q148">
        <v>1</v>
      </c>
      <c r="V148">
        <v>55</v>
      </c>
      <c r="W148" t="s">
        <v>79</v>
      </c>
      <c r="X148" t="s">
        <v>55</v>
      </c>
      <c r="Y148">
        <v>0</v>
      </c>
      <c r="Z148">
        <v>86.635999999999996</v>
      </c>
      <c r="AB148" t="s">
        <v>118</v>
      </c>
      <c r="AC148" t="s">
        <v>102</v>
      </c>
      <c r="AD148" t="s">
        <v>57</v>
      </c>
      <c r="AE148">
        <v>1</v>
      </c>
      <c r="AF148">
        <v>5</v>
      </c>
      <c r="AG148">
        <v>1</v>
      </c>
      <c r="AH148">
        <v>3</v>
      </c>
      <c r="AI148">
        <v>512</v>
      </c>
      <c r="AJ148">
        <v>512</v>
      </c>
      <c r="AK148">
        <v>176</v>
      </c>
      <c r="AL148" t="s">
        <v>88</v>
      </c>
      <c r="AM148">
        <v>1</v>
      </c>
      <c r="AN148" t="s">
        <v>51</v>
      </c>
      <c r="AO148" t="s">
        <v>67</v>
      </c>
      <c r="AP148" t="s">
        <v>114</v>
      </c>
      <c r="AQ148">
        <v>15</v>
      </c>
      <c r="AR148">
        <v>1241</v>
      </c>
      <c r="AS148">
        <v>2483</v>
      </c>
      <c r="AT148">
        <v>2.3559999999999999</v>
      </c>
      <c r="AU148">
        <v>5.1280000000000001</v>
      </c>
      <c r="AV148" t="s">
        <v>556</v>
      </c>
      <c r="AX148" t="s">
        <v>557</v>
      </c>
    </row>
    <row r="149" spans="1:50" x14ac:dyDescent="0.25">
      <c r="A149" t="s">
        <v>558</v>
      </c>
      <c r="B149" t="s">
        <v>51</v>
      </c>
      <c r="C149">
        <v>0</v>
      </c>
      <c r="D149">
        <v>0</v>
      </c>
      <c r="F149">
        <v>0</v>
      </c>
      <c r="G149">
        <v>0</v>
      </c>
      <c r="H149">
        <v>0</v>
      </c>
      <c r="I149">
        <v>1</v>
      </c>
      <c r="J149">
        <v>161</v>
      </c>
      <c r="K149">
        <v>287</v>
      </c>
      <c r="M149">
        <v>543</v>
      </c>
      <c r="N149">
        <v>0</v>
      </c>
      <c r="O149">
        <v>0</v>
      </c>
      <c r="P149">
        <v>0</v>
      </c>
      <c r="Q149">
        <v>0</v>
      </c>
      <c r="T149" t="s">
        <v>64</v>
      </c>
      <c r="U149" t="s">
        <v>65</v>
      </c>
      <c r="V149">
        <v>47</v>
      </c>
      <c r="W149" t="s">
        <v>79</v>
      </c>
      <c r="X149" t="s">
        <v>55</v>
      </c>
      <c r="Y149">
        <v>0</v>
      </c>
      <c r="AD149" t="s">
        <v>57</v>
      </c>
      <c r="AE149">
        <v>1</v>
      </c>
      <c r="AF149">
        <v>4</v>
      </c>
      <c r="AG149">
        <v>1</v>
      </c>
      <c r="AH149">
        <v>1.5</v>
      </c>
      <c r="AI149">
        <v>320</v>
      </c>
      <c r="AJ149">
        <v>320</v>
      </c>
      <c r="AK149">
        <v>160</v>
      </c>
      <c r="AL149" t="s">
        <v>354</v>
      </c>
      <c r="AM149">
        <v>1.1499999761580999</v>
      </c>
      <c r="AN149" t="s">
        <v>51</v>
      </c>
      <c r="AO149" t="s">
        <v>59</v>
      </c>
      <c r="AP149" t="s">
        <v>60</v>
      </c>
      <c r="AQ149">
        <v>15</v>
      </c>
      <c r="AR149">
        <v>339</v>
      </c>
      <c r="AS149">
        <v>700</v>
      </c>
      <c r="AT149">
        <v>1.49</v>
      </c>
      <c r="AU149">
        <v>4.26</v>
      </c>
      <c r="AV149" t="s">
        <v>559</v>
      </c>
      <c r="AX149" t="s">
        <v>560</v>
      </c>
    </row>
    <row r="150" spans="1:50" x14ac:dyDescent="0.25">
      <c r="A150" t="s">
        <v>561</v>
      </c>
      <c r="B150" t="s">
        <v>51</v>
      </c>
      <c r="C150">
        <v>0</v>
      </c>
      <c r="D150">
        <v>1</v>
      </c>
      <c r="F150">
        <v>0</v>
      </c>
      <c r="G150">
        <v>0</v>
      </c>
      <c r="H150">
        <v>1</v>
      </c>
      <c r="I150">
        <v>1</v>
      </c>
      <c r="J150">
        <v>472</v>
      </c>
      <c r="K150">
        <v>0</v>
      </c>
      <c r="M150">
        <v>0</v>
      </c>
      <c r="N150">
        <v>0</v>
      </c>
      <c r="O150">
        <v>0</v>
      </c>
      <c r="P150">
        <v>0</v>
      </c>
      <c r="Q150">
        <v>0</v>
      </c>
      <c r="T150" t="s">
        <v>64</v>
      </c>
      <c r="U150" t="s">
        <v>65</v>
      </c>
      <c r="V150">
        <v>51</v>
      </c>
      <c r="W150" t="s">
        <v>79</v>
      </c>
      <c r="X150" t="s">
        <v>80</v>
      </c>
      <c r="Y150">
        <v>0</v>
      </c>
      <c r="AD150" t="s">
        <v>57</v>
      </c>
      <c r="AE150">
        <v>1</v>
      </c>
      <c r="AF150">
        <v>4</v>
      </c>
      <c r="AG150">
        <v>1</v>
      </c>
      <c r="AH150">
        <v>3</v>
      </c>
      <c r="AI150">
        <v>512</v>
      </c>
      <c r="AJ150">
        <v>512</v>
      </c>
      <c r="AK150">
        <v>162</v>
      </c>
      <c r="AL150" t="s">
        <v>81</v>
      </c>
      <c r="AM150">
        <v>1.2</v>
      </c>
      <c r="AN150" t="s">
        <v>51</v>
      </c>
      <c r="AO150" t="s">
        <v>67</v>
      </c>
      <c r="AP150" t="s">
        <v>68</v>
      </c>
      <c r="AQ150">
        <v>15</v>
      </c>
      <c r="AR150">
        <v>342</v>
      </c>
      <c r="AS150">
        <v>685</v>
      </c>
      <c r="AT150">
        <v>2.6080000000000001</v>
      </c>
      <c r="AU150">
        <v>6.0460000000000003</v>
      </c>
      <c r="AV150" t="s">
        <v>562</v>
      </c>
      <c r="AX150" t="s">
        <v>563</v>
      </c>
    </row>
    <row r="151" spans="1:50" x14ac:dyDescent="0.25">
      <c r="A151" t="s">
        <v>564</v>
      </c>
      <c r="B151" t="s">
        <v>51</v>
      </c>
      <c r="C151">
        <v>0</v>
      </c>
      <c r="D151">
        <v>1</v>
      </c>
      <c r="F151">
        <v>0</v>
      </c>
      <c r="G151">
        <v>0</v>
      </c>
      <c r="H151">
        <v>0</v>
      </c>
      <c r="I151">
        <v>1</v>
      </c>
      <c r="J151">
        <v>1612</v>
      </c>
      <c r="K151">
        <v>0</v>
      </c>
      <c r="M151">
        <v>0</v>
      </c>
      <c r="N151">
        <v>1</v>
      </c>
      <c r="O151">
        <v>1</v>
      </c>
      <c r="P151">
        <v>1</v>
      </c>
      <c r="Q151">
        <v>0</v>
      </c>
      <c r="U151" t="s">
        <v>93</v>
      </c>
      <c r="V151">
        <v>37</v>
      </c>
      <c r="W151" t="s">
        <v>54</v>
      </c>
      <c r="X151" t="s">
        <v>80</v>
      </c>
      <c r="Y151">
        <v>0</v>
      </c>
      <c r="Z151">
        <v>104.32599999999999</v>
      </c>
      <c r="AB151" t="s">
        <v>56</v>
      </c>
      <c r="AC151" t="s">
        <v>112</v>
      </c>
      <c r="AD151" t="s">
        <v>57</v>
      </c>
      <c r="AE151">
        <v>1</v>
      </c>
      <c r="AF151">
        <v>5</v>
      </c>
      <c r="AG151">
        <v>1</v>
      </c>
      <c r="AH151">
        <v>3</v>
      </c>
      <c r="AI151">
        <v>512</v>
      </c>
      <c r="AJ151">
        <v>512</v>
      </c>
      <c r="AK151">
        <v>150</v>
      </c>
      <c r="AL151" t="s">
        <v>81</v>
      </c>
      <c r="AM151">
        <v>1</v>
      </c>
      <c r="AN151" t="s">
        <v>51</v>
      </c>
      <c r="AO151" t="s">
        <v>67</v>
      </c>
      <c r="AP151" t="s">
        <v>114</v>
      </c>
      <c r="AQ151">
        <v>15</v>
      </c>
      <c r="AR151">
        <v>750</v>
      </c>
      <c r="AS151">
        <v>1501</v>
      </c>
      <c r="AT151">
        <v>2.4359999999999999</v>
      </c>
      <c r="AU151">
        <v>5.6660000000000004</v>
      </c>
      <c r="AV151" t="s">
        <v>565</v>
      </c>
      <c r="AX151" t="s">
        <v>566</v>
      </c>
    </row>
    <row r="152" spans="1:50" x14ac:dyDescent="0.25">
      <c r="A152" t="s">
        <v>567</v>
      </c>
      <c r="B152" t="s">
        <v>51</v>
      </c>
      <c r="C152">
        <v>0</v>
      </c>
      <c r="D152">
        <v>1</v>
      </c>
      <c r="F152">
        <v>0</v>
      </c>
      <c r="G152">
        <v>1</v>
      </c>
      <c r="H152">
        <v>1</v>
      </c>
      <c r="I152">
        <v>1</v>
      </c>
      <c r="J152">
        <v>797</v>
      </c>
      <c r="K152">
        <v>0</v>
      </c>
      <c r="M152">
        <v>0</v>
      </c>
      <c r="N152">
        <v>0</v>
      </c>
      <c r="O152">
        <v>0</v>
      </c>
      <c r="P152">
        <v>0</v>
      </c>
      <c r="Q152">
        <v>1</v>
      </c>
      <c r="T152" t="s">
        <v>52</v>
      </c>
      <c r="U152" t="s">
        <v>53</v>
      </c>
      <c r="V152">
        <v>61</v>
      </c>
      <c r="W152" t="s">
        <v>79</v>
      </c>
      <c r="X152" t="s">
        <v>80</v>
      </c>
      <c r="Y152">
        <v>0</v>
      </c>
      <c r="Z152">
        <v>83.46</v>
      </c>
      <c r="AB152" t="s">
        <v>118</v>
      </c>
      <c r="AD152" t="s">
        <v>57</v>
      </c>
      <c r="AE152">
        <v>1</v>
      </c>
      <c r="AF152">
        <v>4</v>
      </c>
      <c r="AG152">
        <v>1</v>
      </c>
      <c r="AH152">
        <v>1.5</v>
      </c>
      <c r="AI152">
        <v>512</v>
      </c>
      <c r="AJ152">
        <v>512</v>
      </c>
      <c r="AK152">
        <v>176</v>
      </c>
      <c r="AL152" t="s">
        <v>119</v>
      </c>
      <c r="AM152">
        <v>1.2</v>
      </c>
      <c r="AN152" t="s">
        <v>51</v>
      </c>
      <c r="AO152" t="s">
        <v>67</v>
      </c>
      <c r="AP152" t="s">
        <v>89</v>
      </c>
      <c r="AQ152">
        <v>15</v>
      </c>
      <c r="AR152">
        <v>376</v>
      </c>
      <c r="AS152">
        <v>752</v>
      </c>
      <c r="AT152">
        <v>2.456</v>
      </c>
      <c r="AU152">
        <v>5.22</v>
      </c>
      <c r="AV152" t="s">
        <v>568</v>
      </c>
      <c r="AX152" t="s">
        <v>569</v>
      </c>
    </row>
    <row r="153" spans="1:50" x14ac:dyDescent="0.25">
      <c r="A153" t="s">
        <v>570</v>
      </c>
      <c r="B153" t="s">
        <v>51</v>
      </c>
      <c r="C153">
        <v>0</v>
      </c>
      <c r="D153">
        <v>0</v>
      </c>
      <c r="F153">
        <v>0</v>
      </c>
      <c r="G153">
        <v>0</v>
      </c>
      <c r="H153">
        <v>0</v>
      </c>
      <c r="I153">
        <v>0</v>
      </c>
      <c r="J153">
        <v>1154</v>
      </c>
      <c r="K153">
        <v>0</v>
      </c>
      <c r="M153">
        <v>0</v>
      </c>
      <c r="N153">
        <v>1</v>
      </c>
      <c r="O153">
        <v>1</v>
      </c>
      <c r="P153">
        <v>1</v>
      </c>
      <c r="Q153">
        <v>0</v>
      </c>
      <c r="T153" t="s">
        <v>64</v>
      </c>
      <c r="U153" t="s">
        <v>93</v>
      </c>
      <c r="V153">
        <v>58</v>
      </c>
      <c r="W153" t="s">
        <v>79</v>
      </c>
      <c r="X153" t="s">
        <v>55</v>
      </c>
      <c r="Y153">
        <v>0</v>
      </c>
      <c r="Z153">
        <v>74.389158142799999</v>
      </c>
      <c r="AA153">
        <v>1.6510033041667</v>
      </c>
      <c r="AB153" t="s">
        <v>94</v>
      </c>
      <c r="AD153" t="s">
        <v>57</v>
      </c>
      <c r="AE153">
        <v>1</v>
      </c>
      <c r="AF153">
        <v>4</v>
      </c>
      <c r="AG153">
        <v>1</v>
      </c>
      <c r="AH153">
        <v>1.5</v>
      </c>
      <c r="AI153">
        <v>448</v>
      </c>
      <c r="AJ153">
        <v>448</v>
      </c>
      <c r="AK153">
        <v>176</v>
      </c>
      <c r="AL153" t="s">
        <v>230</v>
      </c>
      <c r="AM153">
        <v>1</v>
      </c>
      <c r="AN153" t="s">
        <v>51</v>
      </c>
      <c r="AO153" t="s">
        <v>59</v>
      </c>
      <c r="AP153" t="s">
        <v>60</v>
      </c>
      <c r="AQ153">
        <v>11</v>
      </c>
      <c r="AR153">
        <v>118</v>
      </c>
      <c r="AS153">
        <v>240</v>
      </c>
      <c r="AT153">
        <v>1.39</v>
      </c>
      <c r="AU153">
        <v>4.37</v>
      </c>
      <c r="AV153" t="s">
        <v>571</v>
      </c>
      <c r="AX153" t="s">
        <v>572</v>
      </c>
    </row>
    <row r="154" spans="1:50" x14ac:dyDescent="0.25">
      <c r="A154" t="s">
        <v>573</v>
      </c>
      <c r="B154" t="s">
        <v>51</v>
      </c>
      <c r="C154">
        <v>0</v>
      </c>
      <c r="D154">
        <v>0</v>
      </c>
      <c r="F154">
        <v>0</v>
      </c>
      <c r="G154">
        <v>0</v>
      </c>
      <c r="H154">
        <v>1</v>
      </c>
      <c r="I154">
        <v>1</v>
      </c>
      <c r="J154">
        <v>2514</v>
      </c>
      <c r="K154">
        <v>0</v>
      </c>
      <c r="M154">
        <v>0</v>
      </c>
      <c r="N154">
        <v>1</v>
      </c>
      <c r="O154">
        <v>1</v>
      </c>
      <c r="P154">
        <v>0</v>
      </c>
      <c r="Q154">
        <v>0</v>
      </c>
      <c r="S154">
        <v>49</v>
      </c>
      <c r="T154" t="s">
        <v>64</v>
      </c>
      <c r="U154" t="s">
        <v>93</v>
      </c>
      <c r="V154">
        <v>35</v>
      </c>
      <c r="W154" t="s">
        <v>79</v>
      </c>
      <c r="X154" t="s">
        <v>80</v>
      </c>
      <c r="Y154">
        <v>0</v>
      </c>
      <c r="Z154">
        <v>108.862182648</v>
      </c>
      <c r="AA154">
        <v>1.6764033549999999</v>
      </c>
      <c r="AB154" t="s">
        <v>56</v>
      </c>
      <c r="AD154" t="s">
        <v>57</v>
      </c>
      <c r="AE154">
        <v>1</v>
      </c>
      <c r="AF154">
        <v>5</v>
      </c>
      <c r="AG154">
        <v>1</v>
      </c>
      <c r="AH154">
        <v>1.5</v>
      </c>
      <c r="AI154">
        <v>320</v>
      </c>
      <c r="AJ154">
        <v>320</v>
      </c>
      <c r="AK154">
        <v>160</v>
      </c>
      <c r="AL154" t="s">
        <v>293</v>
      </c>
      <c r="AM154">
        <v>1.1000000238419001</v>
      </c>
      <c r="AN154" t="s">
        <v>51</v>
      </c>
      <c r="AO154" t="s">
        <v>59</v>
      </c>
      <c r="AP154" t="s">
        <v>60</v>
      </c>
      <c r="AQ154">
        <v>11</v>
      </c>
      <c r="AR154">
        <v>40</v>
      </c>
      <c r="AS154">
        <v>107</v>
      </c>
      <c r="AT154">
        <v>1.5</v>
      </c>
      <c r="AU154">
        <v>4.26</v>
      </c>
      <c r="AV154" t="s">
        <v>574</v>
      </c>
      <c r="AX154" t="s">
        <v>575</v>
      </c>
    </row>
    <row r="155" spans="1:50" x14ac:dyDescent="0.25">
      <c r="A155" t="s">
        <v>576</v>
      </c>
      <c r="B155" t="s">
        <v>51</v>
      </c>
      <c r="C155">
        <v>0</v>
      </c>
      <c r="D155">
        <v>0</v>
      </c>
      <c r="F155">
        <v>0</v>
      </c>
      <c r="G155">
        <v>0</v>
      </c>
      <c r="H155">
        <v>0</v>
      </c>
      <c r="I155">
        <v>1</v>
      </c>
      <c r="J155">
        <v>1539</v>
      </c>
      <c r="K155">
        <v>0</v>
      </c>
      <c r="M155">
        <v>0</v>
      </c>
      <c r="N155">
        <v>1</v>
      </c>
      <c r="O155">
        <v>1</v>
      </c>
      <c r="P155">
        <v>0</v>
      </c>
      <c r="Q155">
        <v>0</v>
      </c>
      <c r="S155">
        <v>44</v>
      </c>
      <c r="U155" t="s">
        <v>93</v>
      </c>
      <c r="V155">
        <v>52</v>
      </c>
      <c r="W155" t="s">
        <v>79</v>
      </c>
      <c r="X155" t="s">
        <v>80</v>
      </c>
      <c r="Y155">
        <v>0</v>
      </c>
      <c r="Z155">
        <v>88.450523401500007</v>
      </c>
      <c r="AB155" t="s">
        <v>118</v>
      </c>
      <c r="AC155" t="s">
        <v>102</v>
      </c>
      <c r="AD155" t="s">
        <v>57</v>
      </c>
      <c r="AE155">
        <v>1</v>
      </c>
      <c r="AF155">
        <v>5</v>
      </c>
      <c r="AG155">
        <v>1</v>
      </c>
      <c r="AH155">
        <v>3</v>
      </c>
      <c r="AI155">
        <v>448</v>
      </c>
      <c r="AJ155">
        <v>448</v>
      </c>
      <c r="AK155">
        <v>160</v>
      </c>
      <c r="AL155" t="s">
        <v>58</v>
      </c>
      <c r="AM155">
        <v>1.1000000238419001</v>
      </c>
      <c r="AN155" t="s">
        <v>51</v>
      </c>
      <c r="AO155" t="s">
        <v>59</v>
      </c>
      <c r="AP155" t="s">
        <v>124</v>
      </c>
      <c r="AQ155">
        <v>11</v>
      </c>
      <c r="AR155">
        <v>173</v>
      </c>
      <c r="AS155">
        <v>426</v>
      </c>
      <c r="AT155">
        <v>1.41</v>
      </c>
      <c r="AU155">
        <v>4.09</v>
      </c>
      <c r="AV155" t="s">
        <v>577</v>
      </c>
      <c r="AX155" t="s">
        <v>578</v>
      </c>
    </row>
    <row r="156" spans="1:50" x14ac:dyDescent="0.25">
      <c r="A156" t="s">
        <v>579</v>
      </c>
      <c r="B156" t="s">
        <v>51</v>
      </c>
      <c r="C156">
        <v>0</v>
      </c>
      <c r="D156">
        <v>1</v>
      </c>
      <c r="F156">
        <v>0</v>
      </c>
      <c r="G156">
        <v>1</v>
      </c>
      <c r="H156">
        <v>0</v>
      </c>
      <c r="I156">
        <v>1</v>
      </c>
      <c r="J156">
        <v>1016</v>
      </c>
      <c r="K156">
        <v>0</v>
      </c>
      <c r="M156">
        <v>0</v>
      </c>
      <c r="N156">
        <v>1</v>
      </c>
      <c r="O156">
        <v>1</v>
      </c>
      <c r="P156">
        <v>0</v>
      </c>
      <c r="Q156">
        <v>0</v>
      </c>
      <c r="T156" t="s">
        <v>64</v>
      </c>
      <c r="U156" t="s">
        <v>93</v>
      </c>
      <c r="V156">
        <v>34</v>
      </c>
      <c r="W156" t="s">
        <v>54</v>
      </c>
      <c r="X156" t="s">
        <v>80</v>
      </c>
      <c r="Y156">
        <v>0</v>
      </c>
      <c r="Z156">
        <v>80.290000000000006</v>
      </c>
      <c r="AB156" t="s">
        <v>94</v>
      </c>
      <c r="AD156" t="s">
        <v>57</v>
      </c>
      <c r="AE156">
        <v>1</v>
      </c>
      <c r="AF156">
        <v>4</v>
      </c>
      <c r="AG156">
        <v>1</v>
      </c>
      <c r="AH156">
        <v>1.5</v>
      </c>
      <c r="AI156">
        <v>512</v>
      </c>
      <c r="AJ156">
        <v>512</v>
      </c>
      <c r="AK156">
        <v>180</v>
      </c>
      <c r="AL156" t="s">
        <v>88</v>
      </c>
      <c r="AM156">
        <v>1.1000000000000001</v>
      </c>
      <c r="AN156" t="s">
        <v>51</v>
      </c>
      <c r="AO156" t="s">
        <v>67</v>
      </c>
      <c r="AP156" t="s">
        <v>89</v>
      </c>
      <c r="AQ156">
        <v>15</v>
      </c>
      <c r="AR156">
        <v>336</v>
      </c>
      <c r="AS156">
        <v>672</v>
      </c>
      <c r="AT156">
        <v>2.4279999999999999</v>
      </c>
      <c r="AU156">
        <v>5.2279999999999998</v>
      </c>
      <c r="AV156" t="s">
        <v>580</v>
      </c>
      <c r="AX156" t="s">
        <v>581</v>
      </c>
    </row>
    <row r="157" spans="1:50" x14ac:dyDescent="0.25">
      <c r="A157" t="s">
        <v>582</v>
      </c>
      <c r="B157" t="s">
        <v>51</v>
      </c>
      <c r="C157">
        <v>0</v>
      </c>
      <c r="D157">
        <v>1</v>
      </c>
      <c r="F157">
        <v>0</v>
      </c>
      <c r="G157">
        <v>1</v>
      </c>
      <c r="H157">
        <v>0</v>
      </c>
      <c r="I157">
        <v>1</v>
      </c>
      <c r="J157">
        <v>1590</v>
      </c>
      <c r="K157">
        <v>0</v>
      </c>
      <c r="M157">
        <v>0</v>
      </c>
      <c r="N157">
        <v>0</v>
      </c>
      <c r="O157">
        <v>0</v>
      </c>
      <c r="P157">
        <v>0</v>
      </c>
      <c r="Q157">
        <v>1</v>
      </c>
      <c r="T157" t="s">
        <v>64</v>
      </c>
      <c r="U157" t="s">
        <v>53</v>
      </c>
      <c r="V157">
        <v>58</v>
      </c>
      <c r="W157" t="s">
        <v>79</v>
      </c>
      <c r="X157" t="s">
        <v>80</v>
      </c>
      <c r="Y157">
        <v>0</v>
      </c>
      <c r="Z157">
        <v>48.081000000000003</v>
      </c>
      <c r="AB157" t="s">
        <v>247</v>
      </c>
      <c r="AD157" t="s">
        <v>57</v>
      </c>
      <c r="AE157">
        <v>1</v>
      </c>
      <c r="AF157">
        <v>4</v>
      </c>
      <c r="AG157">
        <v>1</v>
      </c>
      <c r="AH157">
        <v>3</v>
      </c>
      <c r="AI157">
        <v>512</v>
      </c>
      <c r="AJ157">
        <v>512</v>
      </c>
      <c r="AK157">
        <v>124</v>
      </c>
      <c r="AL157" t="s">
        <v>66</v>
      </c>
      <c r="AM157">
        <v>1.5</v>
      </c>
      <c r="AN157" t="s">
        <v>51</v>
      </c>
      <c r="AO157" t="s">
        <v>67</v>
      </c>
      <c r="AP157" t="s">
        <v>68</v>
      </c>
      <c r="AQ157">
        <v>15</v>
      </c>
      <c r="AR157">
        <v>269</v>
      </c>
      <c r="AS157">
        <v>538</v>
      </c>
      <c r="AT157">
        <v>2.6960000000000002</v>
      </c>
      <c r="AU157">
        <v>6.7160000000000002</v>
      </c>
      <c r="AV157" t="s">
        <v>583</v>
      </c>
      <c r="AX157" t="s">
        <v>584</v>
      </c>
    </row>
    <row r="158" spans="1:50" x14ac:dyDescent="0.25">
      <c r="A158" t="s">
        <v>585</v>
      </c>
      <c r="B158" t="s">
        <v>51</v>
      </c>
      <c r="C158">
        <v>0</v>
      </c>
      <c r="D158">
        <v>0</v>
      </c>
      <c r="F158">
        <v>0</v>
      </c>
      <c r="G158">
        <v>1</v>
      </c>
      <c r="H158">
        <v>1</v>
      </c>
      <c r="I158">
        <v>1</v>
      </c>
      <c r="J158">
        <v>844</v>
      </c>
      <c r="K158">
        <v>0</v>
      </c>
      <c r="M158">
        <v>0</v>
      </c>
      <c r="N158">
        <v>0</v>
      </c>
      <c r="O158">
        <v>0</v>
      </c>
      <c r="P158">
        <v>0</v>
      </c>
      <c r="Q158">
        <v>1</v>
      </c>
      <c r="T158" t="s">
        <v>64</v>
      </c>
      <c r="U158" t="s">
        <v>53</v>
      </c>
      <c r="V158">
        <v>38</v>
      </c>
      <c r="W158" t="s">
        <v>79</v>
      </c>
      <c r="X158" t="s">
        <v>55</v>
      </c>
      <c r="Y158">
        <v>0</v>
      </c>
      <c r="Z158">
        <v>119.748</v>
      </c>
      <c r="AB158" t="s">
        <v>269</v>
      </c>
      <c r="AD158" t="s">
        <v>57</v>
      </c>
      <c r="AE158">
        <v>1</v>
      </c>
      <c r="AF158">
        <v>5</v>
      </c>
      <c r="AG158">
        <v>1</v>
      </c>
      <c r="AH158">
        <v>1.5</v>
      </c>
      <c r="AI158">
        <v>512</v>
      </c>
      <c r="AJ158">
        <v>512</v>
      </c>
      <c r="AK158">
        <v>200</v>
      </c>
      <c r="AL158" t="s">
        <v>240</v>
      </c>
      <c r="AM158">
        <v>2.2000000000000002</v>
      </c>
      <c r="AN158" t="s">
        <v>51</v>
      </c>
      <c r="AO158" t="s">
        <v>67</v>
      </c>
      <c r="AP158" t="s">
        <v>68</v>
      </c>
      <c r="AQ158">
        <v>15</v>
      </c>
      <c r="AR158">
        <v>249</v>
      </c>
      <c r="AS158">
        <v>499</v>
      </c>
      <c r="AT158">
        <v>2.54</v>
      </c>
      <c r="AU158">
        <v>5.2519999999999998</v>
      </c>
      <c r="AV158" t="s">
        <v>586</v>
      </c>
      <c r="AX158" t="s">
        <v>587</v>
      </c>
    </row>
    <row r="159" spans="1:50" x14ac:dyDescent="0.25">
      <c r="A159" t="s">
        <v>588</v>
      </c>
      <c r="B159" t="s">
        <v>51</v>
      </c>
      <c r="C159">
        <v>0</v>
      </c>
      <c r="D159">
        <v>1</v>
      </c>
      <c r="F159">
        <v>0</v>
      </c>
      <c r="G159">
        <v>0</v>
      </c>
      <c r="H159">
        <v>0</v>
      </c>
      <c r="I159">
        <v>1</v>
      </c>
      <c r="J159">
        <v>189</v>
      </c>
      <c r="K159">
        <v>0</v>
      </c>
      <c r="M159">
        <v>215</v>
      </c>
      <c r="N159">
        <v>0</v>
      </c>
      <c r="O159">
        <v>0</v>
      </c>
      <c r="P159">
        <v>0</v>
      </c>
      <c r="Q159">
        <v>0</v>
      </c>
      <c r="T159" t="s">
        <v>52</v>
      </c>
      <c r="U159" t="s">
        <v>65</v>
      </c>
      <c r="V159">
        <v>41</v>
      </c>
      <c r="W159" t="s">
        <v>54</v>
      </c>
      <c r="X159" t="s">
        <v>55</v>
      </c>
      <c r="Y159">
        <v>0</v>
      </c>
      <c r="AD159" t="s">
        <v>57</v>
      </c>
      <c r="AE159">
        <v>1</v>
      </c>
      <c r="AF159">
        <v>4</v>
      </c>
      <c r="AG159">
        <v>1</v>
      </c>
      <c r="AH159">
        <v>3</v>
      </c>
      <c r="AI159">
        <v>448</v>
      </c>
      <c r="AJ159">
        <v>448</v>
      </c>
      <c r="AK159">
        <v>208</v>
      </c>
      <c r="AL159" t="s">
        <v>141</v>
      </c>
      <c r="AM159">
        <v>1.2000000476837001</v>
      </c>
      <c r="AN159" t="s">
        <v>51</v>
      </c>
      <c r="AO159" t="s">
        <v>59</v>
      </c>
      <c r="AP159" t="s">
        <v>107</v>
      </c>
      <c r="AQ159">
        <v>15</v>
      </c>
      <c r="AR159">
        <v>40</v>
      </c>
      <c r="AS159">
        <v>113</v>
      </c>
      <c r="AT159">
        <v>1.44</v>
      </c>
      <c r="AU159">
        <v>3.77</v>
      </c>
      <c r="AV159" t="s">
        <v>589</v>
      </c>
      <c r="AX159" t="s">
        <v>590</v>
      </c>
    </row>
    <row r="160" spans="1:50" x14ac:dyDescent="0.25">
      <c r="A160" t="s">
        <v>591</v>
      </c>
      <c r="B160" t="s">
        <v>51</v>
      </c>
      <c r="C160">
        <v>0</v>
      </c>
      <c r="D160">
        <v>0</v>
      </c>
      <c r="F160">
        <v>0</v>
      </c>
      <c r="G160">
        <v>0</v>
      </c>
      <c r="H160">
        <v>0</v>
      </c>
      <c r="I160">
        <v>0</v>
      </c>
      <c r="J160">
        <v>870</v>
      </c>
      <c r="K160">
        <v>1238</v>
      </c>
      <c r="M160">
        <v>0</v>
      </c>
      <c r="N160">
        <v>1</v>
      </c>
      <c r="O160">
        <v>1</v>
      </c>
      <c r="P160">
        <v>0</v>
      </c>
      <c r="Q160">
        <v>0</v>
      </c>
      <c r="T160" t="s">
        <v>52</v>
      </c>
      <c r="U160" t="s">
        <v>93</v>
      </c>
      <c r="V160">
        <v>54</v>
      </c>
      <c r="W160" t="s">
        <v>79</v>
      </c>
      <c r="X160" t="s">
        <v>80</v>
      </c>
      <c r="Y160">
        <v>0</v>
      </c>
      <c r="Z160">
        <v>68.489999999999995</v>
      </c>
      <c r="AB160" t="s">
        <v>94</v>
      </c>
      <c r="AD160" t="s">
        <v>57</v>
      </c>
      <c r="AE160">
        <v>1</v>
      </c>
      <c r="AF160">
        <v>4</v>
      </c>
      <c r="AG160">
        <v>1</v>
      </c>
      <c r="AH160">
        <v>1.5</v>
      </c>
      <c r="AI160">
        <v>512</v>
      </c>
      <c r="AJ160">
        <v>512</v>
      </c>
      <c r="AK160">
        <v>176</v>
      </c>
      <c r="AL160" t="s">
        <v>119</v>
      </c>
      <c r="AM160">
        <v>1</v>
      </c>
      <c r="AN160" t="s">
        <v>51</v>
      </c>
      <c r="AO160" t="s">
        <v>67</v>
      </c>
      <c r="AP160" t="s">
        <v>89</v>
      </c>
      <c r="AQ160">
        <v>15</v>
      </c>
      <c r="AR160">
        <v>590</v>
      </c>
      <c r="AS160">
        <v>1181</v>
      </c>
      <c r="AT160">
        <v>2.476</v>
      </c>
      <c r="AU160">
        <v>5.34</v>
      </c>
      <c r="AV160" t="s">
        <v>592</v>
      </c>
      <c r="AX160" t="s">
        <v>593</v>
      </c>
    </row>
    <row r="161" spans="1:50" x14ac:dyDescent="0.25">
      <c r="A161" t="s">
        <v>594</v>
      </c>
      <c r="B161" t="s">
        <v>51</v>
      </c>
      <c r="C161">
        <v>0</v>
      </c>
      <c r="D161">
        <v>0</v>
      </c>
      <c r="F161">
        <v>0</v>
      </c>
      <c r="G161">
        <v>0</v>
      </c>
      <c r="H161">
        <v>1</v>
      </c>
      <c r="I161">
        <v>1</v>
      </c>
      <c r="J161">
        <v>777</v>
      </c>
      <c r="K161">
        <v>0</v>
      </c>
      <c r="M161">
        <v>0</v>
      </c>
      <c r="N161">
        <v>0</v>
      </c>
      <c r="O161">
        <v>0</v>
      </c>
      <c r="P161">
        <v>0</v>
      </c>
      <c r="Q161">
        <v>0</v>
      </c>
      <c r="T161" t="s">
        <v>64</v>
      </c>
      <c r="U161" t="s">
        <v>65</v>
      </c>
      <c r="V161">
        <v>39</v>
      </c>
      <c r="W161" t="s">
        <v>54</v>
      </c>
      <c r="X161" t="s">
        <v>80</v>
      </c>
      <c r="Y161">
        <v>0</v>
      </c>
      <c r="AD161" t="s">
        <v>57</v>
      </c>
      <c r="AE161">
        <v>1</v>
      </c>
      <c r="AF161">
        <v>4</v>
      </c>
      <c r="AG161">
        <v>1</v>
      </c>
      <c r="AH161">
        <v>3</v>
      </c>
      <c r="AI161">
        <v>448</v>
      </c>
      <c r="AJ161">
        <v>448</v>
      </c>
      <c r="AK161">
        <v>208</v>
      </c>
      <c r="AL161" t="s">
        <v>75</v>
      </c>
      <c r="AM161">
        <v>1</v>
      </c>
      <c r="AN161" t="s">
        <v>51</v>
      </c>
      <c r="AO161" t="s">
        <v>59</v>
      </c>
      <c r="AP161" t="s">
        <v>107</v>
      </c>
      <c r="AQ161">
        <v>15</v>
      </c>
      <c r="AR161">
        <v>48</v>
      </c>
      <c r="AS161">
        <v>130</v>
      </c>
      <c r="AT161">
        <v>1.44</v>
      </c>
      <c r="AU161">
        <v>3.77</v>
      </c>
      <c r="AV161" t="s">
        <v>595</v>
      </c>
      <c r="AX161" t="s">
        <v>596</v>
      </c>
    </row>
    <row r="162" spans="1:50" x14ac:dyDescent="0.25">
      <c r="A162" t="s">
        <v>597</v>
      </c>
      <c r="B162" t="s">
        <v>51</v>
      </c>
      <c r="C162">
        <v>0</v>
      </c>
      <c r="D162">
        <v>1</v>
      </c>
      <c r="F162">
        <v>0</v>
      </c>
      <c r="G162">
        <v>0</v>
      </c>
      <c r="H162">
        <v>0</v>
      </c>
      <c r="I162">
        <v>1</v>
      </c>
      <c r="J162">
        <v>2346</v>
      </c>
      <c r="K162">
        <v>0</v>
      </c>
      <c r="M162">
        <v>0</v>
      </c>
      <c r="N162">
        <v>1</v>
      </c>
      <c r="O162">
        <v>1</v>
      </c>
      <c r="P162">
        <v>1</v>
      </c>
      <c r="Q162">
        <v>0</v>
      </c>
      <c r="S162">
        <v>20</v>
      </c>
      <c r="T162" t="s">
        <v>64</v>
      </c>
      <c r="U162" t="s">
        <v>93</v>
      </c>
      <c r="V162">
        <v>46</v>
      </c>
      <c r="W162" t="s">
        <v>54</v>
      </c>
      <c r="X162" t="s">
        <v>80</v>
      </c>
      <c r="Y162">
        <v>0</v>
      </c>
      <c r="Z162">
        <v>72.575000000000003</v>
      </c>
      <c r="AB162" t="s">
        <v>94</v>
      </c>
      <c r="AD162" t="s">
        <v>57</v>
      </c>
      <c r="AE162">
        <v>1</v>
      </c>
      <c r="AF162">
        <v>5</v>
      </c>
      <c r="AG162">
        <v>1</v>
      </c>
      <c r="AH162">
        <v>1.5</v>
      </c>
      <c r="AI162">
        <v>512</v>
      </c>
      <c r="AJ162">
        <v>512</v>
      </c>
      <c r="AK162">
        <v>170</v>
      </c>
      <c r="AL162" t="s">
        <v>81</v>
      </c>
      <c r="AM162">
        <v>1</v>
      </c>
      <c r="AN162" t="s">
        <v>51</v>
      </c>
      <c r="AO162" t="s">
        <v>67</v>
      </c>
      <c r="AP162" t="s">
        <v>68</v>
      </c>
      <c r="AQ162">
        <v>15</v>
      </c>
      <c r="AR162">
        <v>360</v>
      </c>
      <c r="AS162">
        <v>721</v>
      </c>
      <c r="AT162">
        <v>2.488</v>
      </c>
      <c r="AU162">
        <v>5.2759999999999998</v>
      </c>
      <c r="AV162" t="s">
        <v>598</v>
      </c>
      <c r="AX162" t="s">
        <v>599</v>
      </c>
    </row>
    <row r="163" spans="1:50" x14ac:dyDescent="0.25">
      <c r="A163" t="s">
        <v>600</v>
      </c>
      <c r="B163" t="s">
        <v>51</v>
      </c>
      <c r="C163">
        <v>0</v>
      </c>
      <c r="D163">
        <v>1</v>
      </c>
      <c r="F163">
        <v>0</v>
      </c>
      <c r="G163">
        <v>0</v>
      </c>
      <c r="H163">
        <v>1</v>
      </c>
      <c r="I163">
        <v>1</v>
      </c>
      <c r="J163">
        <v>1603</v>
      </c>
      <c r="K163">
        <v>0</v>
      </c>
      <c r="M163">
        <v>0</v>
      </c>
      <c r="N163">
        <v>0</v>
      </c>
      <c r="O163">
        <v>0</v>
      </c>
      <c r="P163">
        <v>0</v>
      </c>
      <c r="Q163">
        <v>0</v>
      </c>
      <c r="T163" t="s">
        <v>64</v>
      </c>
      <c r="U163" t="s">
        <v>65</v>
      </c>
      <c r="V163">
        <v>29</v>
      </c>
      <c r="W163" t="s">
        <v>54</v>
      </c>
      <c r="X163" t="s">
        <v>80</v>
      </c>
      <c r="Y163">
        <v>0</v>
      </c>
      <c r="AD163" t="s">
        <v>57</v>
      </c>
      <c r="AE163">
        <v>1</v>
      </c>
      <c r="AF163">
        <v>4</v>
      </c>
      <c r="AG163">
        <v>1</v>
      </c>
      <c r="AH163">
        <v>3</v>
      </c>
      <c r="AI163">
        <v>448</v>
      </c>
      <c r="AJ163">
        <v>448</v>
      </c>
      <c r="AK163">
        <v>160</v>
      </c>
      <c r="AL163" t="s">
        <v>123</v>
      </c>
      <c r="AM163">
        <v>1.1000000238419001</v>
      </c>
      <c r="AN163" t="s">
        <v>51</v>
      </c>
      <c r="AO163" t="s">
        <v>59</v>
      </c>
      <c r="AP163" t="s">
        <v>124</v>
      </c>
      <c r="AQ163">
        <v>15</v>
      </c>
      <c r="AR163">
        <v>170</v>
      </c>
      <c r="AS163">
        <v>403</v>
      </c>
      <c r="AT163">
        <v>1.44</v>
      </c>
      <c r="AU163">
        <v>4.09</v>
      </c>
      <c r="AV163" t="s">
        <v>601</v>
      </c>
      <c r="AX163" t="s">
        <v>602</v>
      </c>
    </row>
    <row r="164" spans="1:50" x14ac:dyDescent="0.25">
      <c r="A164" t="s">
        <v>603</v>
      </c>
      <c r="B164" t="s">
        <v>51</v>
      </c>
      <c r="C164">
        <v>0</v>
      </c>
      <c r="D164">
        <v>0</v>
      </c>
      <c r="F164">
        <v>0</v>
      </c>
      <c r="G164">
        <v>1</v>
      </c>
      <c r="H164">
        <v>0</v>
      </c>
      <c r="I164">
        <v>0</v>
      </c>
      <c r="J164">
        <v>1399</v>
      </c>
      <c r="K164">
        <v>0</v>
      </c>
      <c r="M164">
        <v>0</v>
      </c>
      <c r="N164">
        <v>1</v>
      </c>
      <c r="O164">
        <v>1</v>
      </c>
      <c r="P164">
        <v>1</v>
      </c>
      <c r="Q164">
        <v>1</v>
      </c>
      <c r="T164" t="s">
        <v>64</v>
      </c>
      <c r="U164" t="s">
        <v>72</v>
      </c>
      <c r="V164">
        <v>65</v>
      </c>
      <c r="W164" t="s">
        <v>79</v>
      </c>
      <c r="X164" t="s">
        <v>80</v>
      </c>
      <c r="Y164">
        <v>0</v>
      </c>
      <c r="Z164">
        <v>91.63</v>
      </c>
      <c r="AB164" t="s">
        <v>118</v>
      </c>
      <c r="AD164" t="s">
        <v>57</v>
      </c>
      <c r="AE164">
        <v>1</v>
      </c>
      <c r="AF164">
        <v>4</v>
      </c>
      <c r="AG164">
        <v>1</v>
      </c>
      <c r="AH164">
        <v>1.5</v>
      </c>
      <c r="AI164">
        <v>512</v>
      </c>
      <c r="AJ164">
        <v>512</v>
      </c>
      <c r="AK164">
        <v>178</v>
      </c>
      <c r="AL164" t="s">
        <v>119</v>
      </c>
      <c r="AM164">
        <v>1</v>
      </c>
      <c r="AN164" t="s">
        <v>51</v>
      </c>
      <c r="AO164" t="s">
        <v>67</v>
      </c>
      <c r="AP164" t="s">
        <v>89</v>
      </c>
      <c r="AQ164">
        <v>15</v>
      </c>
      <c r="AR164">
        <v>431</v>
      </c>
      <c r="AS164">
        <v>862</v>
      </c>
      <c r="AT164">
        <v>2.476</v>
      </c>
      <c r="AU164">
        <v>5.34</v>
      </c>
      <c r="AV164" t="s">
        <v>604</v>
      </c>
      <c r="AX164" t="s">
        <v>605</v>
      </c>
    </row>
    <row r="165" spans="1:50" x14ac:dyDescent="0.25">
      <c r="A165" t="s">
        <v>606</v>
      </c>
      <c r="B165" t="s">
        <v>51</v>
      </c>
      <c r="C165">
        <v>0</v>
      </c>
      <c r="D165">
        <v>1</v>
      </c>
      <c r="F165">
        <v>0</v>
      </c>
      <c r="G165">
        <v>0</v>
      </c>
      <c r="H165">
        <v>1</v>
      </c>
      <c r="I165">
        <v>1</v>
      </c>
      <c r="J165">
        <v>873</v>
      </c>
      <c r="K165">
        <v>0</v>
      </c>
      <c r="M165">
        <v>0</v>
      </c>
      <c r="N165">
        <v>1</v>
      </c>
      <c r="O165">
        <v>1</v>
      </c>
      <c r="P165">
        <v>0</v>
      </c>
      <c r="Q165">
        <v>0</v>
      </c>
      <c r="T165" t="s">
        <v>64</v>
      </c>
      <c r="U165" t="s">
        <v>93</v>
      </c>
      <c r="V165">
        <v>54</v>
      </c>
      <c r="W165" t="s">
        <v>79</v>
      </c>
      <c r="X165" t="s">
        <v>80</v>
      </c>
      <c r="Y165">
        <v>0</v>
      </c>
      <c r="Z165">
        <v>58.06</v>
      </c>
      <c r="AB165" t="s">
        <v>74</v>
      </c>
      <c r="AD165" t="s">
        <v>57</v>
      </c>
      <c r="AE165">
        <v>1</v>
      </c>
      <c r="AF165">
        <v>4</v>
      </c>
      <c r="AG165">
        <v>1</v>
      </c>
      <c r="AH165">
        <v>1.5</v>
      </c>
      <c r="AI165">
        <v>512</v>
      </c>
      <c r="AJ165">
        <v>512</v>
      </c>
      <c r="AK165">
        <v>174</v>
      </c>
      <c r="AL165" t="s">
        <v>119</v>
      </c>
      <c r="AM165">
        <v>1</v>
      </c>
      <c r="AN165" t="s">
        <v>51</v>
      </c>
      <c r="AO165" t="s">
        <v>67</v>
      </c>
      <c r="AP165" t="s">
        <v>89</v>
      </c>
      <c r="AQ165">
        <v>15</v>
      </c>
      <c r="AR165">
        <v>563</v>
      </c>
      <c r="AS165">
        <v>1127</v>
      </c>
      <c r="AT165">
        <v>2.476</v>
      </c>
      <c r="AU165">
        <v>5.3319999999999999</v>
      </c>
      <c r="AV165" t="s">
        <v>607</v>
      </c>
      <c r="AX165" t="s">
        <v>608</v>
      </c>
    </row>
    <row r="166" spans="1:50" x14ac:dyDescent="0.25">
      <c r="A166" t="s">
        <v>609</v>
      </c>
      <c r="B166" t="s">
        <v>51</v>
      </c>
      <c r="C166">
        <v>0</v>
      </c>
      <c r="D166">
        <v>0</v>
      </c>
      <c r="F166">
        <v>0</v>
      </c>
      <c r="G166">
        <v>0</v>
      </c>
      <c r="H166">
        <v>0</v>
      </c>
      <c r="I166">
        <v>0</v>
      </c>
      <c r="J166">
        <v>1442</v>
      </c>
      <c r="K166">
        <v>0</v>
      </c>
      <c r="M166">
        <v>0</v>
      </c>
      <c r="N166">
        <v>1</v>
      </c>
      <c r="O166">
        <v>1</v>
      </c>
      <c r="P166">
        <v>1</v>
      </c>
      <c r="Q166">
        <v>0</v>
      </c>
      <c r="U166" t="s">
        <v>93</v>
      </c>
      <c r="V166">
        <v>45</v>
      </c>
      <c r="W166" t="s">
        <v>79</v>
      </c>
      <c r="X166" t="s">
        <v>55</v>
      </c>
      <c r="Y166">
        <v>0</v>
      </c>
      <c r="Z166">
        <v>88.450523401500007</v>
      </c>
      <c r="AB166" t="s">
        <v>118</v>
      </c>
      <c r="AC166" t="s">
        <v>152</v>
      </c>
      <c r="AD166" t="s">
        <v>57</v>
      </c>
      <c r="AE166">
        <v>1</v>
      </c>
      <c r="AF166">
        <v>5</v>
      </c>
      <c r="AG166">
        <v>1</v>
      </c>
      <c r="AH166">
        <v>3</v>
      </c>
      <c r="AI166">
        <v>448</v>
      </c>
      <c r="AJ166">
        <v>448</v>
      </c>
      <c r="AK166">
        <v>144</v>
      </c>
      <c r="AL166" t="s">
        <v>123</v>
      </c>
      <c r="AM166">
        <v>1.0999999046325999</v>
      </c>
      <c r="AN166" t="s">
        <v>51</v>
      </c>
      <c r="AO166" t="s">
        <v>59</v>
      </c>
      <c r="AP166" t="s">
        <v>124</v>
      </c>
      <c r="AQ166">
        <v>11</v>
      </c>
      <c r="AR166">
        <v>299</v>
      </c>
      <c r="AS166">
        <v>606</v>
      </c>
      <c r="AT166">
        <v>1.44</v>
      </c>
      <c r="AU166">
        <v>4.09</v>
      </c>
      <c r="AV166" t="s">
        <v>610</v>
      </c>
      <c r="AX166" t="s">
        <v>611</v>
      </c>
    </row>
    <row r="167" spans="1:50" x14ac:dyDescent="0.25">
      <c r="A167" t="s">
        <v>612</v>
      </c>
      <c r="B167" t="s">
        <v>51</v>
      </c>
      <c r="C167">
        <v>0</v>
      </c>
      <c r="D167">
        <v>1</v>
      </c>
      <c r="F167">
        <v>0</v>
      </c>
      <c r="G167">
        <v>0</v>
      </c>
      <c r="H167">
        <v>1</v>
      </c>
      <c r="I167">
        <v>0</v>
      </c>
      <c r="J167">
        <v>2243</v>
      </c>
      <c r="K167">
        <v>0</v>
      </c>
      <c r="M167">
        <v>0</v>
      </c>
      <c r="N167">
        <v>1</v>
      </c>
      <c r="O167">
        <v>1</v>
      </c>
      <c r="P167">
        <v>0</v>
      </c>
      <c r="Q167">
        <v>0</v>
      </c>
      <c r="T167" t="s">
        <v>64</v>
      </c>
      <c r="U167" t="s">
        <v>93</v>
      </c>
      <c r="V167">
        <v>59</v>
      </c>
      <c r="W167" t="s">
        <v>79</v>
      </c>
      <c r="X167" t="s">
        <v>55</v>
      </c>
      <c r="Y167">
        <v>0</v>
      </c>
      <c r="Z167">
        <v>90.718000000000004</v>
      </c>
      <c r="AB167" t="s">
        <v>118</v>
      </c>
      <c r="AD167" t="s">
        <v>57</v>
      </c>
      <c r="AE167">
        <v>1</v>
      </c>
      <c r="AF167">
        <v>5</v>
      </c>
      <c r="AG167">
        <v>1</v>
      </c>
      <c r="AH167">
        <v>3</v>
      </c>
      <c r="AI167">
        <v>512</v>
      </c>
      <c r="AJ167">
        <v>512</v>
      </c>
      <c r="AK167">
        <v>176</v>
      </c>
      <c r="AL167" t="s">
        <v>88</v>
      </c>
      <c r="AM167">
        <v>1</v>
      </c>
      <c r="AN167" t="s">
        <v>51</v>
      </c>
      <c r="AO167" t="s">
        <v>67</v>
      </c>
      <c r="AP167" t="s">
        <v>114</v>
      </c>
      <c r="AQ167">
        <v>15</v>
      </c>
      <c r="AR167">
        <v>1071</v>
      </c>
      <c r="AS167">
        <v>2142</v>
      </c>
      <c r="AT167">
        <v>2.36</v>
      </c>
      <c r="AU167">
        <v>5.1360000000000001</v>
      </c>
      <c r="AV167" t="s">
        <v>613</v>
      </c>
      <c r="AX167" t="s">
        <v>614</v>
      </c>
    </row>
    <row r="168" spans="1:50" x14ac:dyDescent="0.25">
      <c r="A168" t="s">
        <v>615</v>
      </c>
      <c r="B168" t="s">
        <v>51</v>
      </c>
      <c r="C168">
        <v>0</v>
      </c>
      <c r="D168">
        <v>1</v>
      </c>
      <c r="F168">
        <v>1</v>
      </c>
      <c r="G168">
        <v>1</v>
      </c>
      <c r="H168">
        <v>0</v>
      </c>
      <c r="I168">
        <v>1</v>
      </c>
      <c r="J168">
        <v>1400</v>
      </c>
      <c r="K168">
        <v>0</v>
      </c>
      <c r="M168">
        <v>0</v>
      </c>
      <c r="N168">
        <v>1</v>
      </c>
      <c r="O168">
        <v>1</v>
      </c>
      <c r="P168">
        <v>1</v>
      </c>
      <c r="Q168">
        <v>1</v>
      </c>
      <c r="T168" t="s">
        <v>64</v>
      </c>
      <c r="U168" t="s">
        <v>72</v>
      </c>
      <c r="V168">
        <v>40</v>
      </c>
      <c r="W168" t="s">
        <v>54</v>
      </c>
      <c r="X168" t="s">
        <v>55</v>
      </c>
      <c r="Y168">
        <v>0</v>
      </c>
      <c r="Z168">
        <v>61.23</v>
      </c>
      <c r="AB168" t="s">
        <v>74</v>
      </c>
      <c r="AD168" t="s">
        <v>57</v>
      </c>
      <c r="AE168">
        <v>1</v>
      </c>
      <c r="AF168">
        <v>4</v>
      </c>
      <c r="AG168">
        <v>1</v>
      </c>
      <c r="AH168">
        <v>1.5</v>
      </c>
      <c r="AI168">
        <v>512</v>
      </c>
      <c r="AJ168">
        <v>512</v>
      </c>
      <c r="AK168">
        <v>174</v>
      </c>
      <c r="AL168" t="s">
        <v>119</v>
      </c>
      <c r="AM168">
        <v>1</v>
      </c>
      <c r="AN168" t="s">
        <v>51</v>
      </c>
      <c r="AO168" t="s">
        <v>67</v>
      </c>
      <c r="AP168" t="s">
        <v>89</v>
      </c>
      <c r="AQ168">
        <v>15</v>
      </c>
      <c r="AR168">
        <v>413</v>
      </c>
      <c r="AS168">
        <v>827</v>
      </c>
      <c r="AT168">
        <v>2.476</v>
      </c>
      <c r="AU168">
        <v>5.34</v>
      </c>
      <c r="AV168" t="s">
        <v>616</v>
      </c>
      <c r="AX168" t="s">
        <v>617</v>
      </c>
    </row>
    <row r="169" spans="1:50" x14ac:dyDescent="0.25">
      <c r="A169" t="s">
        <v>618</v>
      </c>
      <c r="B169" t="s">
        <v>51</v>
      </c>
      <c r="C169">
        <v>0</v>
      </c>
      <c r="D169">
        <v>0</v>
      </c>
      <c r="F169">
        <v>0</v>
      </c>
      <c r="G169">
        <v>0</v>
      </c>
      <c r="H169">
        <v>1</v>
      </c>
      <c r="I169">
        <v>1</v>
      </c>
      <c r="J169">
        <v>1850</v>
      </c>
      <c r="K169">
        <v>0</v>
      </c>
      <c r="M169">
        <v>0</v>
      </c>
      <c r="N169">
        <v>1</v>
      </c>
      <c r="O169">
        <v>1</v>
      </c>
      <c r="P169">
        <v>1</v>
      </c>
      <c r="Q169">
        <v>0</v>
      </c>
      <c r="T169" t="s">
        <v>64</v>
      </c>
      <c r="U169" t="s">
        <v>93</v>
      </c>
      <c r="V169">
        <v>43</v>
      </c>
      <c r="W169" t="s">
        <v>54</v>
      </c>
      <c r="X169" t="s">
        <v>80</v>
      </c>
      <c r="Y169">
        <v>0</v>
      </c>
      <c r="Z169">
        <v>69.399641438100005</v>
      </c>
      <c r="AB169" t="s">
        <v>94</v>
      </c>
      <c r="AD169" t="s">
        <v>57</v>
      </c>
      <c r="AE169">
        <v>1</v>
      </c>
      <c r="AF169">
        <v>4</v>
      </c>
      <c r="AG169">
        <v>1</v>
      </c>
      <c r="AH169">
        <v>1.5</v>
      </c>
      <c r="AI169">
        <v>448</v>
      </c>
      <c r="AJ169">
        <v>448</v>
      </c>
      <c r="AK169">
        <v>160</v>
      </c>
      <c r="AL169" t="s">
        <v>75</v>
      </c>
      <c r="AM169">
        <v>1</v>
      </c>
      <c r="AN169" t="s">
        <v>51</v>
      </c>
      <c r="AO169" t="s">
        <v>59</v>
      </c>
      <c r="AP169" t="s">
        <v>60</v>
      </c>
      <c r="AQ169">
        <v>11</v>
      </c>
      <c r="AR169">
        <v>97</v>
      </c>
      <c r="AS169">
        <v>249</v>
      </c>
      <c r="AT169">
        <v>1.54</v>
      </c>
      <c r="AU169">
        <v>4.68</v>
      </c>
      <c r="AV169" t="s">
        <v>619</v>
      </c>
      <c r="AX169" t="s">
        <v>620</v>
      </c>
    </row>
    <row r="170" spans="1:50" x14ac:dyDescent="0.25">
      <c r="A170" t="s">
        <v>621</v>
      </c>
      <c r="B170" t="s">
        <v>51</v>
      </c>
      <c r="C170">
        <v>0</v>
      </c>
      <c r="D170">
        <v>1</v>
      </c>
      <c r="F170">
        <v>0</v>
      </c>
      <c r="G170">
        <v>0</v>
      </c>
      <c r="H170">
        <v>0</v>
      </c>
      <c r="I170">
        <v>0</v>
      </c>
      <c r="J170">
        <v>1131</v>
      </c>
      <c r="K170">
        <v>0</v>
      </c>
      <c r="M170">
        <v>0</v>
      </c>
      <c r="N170">
        <v>0</v>
      </c>
      <c r="O170">
        <v>0</v>
      </c>
      <c r="P170">
        <v>0</v>
      </c>
      <c r="Q170">
        <v>0</v>
      </c>
      <c r="T170" t="s">
        <v>52</v>
      </c>
      <c r="U170" t="s">
        <v>65</v>
      </c>
      <c r="V170">
        <v>49</v>
      </c>
      <c r="W170" t="s">
        <v>54</v>
      </c>
      <c r="X170" t="s">
        <v>80</v>
      </c>
      <c r="Y170">
        <v>0</v>
      </c>
      <c r="AD170" t="s">
        <v>57</v>
      </c>
      <c r="AE170">
        <v>1</v>
      </c>
      <c r="AF170">
        <v>4</v>
      </c>
      <c r="AG170">
        <v>1</v>
      </c>
      <c r="AH170">
        <v>1.5</v>
      </c>
      <c r="AI170">
        <v>512</v>
      </c>
      <c r="AJ170">
        <v>512</v>
      </c>
      <c r="AK170">
        <v>174</v>
      </c>
      <c r="AL170" t="s">
        <v>119</v>
      </c>
      <c r="AM170">
        <v>1</v>
      </c>
      <c r="AN170" t="s">
        <v>51</v>
      </c>
      <c r="AO170" t="s">
        <v>67</v>
      </c>
      <c r="AP170" t="s">
        <v>89</v>
      </c>
      <c r="AQ170">
        <v>15</v>
      </c>
      <c r="AR170">
        <v>492</v>
      </c>
      <c r="AS170">
        <v>984</v>
      </c>
      <c r="AT170">
        <v>2.476</v>
      </c>
      <c r="AU170">
        <v>5.3319999999999999</v>
      </c>
      <c r="AV170" t="s">
        <v>622</v>
      </c>
      <c r="AX170" t="s">
        <v>623</v>
      </c>
    </row>
    <row r="171" spans="1:50" x14ac:dyDescent="0.25">
      <c r="A171" t="s">
        <v>624</v>
      </c>
      <c r="B171" t="s">
        <v>51</v>
      </c>
      <c r="C171">
        <v>0</v>
      </c>
      <c r="D171">
        <v>0</v>
      </c>
      <c r="F171">
        <v>0</v>
      </c>
      <c r="G171">
        <v>0</v>
      </c>
      <c r="H171">
        <v>0</v>
      </c>
      <c r="I171">
        <v>1</v>
      </c>
      <c r="J171">
        <v>1170</v>
      </c>
      <c r="K171">
        <v>1230</v>
      </c>
      <c r="M171">
        <v>0</v>
      </c>
      <c r="N171">
        <v>1</v>
      </c>
      <c r="O171">
        <v>0</v>
      </c>
      <c r="P171">
        <v>1</v>
      </c>
      <c r="Q171">
        <v>0</v>
      </c>
      <c r="U171" t="s">
        <v>93</v>
      </c>
      <c r="V171">
        <v>72</v>
      </c>
      <c r="W171" t="s">
        <v>79</v>
      </c>
      <c r="X171" t="s">
        <v>80</v>
      </c>
      <c r="Y171">
        <v>0</v>
      </c>
      <c r="Z171">
        <v>58.966999999999999</v>
      </c>
      <c r="AB171" t="s">
        <v>74</v>
      </c>
      <c r="AD171" t="s">
        <v>57</v>
      </c>
      <c r="AE171">
        <v>1</v>
      </c>
      <c r="AF171">
        <v>5</v>
      </c>
      <c r="AG171">
        <v>1</v>
      </c>
      <c r="AH171">
        <v>3</v>
      </c>
      <c r="AI171">
        <v>512</v>
      </c>
      <c r="AJ171">
        <v>512</v>
      </c>
      <c r="AK171">
        <v>142</v>
      </c>
      <c r="AL171" t="s">
        <v>128</v>
      </c>
      <c r="AM171">
        <v>1</v>
      </c>
      <c r="AN171" t="s">
        <v>51</v>
      </c>
      <c r="AO171" t="s">
        <v>67</v>
      </c>
      <c r="AP171" t="s">
        <v>114</v>
      </c>
      <c r="AQ171">
        <v>15</v>
      </c>
      <c r="AR171">
        <v>490</v>
      </c>
      <c r="AS171">
        <v>980</v>
      </c>
      <c r="AT171">
        <v>2.3959999999999999</v>
      </c>
      <c r="AU171">
        <v>5.5</v>
      </c>
      <c r="AV171" t="s">
        <v>625</v>
      </c>
      <c r="AX171" t="s">
        <v>626</v>
      </c>
    </row>
    <row r="172" spans="1:50" x14ac:dyDescent="0.25">
      <c r="A172" t="s">
        <v>627</v>
      </c>
      <c r="B172" t="s">
        <v>51</v>
      </c>
      <c r="C172">
        <v>0</v>
      </c>
      <c r="D172">
        <v>1</v>
      </c>
      <c r="F172">
        <v>0</v>
      </c>
      <c r="G172">
        <v>0</v>
      </c>
      <c r="H172">
        <v>0</v>
      </c>
      <c r="I172">
        <v>1</v>
      </c>
      <c r="J172">
        <v>1523</v>
      </c>
      <c r="K172">
        <v>0</v>
      </c>
      <c r="M172">
        <v>0</v>
      </c>
      <c r="N172">
        <v>1</v>
      </c>
      <c r="O172">
        <v>1</v>
      </c>
      <c r="P172">
        <v>0</v>
      </c>
      <c r="Q172">
        <v>0</v>
      </c>
      <c r="T172" t="s">
        <v>52</v>
      </c>
      <c r="U172" t="s">
        <v>93</v>
      </c>
      <c r="V172">
        <v>61</v>
      </c>
      <c r="W172" t="s">
        <v>79</v>
      </c>
      <c r="X172" t="s">
        <v>80</v>
      </c>
      <c r="Y172">
        <v>0</v>
      </c>
      <c r="Z172">
        <v>58.06</v>
      </c>
      <c r="AB172" t="s">
        <v>74</v>
      </c>
      <c r="AD172" t="s">
        <v>57</v>
      </c>
      <c r="AE172">
        <v>1</v>
      </c>
      <c r="AF172">
        <v>4</v>
      </c>
      <c r="AG172">
        <v>1</v>
      </c>
      <c r="AH172">
        <v>3</v>
      </c>
      <c r="AI172">
        <v>512</v>
      </c>
      <c r="AJ172">
        <v>512</v>
      </c>
      <c r="AK172">
        <v>174</v>
      </c>
      <c r="AL172" t="s">
        <v>196</v>
      </c>
      <c r="AM172">
        <v>1</v>
      </c>
      <c r="AN172" t="s">
        <v>51</v>
      </c>
      <c r="AO172" t="s">
        <v>67</v>
      </c>
      <c r="AP172" t="s">
        <v>68</v>
      </c>
      <c r="AQ172">
        <v>15</v>
      </c>
      <c r="AR172">
        <v>579</v>
      </c>
      <c r="AS172">
        <v>1159</v>
      </c>
      <c r="AT172">
        <v>2.456</v>
      </c>
      <c r="AU172">
        <v>6.01</v>
      </c>
      <c r="AV172" t="s">
        <v>628</v>
      </c>
      <c r="AX172" t="s">
        <v>629</v>
      </c>
    </row>
    <row r="173" spans="1:50" x14ac:dyDescent="0.25">
      <c r="A173" t="s">
        <v>630</v>
      </c>
      <c r="B173" t="s">
        <v>51</v>
      </c>
      <c r="C173">
        <v>0</v>
      </c>
      <c r="D173">
        <v>0</v>
      </c>
      <c r="F173">
        <v>0</v>
      </c>
      <c r="G173">
        <v>1</v>
      </c>
      <c r="H173">
        <v>1</v>
      </c>
      <c r="I173">
        <v>0</v>
      </c>
      <c r="J173">
        <v>2026</v>
      </c>
      <c r="K173">
        <v>0</v>
      </c>
      <c r="M173">
        <v>0</v>
      </c>
      <c r="N173">
        <v>0</v>
      </c>
      <c r="O173">
        <v>0</v>
      </c>
      <c r="P173">
        <v>0</v>
      </c>
      <c r="Q173">
        <v>1</v>
      </c>
      <c r="T173" t="s">
        <v>52</v>
      </c>
      <c r="U173" t="s">
        <v>53</v>
      </c>
      <c r="V173">
        <v>44</v>
      </c>
      <c r="W173" t="s">
        <v>54</v>
      </c>
      <c r="X173" t="s">
        <v>73</v>
      </c>
      <c r="Y173">
        <v>0</v>
      </c>
      <c r="Z173">
        <v>81.647000000000006</v>
      </c>
      <c r="AB173" t="s">
        <v>94</v>
      </c>
      <c r="AD173" t="s">
        <v>57</v>
      </c>
      <c r="AE173">
        <v>1</v>
      </c>
      <c r="AF173">
        <v>4</v>
      </c>
      <c r="AG173">
        <v>1</v>
      </c>
      <c r="AH173">
        <v>3</v>
      </c>
      <c r="AI173">
        <v>512</v>
      </c>
      <c r="AJ173">
        <v>512</v>
      </c>
      <c r="AK173">
        <v>196</v>
      </c>
      <c r="AL173" t="s">
        <v>88</v>
      </c>
      <c r="AM173">
        <v>1</v>
      </c>
      <c r="AN173" t="s">
        <v>51</v>
      </c>
      <c r="AO173" t="s">
        <v>67</v>
      </c>
      <c r="AP173" t="s">
        <v>68</v>
      </c>
      <c r="AQ173">
        <v>15</v>
      </c>
      <c r="AR173">
        <v>957</v>
      </c>
      <c r="AS173">
        <v>1914</v>
      </c>
      <c r="AT173">
        <v>2.3559999999999999</v>
      </c>
      <c r="AU173">
        <v>5.1280000000000001</v>
      </c>
      <c r="AV173" t="s">
        <v>631</v>
      </c>
      <c r="AX173" t="s">
        <v>632</v>
      </c>
    </row>
    <row r="174" spans="1:50" x14ac:dyDescent="0.25">
      <c r="A174" t="s">
        <v>633</v>
      </c>
      <c r="B174" t="s">
        <v>51</v>
      </c>
      <c r="C174">
        <v>0</v>
      </c>
      <c r="D174">
        <v>1</v>
      </c>
      <c r="F174">
        <v>0</v>
      </c>
      <c r="G174">
        <v>0</v>
      </c>
      <c r="H174">
        <v>0</v>
      </c>
      <c r="I174">
        <v>1</v>
      </c>
      <c r="J174">
        <v>1374</v>
      </c>
      <c r="K174">
        <v>0</v>
      </c>
      <c r="M174">
        <v>0</v>
      </c>
      <c r="N174">
        <v>1</v>
      </c>
      <c r="O174">
        <v>1</v>
      </c>
      <c r="P174">
        <v>1</v>
      </c>
      <c r="Q174">
        <v>0</v>
      </c>
      <c r="T174" t="s">
        <v>52</v>
      </c>
      <c r="U174" t="s">
        <v>93</v>
      </c>
      <c r="V174">
        <v>32</v>
      </c>
      <c r="W174" t="s">
        <v>54</v>
      </c>
      <c r="X174" t="s">
        <v>80</v>
      </c>
      <c r="Y174">
        <v>0</v>
      </c>
      <c r="Z174">
        <v>99.790334094000002</v>
      </c>
      <c r="AA174">
        <v>1.7272034566667001</v>
      </c>
      <c r="AB174" t="s">
        <v>118</v>
      </c>
      <c r="AD174" t="s">
        <v>57</v>
      </c>
      <c r="AE174">
        <v>1</v>
      </c>
      <c r="AF174">
        <v>4</v>
      </c>
      <c r="AG174">
        <v>1</v>
      </c>
      <c r="AH174">
        <v>3</v>
      </c>
      <c r="AI174">
        <v>448</v>
      </c>
      <c r="AJ174">
        <v>448</v>
      </c>
      <c r="AK174">
        <v>208</v>
      </c>
      <c r="AL174" t="s">
        <v>58</v>
      </c>
      <c r="AM174">
        <v>1</v>
      </c>
      <c r="AN174" t="s">
        <v>51</v>
      </c>
      <c r="AO174" t="s">
        <v>59</v>
      </c>
      <c r="AP174" t="s">
        <v>107</v>
      </c>
      <c r="AQ174">
        <v>11</v>
      </c>
      <c r="AR174">
        <v>65</v>
      </c>
      <c r="AS174">
        <v>179</v>
      </c>
      <c r="AT174">
        <v>1.44</v>
      </c>
      <c r="AU174">
        <v>3.77</v>
      </c>
      <c r="AV174" t="s">
        <v>634</v>
      </c>
      <c r="AX174" t="s">
        <v>635</v>
      </c>
    </row>
    <row r="175" spans="1:50" x14ac:dyDescent="0.25">
      <c r="A175" t="s">
        <v>636</v>
      </c>
      <c r="B175" t="s">
        <v>51</v>
      </c>
      <c r="C175">
        <v>0</v>
      </c>
      <c r="D175">
        <v>1</v>
      </c>
      <c r="F175">
        <v>0</v>
      </c>
      <c r="G175">
        <v>0</v>
      </c>
      <c r="H175">
        <v>0</v>
      </c>
      <c r="I175">
        <v>1</v>
      </c>
      <c r="J175">
        <v>1412</v>
      </c>
      <c r="K175">
        <v>0</v>
      </c>
      <c r="M175">
        <v>0</v>
      </c>
      <c r="N175">
        <v>1</v>
      </c>
      <c r="O175">
        <v>1</v>
      </c>
      <c r="P175">
        <v>1</v>
      </c>
      <c r="Q175">
        <v>0</v>
      </c>
      <c r="U175" t="s">
        <v>93</v>
      </c>
      <c r="V175">
        <v>45</v>
      </c>
      <c r="W175" t="s">
        <v>79</v>
      </c>
      <c r="X175" t="s">
        <v>111</v>
      </c>
      <c r="Y175">
        <v>0</v>
      </c>
      <c r="Z175">
        <v>73.481999999999999</v>
      </c>
      <c r="AB175" t="s">
        <v>94</v>
      </c>
      <c r="AC175" t="s">
        <v>102</v>
      </c>
      <c r="AD175" t="s">
        <v>57</v>
      </c>
      <c r="AE175">
        <v>1</v>
      </c>
      <c r="AF175">
        <v>5</v>
      </c>
      <c r="AG175">
        <v>1</v>
      </c>
      <c r="AH175">
        <v>1.5</v>
      </c>
      <c r="AI175">
        <v>512</v>
      </c>
      <c r="AJ175">
        <v>512</v>
      </c>
      <c r="AK175">
        <v>174</v>
      </c>
      <c r="AL175" t="s">
        <v>81</v>
      </c>
      <c r="AM175">
        <v>1</v>
      </c>
      <c r="AN175" t="s">
        <v>51</v>
      </c>
      <c r="AO175" t="s">
        <v>67</v>
      </c>
      <c r="AP175" t="s">
        <v>68</v>
      </c>
      <c r="AQ175">
        <v>15</v>
      </c>
      <c r="AR175">
        <v>284</v>
      </c>
      <c r="AS175">
        <v>568</v>
      </c>
      <c r="AT175">
        <v>2.3119999999999998</v>
      </c>
      <c r="AU175">
        <v>4.9240000000000004</v>
      </c>
      <c r="AV175" t="s">
        <v>520</v>
      </c>
      <c r="AX175" t="s">
        <v>637</v>
      </c>
    </row>
    <row r="176" spans="1:50" x14ac:dyDescent="0.25">
      <c r="A176" t="s">
        <v>638</v>
      </c>
      <c r="B176" t="s">
        <v>51</v>
      </c>
      <c r="C176">
        <v>0</v>
      </c>
      <c r="D176">
        <v>1</v>
      </c>
      <c r="F176">
        <v>0</v>
      </c>
      <c r="G176">
        <v>0</v>
      </c>
      <c r="H176">
        <v>0</v>
      </c>
      <c r="I176">
        <v>1</v>
      </c>
      <c r="J176">
        <v>1142</v>
      </c>
      <c r="K176">
        <v>0</v>
      </c>
      <c r="M176">
        <v>0</v>
      </c>
      <c r="N176">
        <v>1</v>
      </c>
      <c r="O176">
        <v>1</v>
      </c>
      <c r="P176">
        <v>1</v>
      </c>
      <c r="Q176">
        <v>0</v>
      </c>
      <c r="T176" t="s">
        <v>52</v>
      </c>
      <c r="U176" t="s">
        <v>93</v>
      </c>
      <c r="V176">
        <v>37</v>
      </c>
      <c r="W176" t="s">
        <v>54</v>
      </c>
      <c r="X176" t="s">
        <v>80</v>
      </c>
      <c r="Y176">
        <v>0</v>
      </c>
      <c r="Z176">
        <v>99.790334094000002</v>
      </c>
      <c r="AA176">
        <v>1.7272034566667001</v>
      </c>
      <c r="AB176" t="s">
        <v>118</v>
      </c>
      <c r="AD176" t="s">
        <v>57</v>
      </c>
      <c r="AE176">
        <v>1</v>
      </c>
      <c r="AF176">
        <v>4</v>
      </c>
      <c r="AG176">
        <v>1</v>
      </c>
      <c r="AH176">
        <v>1.5</v>
      </c>
      <c r="AI176">
        <v>448</v>
      </c>
      <c r="AJ176">
        <v>448</v>
      </c>
      <c r="AK176">
        <v>176</v>
      </c>
      <c r="AL176" t="s">
        <v>58</v>
      </c>
      <c r="AM176">
        <v>1</v>
      </c>
      <c r="AN176" t="s">
        <v>51</v>
      </c>
      <c r="AO176" t="s">
        <v>59</v>
      </c>
      <c r="AP176" t="s">
        <v>60</v>
      </c>
      <c r="AQ176">
        <v>11</v>
      </c>
      <c r="AR176">
        <v>69</v>
      </c>
      <c r="AS176">
        <v>181</v>
      </c>
      <c r="AT176">
        <v>1.33</v>
      </c>
      <c r="AU176">
        <v>4.3099999999999996</v>
      </c>
      <c r="AV176" t="s">
        <v>639</v>
      </c>
      <c r="AX176" t="s">
        <v>640</v>
      </c>
    </row>
    <row r="177" spans="1:50" x14ac:dyDescent="0.25">
      <c r="A177" t="s">
        <v>641</v>
      </c>
      <c r="B177" t="s">
        <v>51</v>
      </c>
      <c r="C177">
        <v>0</v>
      </c>
      <c r="D177">
        <v>1</v>
      </c>
      <c r="F177">
        <v>0</v>
      </c>
      <c r="G177">
        <v>0</v>
      </c>
      <c r="J177">
        <v>532</v>
      </c>
      <c r="K177">
        <v>0</v>
      </c>
      <c r="M177">
        <v>1298</v>
      </c>
      <c r="N177">
        <v>0</v>
      </c>
      <c r="O177">
        <v>0</v>
      </c>
      <c r="P177">
        <v>0</v>
      </c>
      <c r="Q177">
        <v>0</v>
      </c>
      <c r="T177" t="s">
        <v>64</v>
      </c>
      <c r="U177" t="s">
        <v>65</v>
      </c>
      <c r="V177">
        <v>62</v>
      </c>
      <c r="W177" t="s">
        <v>79</v>
      </c>
      <c r="X177" t="s">
        <v>55</v>
      </c>
      <c r="Y177">
        <v>0</v>
      </c>
      <c r="AD177" t="s">
        <v>57</v>
      </c>
      <c r="AE177">
        <v>1</v>
      </c>
      <c r="AF177">
        <v>4</v>
      </c>
      <c r="AG177">
        <v>1</v>
      </c>
      <c r="AH177">
        <v>1.5</v>
      </c>
      <c r="AI177">
        <v>512</v>
      </c>
      <c r="AJ177">
        <v>512</v>
      </c>
      <c r="AK177">
        <v>160</v>
      </c>
      <c r="AL177" t="s">
        <v>350</v>
      </c>
      <c r="AM177">
        <v>1.2</v>
      </c>
      <c r="AN177" t="s">
        <v>51</v>
      </c>
      <c r="AO177" t="s">
        <v>67</v>
      </c>
      <c r="AP177" t="s">
        <v>68</v>
      </c>
      <c r="AQ177">
        <v>15</v>
      </c>
      <c r="AR177">
        <v>482</v>
      </c>
      <c r="AS177">
        <v>965</v>
      </c>
      <c r="AT177">
        <v>2.2120000000000002</v>
      </c>
      <c r="AU177">
        <v>4.7519999999999998</v>
      </c>
      <c r="AV177" t="s">
        <v>642</v>
      </c>
      <c r="AX177" t="s">
        <v>643</v>
      </c>
    </row>
    <row r="178" spans="1:50" x14ac:dyDescent="0.25">
      <c r="A178" t="s">
        <v>644</v>
      </c>
      <c r="B178" t="s">
        <v>51</v>
      </c>
      <c r="C178">
        <v>0</v>
      </c>
      <c r="D178">
        <v>0</v>
      </c>
      <c r="F178">
        <v>0</v>
      </c>
      <c r="G178">
        <v>1</v>
      </c>
      <c r="H178">
        <v>1</v>
      </c>
      <c r="I178">
        <v>1</v>
      </c>
      <c r="J178">
        <v>2090</v>
      </c>
      <c r="K178">
        <v>0</v>
      </c>
      <c r="M178">
        <v>0</v>
      </c>
      <c r="N178">
        <v>1</v>
      </c>
      <c r="O178">
        <v>1</v>
      </c>
      <c r="P178">
        <v>0</v>
      </c>
      <c r="Q178">
        <v>1</v>
      </c>
      <c r="T178" t="s">
        <v>64</v>
      </c>
      <c r="U178" t="s">
        <v>72</v>
      </c>
      <c r="V178">
        <v>64</v>
      </c>
      <c r="W178" t="s">
        <v>79</v>
      </c>
      <c r="X178" t="s">
        <v>80</v>
      </c>
      <c r="Y178">
        <v>0</v>
      </c>
      <c r="Z178">
        <v>83.460999999999999</v>
      </c>
      <c r="AB178" t="s">
        <v>118</v>
      </c>
      <c r="AD178" t="s">
        <v>57</v>
      </c>
      <c r="AE178">
        <v>1</v>
      </c>
      <c r="AF178">
        <v>4</v>
      </c>
      <c r="AG178">
        <v>1</v>
      </c>
      <c r="AH178">
        <v>3</v>
      </c>
      <c r="AI178">
        <v>512</v>
      </c>
      <c r="AJ178">
        <v>512</v>
      </c>
      <c r="AK178">
        <v>182</v>
      </c>
      <c r="AL178" t="s">
        <v>81</v>
      </c>
      <c r="AM178">
        <v>1</v>
      </c>
      <c r="AN178" t="s">
        <v>51</v>
      </c>
      <c r="AO178" t="s">
        <v>67</v>
      </c>
      <c r="AP178" t="s">
        <v>68</v>
      </c>
      <c r="AQ178">
        <v>15</v>
      </c>
      <c r="AR178">
        <v>614</v>
      </c>
      <c r="AS178">
        <v>1229</v>
      </c>
      <c r="AT178">
        <v>2.4279999999999999</v>
      </c>
      <c r="AU178">
        <v>5.6689999999999996</v>
      </c>
      <c r="AV178" t="s">
        <v>315</v>
      </c>
      <c r="AX178" t="s">
        <v>645</v>
      </c>
    </row>
    <row r="179" spans="1:50" x14ac:dyDescent="0.25">
      <c r="A179" t="s">
        <v>646</v>
      </c>
      <c r="B179" t="s">
        <v>51</v>
      </c>
      <c r="C179">
        <v>0</v>
      </c>
      <c r="D179">
        <v>0</v>
      </c>
      <c r="F179">
        <v>0</v>
      </c>
      <c r="G179">
        <v>1</v>
      </c>
      <c r="H179">
        <v>0</v>
      </c>
      <c r="I179">
        <v>0</v>
      </c>
      <c r="J179">
        <v>2494</v>
      </c>
      <c r="K179">
        <v>0</v>
      </c>
      <c r="M179">
        <v>0</v>
      </c>
      <c r="N179">
        <v>1</v>
      </c>
      <c r="O179">
        <v>1</v>
      </c>
      <c r="P179">
        <v>1</v>
      </c>
      <c r="Q179">
        <v>1</v>
      </c>
      <c r="T179" t="s">
        <v>52</v>
      </c>
      <c r="U179" t="s">
        <v>72</v>
      </c>
      <c r="V179">
        <v>44</v>
      </c>
      <c r="W179" t="s">
        <v>54</v>
      </c>
      <c r="X179" t="s">
        <v>80</v>
      </c>
      <c r="Y179">
        <v>0</v>
      </c>
      <c r="Z179">
        <v>68.946049010400003</v>
      </c>
      <c r="AA179">
        <v>1.7526035074999999</v>
      </c>
      <c r="AB179" t="s">
        <v>74</v>
      </c>
      <c r="AD179" t="s">
        <v>57</v>
      </c>
      <c r="AE179">
        <v>1</v>
      </c>
      <c r="AF179">
        <v>5</v>
      </c>
      <c r="AG179">
        <v>1</v>
      </c>
      <c r="AH179">
        <v>3</v>
      </c>
      <c r="AI179">
        <v>448</v>
      </c>
      <c r="AJ179">
        <v>448</v>
      </c>
      <c r="AK179">
        <v>160</v>
      </c>
      <c r="AL179" t="s">
        <v>230</v>
      </c>
      <c r="AM179">
        <v>1.1000000238419001</v>
      </c>
      <c r="AN179" t="s">
        <v>51</v>
      </c>
      <c r="AO179" t="s">
        <v>59</v>
      </c>
      <c r="AP179" t="s">
        <v>124</v>
      </c>
      <c r="AQ179">
        <v>11</v>
      </c>
      <c r="AR179">
        <v>84</v>
      </c>
      <c r="AS179">
        <v>225</v>
      </c>
      <c r="AT179">
        <v>1.47</v>
      </c>
      <c r="AU179">
        <v>4.09</v>
      </c>
      <c r="AV179" t="s">
        <v>647</v>
      </c>
      <c r="AX179" t="s">
        <v>648</v>
      </c>
    </row>
    <row r="180" spans="1:50" x14ac:dyDescent="0.25">
      <c r="A180" t="s">
        <v>649</v>
      </c>
      <c r="B180" t="s">
        <v>51</v>
      </c>
      <c r="C180">
        <v>0</v>
      </c>
      <c r="D180">
        <v>0</v>
      </c>
      <c r="F180">
        <v>0</v>
      </c>
      <c r="G180">
        <v>0</v>
      </c>
      <c r="H180">
        <v>0</v>
      </c>
      <c r="I180">
        <v>1</v>
      </c>
      <c r="J180">
        <v>1698</v>
      </c>
      <c r="K180">
        <v>0</v>
      </c>
      <c r="M180">
        <v>0</v>
      </c>
      <c r="N180">
        <v>0</v>
      </c>
      <c r="O180">
        <v>0</v>
      </c>
      <c r="P180">
        <v>0</v>
      </c>
      <c r="Q180">
        <v>0</v>
      </c>
      <c r="T180" t="s">
        <v>64</v>
      </c>
      <c r="U180" t="s">
        <v>65</v>
      </c>
      <c r="V180">
        <v>38</v>
      </c>
      <c r="W180" t="s">
        <v>54</v>
      </c>
      <c r="X180" t="s">
        <v>55</v>
      </c>
      <c r="Y180">
        <v>0</v>
      </c>
      <c r="AD180" t="s">
        <v>57</v>
      </c>
      <c r="AE180">
        <v>1</v>
      </c>
      <c r="AF180">
        <v>4</v>
      </c>
      <c r="AG180">
        <v>1</v>
      </c>
      <c r="AH180">
        <v>3</v>
      </c>
      <c r="AI180">
        <v>512</v>
      </c>
      <c r="AJ180">
        <v>512</v>
      </c>
      <c r="AK180">
        <v>164</v>
      </c>
      <c r="AL180" t="s">
        <v>119</v>
      </c>
      <c r="AM180">
        <v>1.3</v>
      </c>
      <c r="AN180" t="s">
        <v>51</v>
      </c>
      <c r="AO180" t="s">
        <v>67</v>
      </c>
      <c r="AP180" t="s">
        <v>68</v>
      </c>
      <c r="AQ180">
        <v>15</v>
      </c>
      <c r="AR180">
        <v>550</v>
      </c>
      <c r="AS180">
        <v>1101</v>
      </c>
      <c r="AT180">
        <v>2.5680000000000001</v>
      </c>
      <c r="AU180">
        <v>5.63</v>
      </c>
      <c r="AV180" t="s">
        <v>650</v>
      </c>
      <c r="AX180" t="s">
        <v>651</v>
      </c>
    </row>
    <row r="181" spans="1:50" x14ac:dyDescent="0.25">
      <c r="A181" t="s">
        <v>652</v>
      </c>
      <c r="B181" t="s">
        <v>51</v>
      </c>
      <c r="C181">
        <v>0</v>
      </c>
      <c r="D181">
        <v>1</v>
      </c>
      <c r="F181">
        <v>0</v>
      </c>
      <c r="G181">
        <v>1</v>
      </c>
      <c r="H181">
        <v>0</v>
      </c>
      <c r="I181">
        <v>0</v>
      </c>
      <c r="J181">
        <v>1701</v>
      </c>
      <c r="K181">
        <v>616</v>
      </c>
      <c r="M181">
        <v>0</v>
      </c>
      <c r="N181">
        <v>1</v>
      </c>
      <c r="O181">
        <v>1</v>
      </c>
      <c r="P181">
        <v>1</v>
      </c>
      <c r="Q181">
        <v>1</v>
      </c>
      <c r="U181" t="s">
        <v>72</v>
      </c>
      <c r="V181">
        <v>30</v>
      </c>
      <c r="W181" t="s">
        <v>54</v>
      </c>
      <c r="X181" t="s">
        <v>80</v>
      </c>
      <c r="Y181">
        <v>0</v>
      </c>
      <c r="Z181">
        <v>104.32625837099999</v>
      </c>
      <c r="AB181" t="s">
        <v>56</v>
      </c>
      <c r="AD181" t="s">
        <v>57</v>
      </c>
      <c r="AE181">
        <v>1</v>
      </c>
      <c r="AF181">
        <v>5</v>
      </c>
      <c r="AG181">
        <v>0</v>
      </c>
      <c r="AH181">
        <v>1.5</v>
      </c>
      <c r="AI181">
        <v>448</v>
      </c>
      <c r="AJ181">
        <v>448</v>
      </c>
      <c r="AK181">
        <v>160</v>
      </c>
      <c r="AL181" t="s">
        <v>385</v>
      </c>
      <c r="AM181">
        <v>1.1000000238419001</v>
      </c>
      <c r="AN181" t="s">
        <v>51</v>
      </c>
      <c r="AO181" t="s">
        <v>59</v>
      </c>
      <c r="AP181" t="s">
        <v>60</v>
      </c>
      <c r="AQ181">
        <v>11</v>
      </c>
      <c r="AR181">
        <v>349</v>
      </c>
      <c r="AS181">
        <v>766</v>
      </c>
      <c r="AT181">
        <v>1.33</v>
      </c>
      <c r="AU181">
        <v>4.12</v>
      </c>
      <c r="AV181" t="s">
        <v>653</v>
      </c>
      <c r="AX181" t="s">
        <v>654</v>
      </c>
    </row>
    <row r="182" spans="1:50" x14ac:dyDescent="0.25">
      <c r="A182" t="s">
        <v>655</v>
      </c>
      <c r="B182" t="s">
        <v>51</v>
      </c>
      <c r="C182">
        <v>0</v>
      </c>
      <c r="D182">
        <v>1</v>
      </c>
      <c r="F182">
        <v>0</v>
      </c>
      <c r="G182">
        <v>1</v>
      </c>
      <c r="H182">
        <v>0</v>
      </c>
      <c r="I182">
        <v>1</v>
      </c>
      <c r="J182">
        <v>496</v>
      </c>
      <c r="K182">
        <v>612</v>
      </c>
      <c r="M182">
        <v>634</v>
      </c>
      <c r="N182">
        <v>1</v>
      </c>
      <c r="O182">
        <v>1</v>
      </c>
      <c r="P182">
        <v>0</v>
      </c>
      <c r="Q182">
        <v>1</v>
      </c>
      <c r="T182" t="s">
        <v>64</v>
      </c>
      <c r="U182" t="s">
        <v>72</v>
      </c>
      <c r="V182">
        <v>68</v>
      </c>
      <c r="W182" t="s">
        <v>79</v>
      </c>
      <c r="X182" t="s">
        <v>55</v>
      </c>
      <c r="Y182">
        <v>0</v>
      </c>
      <c r="Z182">
        <v>66.224494444200005</v>
      </c>
      <c r="AA182">
        <v>1.5494031008333</v>
      </c>
      <c r="AB182" t="s">
        <v>94</v>
      </c>
      <c r="AD182" t="s">
        <v>57</v>
      </c>
      <c r="AE182">
        <v>1</v>
      </c>
      <c r="AF182">
        <v>4</v>
      </c>
      <c r="AG182">
        <v>1</v>
      </c>
      <c r="AH182">
        <v>3</v>
      </c>
      <c r="AI182">
        <v>448</v>
      </c>
      <c r="AJ182">
        <v>448</v>
      </c>
      <c r="AK182">
        <v>176</v>
      </c>
      <c r="AL182" t="s">
        <v>75</v>
      </c>
      <c r="AM182">
        <v>1</v>
      </c>
      <c r="AN182" t="s">
        <v>51</v>
      </c>
      <c r="AO182" t="s">
        <v>59</v>
      </c>
      <c r="AP182" t="s">
        <v>107</v>
      </c>
      <c r="AQ182">
        <v>11</v>
      </c>
      <c r="AR182">
        <v>63</v>
      </c>
      <c r="AS182">
        <v>170</v>
      </c>
      <c r="AT182">
        <v>1.44</v>
      </c>
      <c r="AU182">
        <v>3.77</v>
      </c>
      <c r="AV182" t="s">
        <v>656</v>
      </c>
      <c r="AX182" t="s">
        <v>657</v>
      </c>
    </row>
    <row r="183" spans="1:50" x14ac:dyDescent="0.25">
      <c r="A183" t="s">
        <v>658</v>
      </c>
      <c r="B183" t="s">
        <v>51</v>
      </c>
      <c r="C183">
        <v>0</v>
      </c>
      <c r="D183">
        <v>1</v>
      </c>
      <c r="F183">
        <v>0</v>
      </c>
      <c r="G183">
        <v>1</v>
      </c>
      <c r="H183">
        <v>0</v>
      </c>
      <c r="I183">
        <v>1</v>
      </c>
      <c r="J183">
        <v>3332</v>
      </c>
      <c r="K183">
        <v>0</v>
      </c>
      <c r="M183">
        <v>0</v>
      </c>
      <c r="N183">
        <v>1</v>
      </c>
      <c r="O183">
        <v>1</v>
      </c>
      <c r="P183">
        <v>1</v>
      </c>
      <c r="Q183">
        <v>1</v>
      </c>
      <c r="T183" t="s">
        <v>52</v>
      </c>
      <c r="U183" t="s">
        <v>72</v>
      </c>
      <c r="V183">
        <v>36</v>
      </c>
      <c r="W183" t="s">
        <v>54</v>
      </c>
      <c r="X183" t="s">
        <v>73</v>
      </c>
      <c r="Y183">
        <v>0</v>
      </c>
      <c r="Z183">
        <v>68.039000000000001</v>
      </c>
      <c r="AB183" t="s">
        <v>74</v>
      </c>
      <c r="AD183" t="s">
        <v>57</v>
      </c>
      <c r="AE183">
        <v>1</v>
      </c>
      <c r="AF183">
        <v>5</v>
      </c>
      <c r="AG183">
        <v>1</v>
      </c>
      <c r="AH183">
        <v>3</v>
      </c>
      <c r="AI183">
        <v>512</v>
      </c>
      <c r="AJ183">
        <v>512</v>
      </c>
      <c r="AK183">
        <v>96</v>
      </c>
      <c r="AL183" t="s">
        <v>66</v>
      </c>
      <c r="AM183">
        <v>1.6</v>
      </c>
      <c r="AN183" t="s">
        <v>51</v>
      </c>
      <c r="AO183" t="s">
        <v>67</v>
      </c>
      <c r="AP183" t="s">
        <v>659</v>
      </c>
      <c r="AQ183">
        <v>15</v>
      </c>
      <c r="AR183">
        <v>414</v>
      </c>
      <c r="AS183">
        <v>829</v>
      </c>
      <c r="AT183">
        <v>2.524</v>
      </c>
      <c r="AU183">
        <v>6.2</v>
      </c>
      <c r="AV183" t="s">
        <v>660</v>
      </c>
      <c r="AX183" t="s">
        <v>661</v>
      </c>
    </row>
    <row r="184" spans="1:50" x14ac:dyDescent="0.25">
      <c r="A184" t="s">
        <v>662</v>
      </c>
      <c r="B184" t="s">
        <v>51</v>
      </c>
      <c r="C184">
        <v>0</v>
      </c>
      <c r="D184">
        <v>0</v>
      </c>
      <c r="F184">
        <v>0</v>
      </c>
      <c r="G184">
        <v>1</v>
      </c>
      <c r="H184">
        <v>0</v>
      </c>
      <c r="I184">
        <v>0</v>
      </c>
      <c r="J184">
        <v>1851</v>
      </c>
      <c r="K184">
        <v>0</v>
      </c>
      <c r="M184">
        <v>0</v>
      </c>
      <c r="N184">
        <v>0</v>
      </c>
      <c r="O184">
        <v>0</v>
      </c>
      <c r="P184">
        <v>0</v>
      </c>
      <c r="Q184">
        <v>1</v>
      </c>
      <c r="T184" t="s">
        <v>52</v>
      </c>
      <c r="U184" t="s">
        <v>53</v>
      </c>
      <c r="V184">
        <v>69</v>
      </c>
      <c r="W184" t="s">
        <v>79</v>
      </c>
      <c r="X184" t="s">
        <v>80</v>
      </c>
      <c r="Y184">
        <v>0</v>
      </c>
      <c r="Z184">
        <v>57.152999999999999</v>
      </c>
      <c r="AB184" t="s">
        <v>74</v>
      </c>
      <c r="AD184" t="s">
        <v>57</v>
      </c>
      <c r="AE184">
        <v>1</v>
      </c>
      <c r="AF184">
        <v>4</v>
      </c>
      <c r="AG184">
        <v>1</v>
      </c>
      <c r="AH184">
        <v>3</v>
      </c>
      <c r="AI184">
        <v>512</v>
      </c>
      <c r="AJ184">
        <v>512</v>
      </c>
      <c r="AK184">
        <v>142</v>
      </c>
      <c r="AL184" t="s">
        <v>81</v>
      </c>
      <c r="AM184">
        <v>1</v>
      </c>
      <c r="AN184" t="s">
        <v>51</v>
      </c>
      <c r="AO184" t="s">
        <v>67</v>
      </c>
      <c r="AP184" t="s">
        <v>68</v>
      </c>
      <c r="AQ184">
        <v>15</v>
      </c>
      <c r="AR184">
        <v>392</v>
      </c>
      <c r="AS184">
        <v>784</v>
      </c>
      <c r="AT184">
        <v>2.6040000000000001</v>
      </c>
      <c r="AU184">
        <v>6.0519999999999996</v>
      </c>
      <c r="AV184" t="s">
        <v>663</v>
      </c>
      <c r="AX184" t="s">
        <v>664</v>
      </c>
    </row>
    <row r="185" spans="1:50" x14ac:dyDescent="0.25">
      <c r="A185" t="s">
        <v>665</v>
      </c>
      <c r="B185" t="s">
        <v>51</v>
      </c>
      <c r="C185">
        <v>0</v>
      </c>
      <c r="D185">
        <v>1</v>
      </c>
      <c r="F185">
        <v>0</v>
      </c>
      <c r="G185">
        <v>1</v>
      </c>
      <c r="H185">
        <v>1</v>
      </c>
      <c r="I185">
        <v>1</v>
      </c>
      <c r="J185">
        <v>1801</v>
      </c>
      <c r="K185">
        <v>0</v>
      </c>
      <c r="M185">
        <v>0</v>
      </c>
      <c r="N185">
        <v>0</v>
      </c>
      <c r="O185">
        <v>0</v>
      </c>
      <c r="P185">
        <v>0</v>
      </c>
      <c r="Q185">
        <v>1</v>
      </c>
      <c r="T185" t="s">
        <v>64</v>
      </c>
      <c r="U185" t="s">
        <v>53</v>
      </c>
      <c r="V185">
        <v>42</v>
      </c>
      <c r="W185" t="s">
        <v>54</v>
      </c>
      <c r="X185" t="s">
        <v>80</v>
      </c>
      <c r="Y185">
        <v>0</v>
      </c>
      <c r="Z185">
        <v>67.131679299599995</v>
      </c>
      <c r="AA185">
        <v>1.6764033549999999</v>
      </c>
      <c r="AB185" t="s">
        <v>74</v>
      </c>
      <c r="AD185" t="s">
        <v>57</v>
      </c>
      <c r="AE185">
        <v>1</v>
      </c>
      <c r="AF185">
        <v>4</v>
      </c>
      <c r="AG185">
        <v>1</v>
      </c>
      <c r="AH185">
        <v>3</v>
      </c>
      <c r="AI185">
        <v>448</v>
      </c>
      <c r="AJ185">
        <v>448</v>
      </c>
      <c r="AK185">
        <v>160</v>
      </c>
      <c r="AL185" t="s">
        <v>123</v>
      </c>
      <c r="AM185">
        <v>1.1000000238419001</v>
      </c>
      <c r="AN185" t="s">
        <v>51</v>
      </c>
      <c r="AO185" t="s">
        <v>59</v>
      </c>
      <c r="AP185" t="s">
        <v>124</v>
      </c>
      <c r="AQ185">
        <v>11</v>
      </c>
      <c r="AR185">
        <v>46</v>
      </c>
      <c r="AS185">
        <v>127</v>
      </c>
      <c r="AT185">
        <v>1.44</v>
      </c>
      <c r="AU185">
        <v>4.09</v>
      </c>
      <c r="AV185" t="s">
        <v>666</v>
      </c>
      <c r="AX185" t="s">
        <v>667</v>
      </c>
    </row>
    <row r="186" spans="1:50" x14ac:dyDescent="0.25">
      <c r="A186" t="s">
        <v>668</v>
      </c>
      <c r="B186" t="s">
        <v>51</v>
      </c>
      <c r="C186">
        <v>0</v>
      </c>
      <c r="D186">
        <v>0</v>
      </c>
      <c r="F186">
        <v>0</v>
      </c>
      <c r="G186">
        <v>0</v>
      </c>
      <c r="H186">
        <v>0</v>
      </c>
      <c r="I186">
        <v>1</v>
      </c>
      <c r="J186">
        <v>1495</v>
      </c>
      <c r="K186">
        <v>0</v>
      </c>
      <c r="M186">
        <v>0</v>
      </c>
      <c r="N186">
        <v>1</v>
      </c>
      <c r="O186">
        <v>1</v>
      </c>
      <c r="P186">
        <v>1</v>
      </c>
      <c r="Q186">
        <v>0</v>
      </c>
      <c r="S186">
        <v>15</v>
      </c>
      <c r="U186" t="s">
        <v>93</v>
      </c>
      <c r="V186">
        <v>45</v>
      </c>
      <c r="W186" t="s">
        <v>54</v>
      </c>
      <c r="X186" t="s">
        <v>80</v>
      </c>
      <c r="Y186">
        <v>0</v>
      </c>
      <c r="Z186">
        <v>65.771000000000001</v>
      </c>
      <c r="AB186" t="s">
        <v>74</v>
      </c>
      <c r="AC186" t="s">
        <v>102</v>
      </c>
      <c r="AD186" t="s">
        <v>57</v>
      </c>
      <c r="AE186">
        <v>1</v>
      </c>
      <c r="AF186">
        <v>5</v>
      </c>
      <c r="AG186">
        <v>1</v>
      </c>
      <c r="AH186">
        <v>3</v>
      </c>
      <c r="AI186">
        <v>512</v>
      </c>
      <c r="AJ186">
        <v>512</v>
      </c>
      <c r="AK186">
        <v>142</v>
      </c>
      <c r="AL186" t="s">
        <v>128</v>
      </c>
      <c r="AM186">
        <v>1.2</v>
      </c>
      <c r="AN186" t="s">
        <v>51</v>
      </c>
      <c r="AO186" t="s">
        <v>67</v>
      </c>
      <c r="AP186" t="s">
        <v>114</v>
      </c>
      <c r="AQ186">
        <v>15</v>
      </c>
      <c r="AR186">
        <v>658</v>
      </c>
      <c r="AS186">
        <v>1316</v>
      </c>
      <c r="AT186">
        <v>2.4</v>
      </c>
      <c r="AU186">
        <v>5.3109999999999999</v>
      </c>
      <c r="AV186" t="s">
        <v>669</v>
      </c>
      <c r="AX186" t="s">
        <v>670</v>
      </c>
    </row>
    <row r="187" spans="1:50" x14ac:dyDescent="0.25">
      <c r="A187" t="s">
        <v>671</v>
      </c>
      <c r="B187" t="s">
        <v>51</v>
      </c>
      <c r="C187">
        <v>0</v>
      </c>
      <c r="D187">
        <v>1</v>
      </c>
      <c r="F187">
        <v>0</v>
      </c>
      <c r="G187">
        <v>0</v>
      </c>
      <c r="H187">
        <v>1</v>
      </c>
      <c r="I187">
        <v>0</v>
      </c>
      <c r="J187">
        <v>1167</v>
      </c>
      <c r="K187">
        <v>0</v>
      </c>
      <c r="M187">
        <v>0</v>
      </c>
      <c r="N187">
        <v>0</v>
      </c>
      <c r="O187">
        <v>0</v>
      </c>
      <c r="P187">
        <v>0</v>
      </c>
      <c r="Q187">
        <v>0</v>
      </c>
      <c r="T187" t="s">
        <v>64</v>
      </c>
      <c r="U187" t="s">
        <v>65</v>
      </c>
      <c r="V187">
        <v>51</v>
      </c>
      <c r="W187" t="s">
        <v>54</v>
      </c>
      <c r="X187" t="s">
        <v>80</v>
      </c>
      <c r="Y187">
        <v>0</v>
      </c>
      <c r="AD187" t="s">
        <v>57</v>
      </c>
      <c r="AE187">
        <v>1</v>
      </c>
      <c r="AF187">
        <v>4</v>
      </c>
      <c r="AG187">
        <v>1</v>
      </c>
      <c r="AH187">
        <v>3</v>
      </c>
      <c r="AI187">
        <v>448</v>
      </c>
      <c r="AJ187">
        <v>448</v>
      </c>
      <c r="AK187">
        <v>208</v>
      </c>
      <c r="AL187" t="s">
        <v>75</v>
      </c>
      <c r="AM187">
        <v>1</v>
      </c>
      <c r="AN187" t="s">
        <v>51</v>
      </c>
      <c r="AO187" t="s">
        <v>59</v>
      </c>
      <c r="AP187" t="s">
        <v>107</v>
      </c>
      <c r="AQ187">
        <v>15</v>
      </c>
      <c r="AR187">
        <v>57</v>
      </c>
      <c r="AS187">
        <v>158</v>
      </c>
      <c r="AT187">
        <v>1.44</v>
      </c>
      <c r="AU187">
        <v>3.77</v>
      </c>
      <c r="AV187" t="s">
        <v>672</v>
      </c>
      <c r="AX187" t="s">
        <v>673</v>
      </c>
    </row>
    <row r="188" spans="1:50" x14ac:dyDescent="0.25">
      <c r="A188" t="s">
        <v>674</v>
      </c>
      <c r="B188" t="s">
        <v>51</v>
      </c>
      <c r="C188">
        <v>0</v>
      </c>
      <c r="D188">
        <v>1</v>
      </c>
      <c r="F188">
        <v>0</v>
      </c>
      <c r="G188">
        <v>1</v>
      </c>
      <c r="H188">
        <v>0</v>
      </c>
      <c r="I188">
        <v>1</v>
      </c>
      <c r="J188">
        <v>2217</v>
      </c>
      <c r="K188">
        <v>0</v>
      </c>
      <c r="M188">
        <v>0</v>
      </c>
      <c r="N188">
        <v>0</v>
      </c>
      <c r="O188">
        <v>0</v>
      </c>
      <c r="P188">
        <v>0</v>
      </c>
      <c r="Q188">
        <v>1</v>
      </c>
      <c r="T188" t="s">
        <v>289</v>
      </c>
      <c r="U188" t="s">
        <v>53</v>
      </c>
      <c r="V188">
        <v>68</v>
      </c>
      <c r="W188" t="s">
        <v>79</v>
      </c>
      <c r="X188" t="s">
        <v>80</v>
      </c>
      <c r="Y188">
        <v>0</v>
      </c>
      <c r="Z188">
        <v>86.183000000000007</v>
      </c>
      <c r="AB188" t="s">
        <v>118</v>
      </c>
      <c r="AD188" t="s">
        <v>57</v>
      </c>
      <c r="AE188">
        <v>1</v>
      </c>
      <c r="AF188">
        <v>4</v>
      </c>
      <c r="AG188">
        <v>1</v>
      </c>
      <c r="AH188">
        <v>3</v>
      </c>
      <c r="AI188">
        <v>512</v>
      </c>
      <c r="AJ188">
        <v>512</v>
      </c>
      <c r="AK188">
        <v>190</v>
      </c>
      <c r="AL188" t="s">
        <v>350</v>
      </c>
      <c r="AM188">
        <v>1</v>
      </c>
      <c r="AN188" t="s">
        <v>51</v>
      </c>
      <c r="AO188" t="s">
        <v>67</v>
      </c>
      <c r="AP188" t="s">
        <v>68</v>
      </c>
      <c r="AQ188">
        <v>15</v>
      </c>
      <c r="AR188">
        <v>2048</v>
      </c>
      <c r="AS188">
        <v>4096</v>
      </c>
      <c r="AT188">
        <v>2.3239999999999998</v>
      </c>
      <c r="AU188">
        <v>5.0919999999999996</v>
      </c>
      <c r="AV188" t="s">
        <v>675</v>
      </c>
      <c r="AX188" t="s">
        <v>676</v>
      </c>
    </row>
    <row r="189" spans="1:50" x14ac:dyDescent="0.25">
      <c r="A189" t="s">
        <v>677</v>
      </c>
      <c r="B189" t="s">
        <v>51</v>
      </c>
      <c r="C189">
        <v>0</v>
      </c>
      <c r="D189">
        <v>0</v>
      </c>
      <c r="F189">
        <v>0</v>
      </c>
      <c r="G189">
        <v>0</v>
      </c>
      <c r="H189">
        <v>0</v>
      </c>
      <c r="I189">
        <v>0</v>
      </c>
      <c r="J189">
        <v>2992</v>
      </c>
      <c r="K189">
        <v>0</v>
      </c>
      <c r="M189">
        <v>0</v>
      </c>
      <c r="N189">
        <v>0</v>
      </c>
      <c r="O189">
        <v>0</v>
      </c>
      <c r="P189">
        <v>0</v>
      </c>
      <c r="Q189">
        <v>0</v>
      </c>
      <c r="T189" t="s">
        <v>64</v>
      </c>
      <c r="U189" t="s">
        <v>65</v>
      </c>
      <c r="V189">
        <v>42</v>
      </c>
      <c r="W189" t="s">
        <v>54</v>
      </c>
      <c r="X189" t="s">
        <v>80</v>
      </c>
      <c r="Y189">
        <v>0</v>
      </c>
      <c r="AD189" t="s">
        <v>57</v>
      </c>
      <c r="AE189">
        <v>1</v>
      </c>
      <c r="AF189">
        <v>5</v>
      </c>
      <c r="AG189">
        <v>1</v>
      </c>
      <c r="AH189">
        <v>1.5</v>
      </c>
      <c r="AI189">
        <v>448</v>
      </c>
      <c r="AJ189">
        <v>448</v>
      </c>
      <c r="AK189">
        <v>160</v>
      </c>
      <c r="AL189" t="s">
        <v>58</v>
      </c>
      <c r="AM189">
        <v>1.1000000238419001</v>
      </c>
      <c r="AN189" t="s">
        <v>51</v>
      </c>
      <c r="AO189" t="s">
        <v>59</v>
      </c>
      <c r="AP189" t="s">
        <v>60</v>
      </c>
      <c r="AQ189">
        <v>15</v>
      </c>
      <c r="AR189">
        <v>61</v>
      </c>
      <c r="AS189">
        <v>167</v>
      </c>
      <c r="AT189">
        <v>1.36</v>
      </c>
      <c r="AU189">
        <v>4.12</v>
      </c>
      <c r="AV189" t="s">
        <v>678</v>
      </c>
      <c r="AX189" t="s">
        <v>679</v>
      </c>
    </row>
    <row r="190" spans="1:50" x14ac:dyDescent="0.25">
      <c r="A190" t="s">
        <v>680</v>
      </c>
      <c r="B190" t="s">
        <v>51</v>
      </c>
      <c r="C190">
        <v>0</v>
      </c>
      <c r="D190">
        <v>0</v>
      </c>
      <c r="F190">
        <v>0</v>
      </c>
      <c r="G190">
        <v>0</v>
      </c>
      <c r="H190">
        <v>0</v>
      </c>
      <c r="I190">
        <v>0</v>
      </c>
      <c r="J190">
        <v>422</v>
      </c>
      <c r="K190">
        <v>0</v>
      </c>
      <c r="M190">
        <v>0</v>
      </c>
      <c r="N190">
        <v>1</v>
      </c>
      <c r="O190">
        <v>1</v>
      </c>
      <c r="P190">
        <v>1</v>
      </c>
      <c r="Q190">
        <v>0</v>
      </c>
      <c r="T190" t="s">
        <v>52</v>
      </c>
      <c r="U190" t="s">
        <v>93</v>
      </c>
      <c r="V190">
        <v>60</v>
      </c>
      <c r="W190" t="s">
        <v>79</v>
      </c>
      <c r="X190" t="s">
        <v>80</v>
      </c>
      <c r="Y190">
        <v>0</v>
      </c>
      <c r="Z190">
        <v>90.72</v>
      </c>
      <c r="AB190" t="s">
        <v>118</v>
      </c>
      <c r="AD190" t="s">
        <v>57</v>
      </c>
      <c r="AE190">
        <v>1</v>
      </c>
      <c r="AF190">
        <v>4</v>
      </c>
      <c r="AG190">
        <v>1</v>
      </c>
      <c r="AH190">
        <v>1.5</v>
      </c>
      <c r="AI190">
        <v>512</v>
      </c>
      <c r="AJ190">
        <v>512</v>
      </c>
      <c r="AK190">
        <v>174</v>
      </c>
      <c r="AL190" t="s">
        <v>88</v>
      </c>
      <c r="AM190">
        <v>1</v>
      </c>
      <c r="AN190" t="s">
        <v>51</v>
      </c>
      <c r="AO190" t="s">
        <v>67</v>
      </c>
      <c r="AP190" t="s">
        <v>89</v>
      </c>
      <c r="AQ190">
        <v>15</v>
      </c>
      <c r="AR190">
        <v>440</v>
      </c>
      <c r="AS190">
        <v>880</v>
      </c>
      <c r="AT190">
        <v>2.4359999999999999</v>
      </c>
      <c r="AU190">
        <v>5.2839999999999998</v>
      </c>
      <c r="AV190" t="s">
        <v>681</v>
      </c>
      <c r="AX190" t="s">
        <v>682</v>
      </c>
    </row>
    <row r="191" spans="1:50" x14ac:dyDescent="0.25">
      <c r="A191" t="s">
        <v>683</v>
      </c>
      <c r="B191" t="s">
        <v>51</v>
      </c>
      <c r="C191">
        <v>0</v>
      </c>
      <c r="D191">
        <v>0</v>
      </c>
      <c r="F191">
        <v>0</v>
      </c>
      <c r="G191">
        <v>1</v>
      </c>
      <c r="H191">
        <v>1</v>
      </c>
      <c r="I191">
        <v>0</v>
      </c>
      <c r="J191">
        <v>1858</v>
      </c>
      <c r="K191">
        <v>0</v>
      </c>
      <c r="M191">
        <v>0</v>
      </c>
      <c r="N191">
        <v>0</v>
      </c>
      <c r="O191">
        <v>0</v>
      </c>
      <c r="P191">
        <v>0</v>
      </c>
      <c r="Q191">
        <v>1</v>
      </c>
      <c r="U191" t="s">
        <v>53</v>
      </c>
      <c r="V191">
        <v>42</v>
      </c>
      <c r="W191" t="s">
        <v>54</v>
      </c>
      <c r="X191" t="s">
        <v>80</v>
      </c>
      <c r="Y191">
        <v>0</v>
      </c>
      <c r="Z191">
        <v>95.254409816999996</v>
      </c>
      <c r="AA191">
        <v>1.6764033549999999</v>
      </c>
      <c r="AB191" t="s">
        <v>118</v>
      </c>
      <c r="AD191" t="s">
        <v>57</v>
      </c>
      <c r="AE191">
        <v>1</v>
      </c>
      <c r="AF191">
        <v>4</v>
      </c>
      <c r="AG191">
        <v>1</v>
      </c>
      <c r="AH191">
        <v>1.5</v>
      </c>
      <c r="AI191">
        <v>448</v>
      </c>
      <c r="AJ191">
        <v>448</v>
      </c>
      <c r="AK191">
        <v>160</v>
      </c>
      <c r="AL191" t="s">
        <v>123</v>
      </c>
      <c r="AM191">
        <v>1</v>
      </c>
      <c r="AN191" t="s">
        <v>51</v>
      </c>
      <c r="AO191" t="s">
        <v>59</v>
      </c>
      <c r="AP191" t="s">
        <v>60</v>
      </c>
      <c r="AQ191">
        <v>11</v>
      </c>
      <c r="AR191">
        <v>73</v>
      </c>
      <c r="AS191">
        <v>188</v>
      </c>
      <c r="AT191">
        <v>1.36</v>
      </c>
      <c r="AU191">
        <v>4.3099999999999996</v>
      </c>
      <c r="AV191" t="s">
        <v>684</v>
      </c>
      <c r="AX191" t="s">
        <v>685</v>
      </c>
    </row>
    <row r="192" spans="1:50" x14ac:dyDescent="0.25">
      <c r="A192" t="s">
        <v>686</v>
      </c>
      <c r="B192" t="s">
        <v>51</v>
      </c>
      <c r="C192">
        <v>0</v>
      </c>
      <c r="D192">
        <v>1</v>
      </c>
      <c r="F192">
        <v>0</v>
      </c>
      <c r="G192">
        <v>0</v>
      </c>
      <c r="H192">
        <v>0</v>
      </c>
      <c r="I192">
        <v>1</v>
      </c>
      <c r="J192">
        <v>1549</v>
      </c>
      <c r="K192">
        <v>0</v>
      </c>
      <c r="M192">
        <v>0</v>
      </c>
      <c r="N192">
        <v>1</v>
      </c>
      <c r="O192">
        <v>1</v>
      </c>
      <c r="P192">
        <v>1</v>
      </c>
      <c r="Q192">
        <v>0</v>
      </c>
      <c r="U192" t="s">
        <v>93</v>
      </c>
      <c r="V192">
        <v>50</v>
      </c>
      <c r="W192" t="s">
        <v>79</v>
      </c>
      <c r="X192" t="s">
        <v>80</v>
      </c>
      <c r="Y192">
        <v>0</v>
      </c>
      <c r="Z192">
        <v>81.647000000000006</v>
      </c>
      <c r="AB192" t="s">
        <v>94</v>
      </c>
      <c r="AD192" t="s">
        <v>57</v>
      </c>
      <c r="AE192">
        <v>1</v>
      </c>
      <c r="AF192">
        <v>5</v>
      </c>
      <c r="AG192">
        <v>1</v>
      </c>
      <c r="AH192">
        <v>3</v>
      </c>
      <c r="AI192">
        <v>512</v>
      </c>
      <c r="AJ192">
        <v>512</v>
      </c>
      <c r="AK192">
        <v>144</v>
      </c>
      <c r="AL192" t="s">
        <v>66</v>
      </c>
      <c r="AM192">
        <v>1</v>
      </c>
      <c r="AN192" t="s">
        <v>51</v>
      </c>
      <c r="AO192" t="s">
        <v>67</v>
      </c>
      <c r="AP192" t="s">
        <v>114</v>
      </c>
      <c r="AQ192">
        <v>15</v>
      </c>
      <c r="AR192">
        <v>718</v>
      </c>
      <c r="AS192">
        <v>1437</v>
      </c>
      <c r="AT192">
        <v>2.516</v>
      </c>
      <c r="AU192">
        <v>6.4950000000000001</v>
      </c>
      <c r="AV192" t="s">
        <v>687</v>
      </c>
      <c r="AX192" t="s">
        <v>688</v>
      </c>
    </row>
    <row r="193" spans="1:50" x14ac:dyDescent="0.25">
      <c r="A193" t="s">
        <v>689</v>
      </c>
      <c r="B193" t="s">
        <v>51</v>
      </c>
      <c r="C193">
        <v>0</v>
      </c>
      <c r="D193">
        <v>0</v>
      </c>
      <c r="F193">
        <v>0</v>
      </c>
      <c r="G193">
        <v>0</v>
      </c>
      <c r="H193">
        <v>0</v>
      </c>
      <c r="I193">
        <v>1</v>
      </c>
      <c r="J193">
        <v>571</v>
      </c>
      <c r="K193">
        <v>605</v>
      </c>
      <c r="M193">
        <v>763</v>
      </c>
      <c r="N193">
        <v>1</v>
      </c>
      <c r="O193">
        <v>1</v>
      </c>
      <c r="P193">
        <v>0</v>
      </c>
      <c r="Q193">
        <v>0</v>
      </c>
      <c r="T193" t="s">
        <v>52</v>
      </c>
      <c r="U193" t="s">
        <v>93</v>
      </c>
      <c r="V193">
        <v>30</v>
      </c>
      <c r="W193" t="s">
        <v>54</v>
      </c>
      <c r="X193" t="s">
        <v>80</v>
      </c>
      <c r="Y193">
        <v>0</v>
      </c>
      <c r="Z193">
        <v>70.307000000000002</v>
      </c>
      <c r="AB193" t="s">
        <v>94</v>
      </c>
      <c r="AD193" t="s">
        <v>57</v>
      </c>
      <c r="AE193">
        <v>1</v>
      </c>
      <c r="AF193">
        <v>5</v>
      </c>
      <c r="AG193">
        <v>1</v>
      </c>
      <c r="AH193">
        <v>3</v>
      </c>
      <c r="AI193">
        <v>512</v>
      </c>
      <c r="AJ193">
        <v>512</v>
      </c>
      <c r="AK193">
        <v>142</v>
      </c>
      <c r="AL193" t="s">
        <v>81</v>
      </c>
      <c r="AM193">
        <v>1</v>
      </c>
      <c r="AN193" t="s">
        <v>51</v>
      </c>
      <c r="AO193" t="s">
        <v>67</v>
      </c>
      <c r="AP193" t="s">
        <v>114</v>
      </c>
      <c r="AQ193">
        <v>15</v>
      </c>
      <c r="AR193">
        <v>599</v>
      </c>
      <c r="AS193">
        <v>1198</v>
      </c>
      <c r="AT193">
        <v>2.4239999999999999</v>
      </c>
      <c r="AU193">
        <v>5.6639999999999997</v>
      </c>
      <c r="AV193" t="s">
        <v>690</v>
      </c>
      <c r="AX193" t="s">
        <v>691</v>
      </c>
    </row>
    <row r="194" spans="1:50" x14ac:dyDescent="0.25">
      <c r="A194" t="s">
        <v>692</v>
      </c>
      <c r="B194" t="s">
        <v>51</v>
      </c>
      <c r="C194">
        <v>0</v>
      </c>
      <c r="D194">
        <v>0</v>
      </c>
      <c r="F194">
        <v>0</v>
      </c>
      <c r="G194">
        <v>0</v>
      </c>
      <c r="H194">
        <v>0</v>
      </c>
      <c r="I194">
        <v>1</v>
      </c>
      <c r="J194">
        <v>1375</v>
      </c>
      <c r="K194">
        <v>0</v>
      </c>
      <c r="M194">
        <v>0</v>
      </c>
      <c r="N194">
        <v>1</v>
      </c>
      <c r="O194">
        <v>1</v>
      </c>
      <c r="P194">
        <v>1</v>
      </c>
      <c r="Q194">
        <v>0</v>
      </c>
      <c r="U194" t="s">
        <v>93</v>
      </c>
      <c r="V194">
        <v>50</v>
      </c>
      <c r="W194" t="s">
        <v>54</v>
      </c>
      <c r="X194" t="s">
        <v>80</v>
      </c>
      <c r="Y194">
        <v>0</v>
      </c>
      <c r="Z194">
        <v>63.503</v>
      </c>
      <c r="AB194" t="s">
        <v>74</v>
      </c>
      <c r="AD194" t="s">
        <v>57</v>
      </c>
      <c r="AE194">
        <v>1</v>
      </c>
      <c r="AF194">
        <v>5</v>
      </c>
      <c r="AG194">
        <v>1</v>
      </c>
      <c r="AH194">
        <v>1.5</v>
      </c>
      <c r="AI194">
        <v>512</v>
      </c>
      <c r="AJ194">
        <v>512</v>
      </c>
      <c r="AK194">
        <v>160</v>
      </c>
      <c r="AL194" t="s">
        <v>81</v>
      </c>
      <c r="AM194">
        <v>1</v>
      </c>
      <c r="AN194" t="s">
        <v>51</v>
      </c>
      <c r="AO194" t="s">
        <v>67</v>
      </c>
      <c r="AP194" t="s">
        <v>114</v>
      </c>
      <c r="AQ194">
        <v>15</v>
      </c>
      <c r="AR194">
        <v>347</v>
      </c>
      <c r="AS194">
        <v>695</v>
      </c>
      <c r="AT194">
        <v>2.3119999999999998</v>
      </c>
      <c r="AU194">
        <v>4.9279999999999999</v>
      </c>
      <c r="AV194" t="s">
        <v>693</v>
      </c>
      <c r="AX194" t="s">
        <v>694</v>
      </c>
    </row>
    <row r="195" spans="1:50" x14ac:dyDescent="0.25">
      <c r="A195" t="s">
        <v>695</v>
      </c>
      <c r="B195" t="s">
        <v>51</v>
      </c>
      <c r="C195">
        <v>0</v>
      </c>
      <c r="D195">
        <v>0</v>
      </c>
      <c r="F195">
        <v>0</v>
      </c>
      <c r="G195">
        <v>0</v>
      </c>
      <c r="H195">
        <v>0</v>
      </c>
      <c r="I195">
        <v>0</v>
      </c>
      <c r="J195">
        <v>1446</v>
      </c>
      <c r="K195">
        <v>0</v>
      </c>
      <c r="M195">
        <v>0</v>
      </c>
      <c r="N195">
        <v>1</v>
      </c>
      <c r="O195">
        <v>1</v>
      </c>
      <c r="P195">
        <v>1</v>
      </c>
      <c r="Q195">
        <v>0</v>
      </c>
      <c r="T195" t="s">
        <v>52</v>
      </c>
      <c r="U195" t="s">
        <v>93</v>
      </c>
      <c r="V195">
        <v>47</v>
      </c>
      <c r="W195" t="s">
        <v>79</v>
      </c>
      <c r="X195" t="s">
        <v>80</v>
      </c>
      <c r="Y195">
        <v>0</v>
      </c>
      <c r="Z195">
        <v>90.718485540000003</v>
      </c>
      <c r="AA195">
        <v>1.7526035074999999</v>
      </c>
      <c r="AB195" t="s">
        <v>94</v>
      </c>
      <c r="AD195" t="s">
        <v>57</v>
      </c>
      <c r="AE195">
        <v>1</v>
      </c>
      <c r="AF195">
        <v>4</v>
      </c>
      <c r="AG195">
        <v>1</v>
      </c>
      <c r="AH195">
        <v>1.5</v>
      </c>
      <c r="AI195">
        <v>448</v>
      </c>
      <c r="AJ195">
        <v>448</v>
      </c>
      <c r="AK195">
        <v>160</v>
      </c>
      <c r="AL195" t="s">
        <v>123</v>
      </c>
      <c r="AM195">
        <v>1</v>
      </c>
      <c r="AN195" t="s">
        <v>51</v>
      </c>
      <c r="AO195" t="s">
        <v>59</v>
      </c>
      <c r="AP195" t="s">
        <v>60</v>
      </c>
      <c r="AQ195">
        <v>11</v>
      </c>
      <c r="AR195">
        <v>71</v>
      </c>
      <c r="AS195">
        <v>179</v>
      </c>
      <c r="AT195">
        <v>1.36</v>
      </c>
      <c r="AU195">
        <v>4.3099999999999996</v>
      </c>
      <c r="AV195" t="s">
        <v>696</v>
      </c>
      <c r="AX195" t="s">
        <v>697</v>
      </c>
    </row>
    <row r="196" spans="1:50" x14ac:dyDescent="0.25">
      <c r="A196" t="s">
        <v>698</v>
      </c>
      <c r="B196" t="s">
        <v>51</v>
      </c>
      <c r="C196">
        <v>0</v>
      </c>
      <c r="D196">
        <v>1</v>
      </c>
      <c r="F196">
        <v>0</v>
      </c>
      <c r="G196">
        <v>0</v>
      </c>
      <c r="H196">
        <v>0</v>
      </c>
      <c r="I196">
        <v>1</v>
      </c>
      <c r="J196">
        <v>499</v>
      </c>
      <c r="K196">
        <v>0</v>
      </c>
      <c r="M196">
        <v>0</v>
      </c>
      <c r="N196">
        <v>1</v>
      </c>
      <c r="O196">
        <v>1</v>
      </c>
      <c r="P196">
        <v>1</v>
      </c>
      <c r="Q196">
        <v>0</v>
      </c>
      <c r="U196" t="s">
        <v>93</v>
      </c>
      <c r="V196">
        <v>27</v>
      </c>
      <c r="W196" t="s">
        <v>54</v>
      </c>
      <c r="X196" t="s">
        <v>55</v>
      </c>
      <c r="Y196">
        <v>0</v>
      </c>
      <c r="Z196">
        <v>83.915000000000006</v>
      </c>
      <c r="AB196" t="s">
        <v>118</v>
      </c>
      <c r="AD196" t="s">
        <v>57</v>
      </c>
      <c r="AE196">
        <v>1</v>
      </c>
      <c r="AF196">
        <v>5</v>
      </c>
      <c r="AG196">
        <v>1</v>
      </c>
      <c r="AH196">
        <v>1.5</v>
      </c>
      <c r="AI196">
        <v>512</v>
      </c>
      <c r="AJ196">
        <v>512</v>
      </c>
      <c r="AK196">
        <v>190</v>
      </c>
      <c r="AL196" t="s">
        <v>81</v>
      </c>
      <c r="AM196">
        <v>1</v>
      </c>
      <c r="AN196" t="s">
        <v>51</v>
      </c>
      <c r="AO196" t="s">
        <v>67</v>
      </c>
      <c r="AP196" t="s">
        <v>114</v>
      </c>
      <c r="AQ196">
        <v>15</v>
      </c>
      <c r="AR196">
        <v>431</v>
      </c>
      <c r="AS196">
        <v>863</v>
      </c>
      <c r="AT196">
        <v>2.3199999999999998</v>
      </c>
      <c r="AU196">
        <v>4.9359999999999999</v>
      </c>
      <c r="AV196" t="s">
        <v>699</v>
      </c>
      <c r="AX196" t="s">
        <v>700</v>
      </c>
    </row>
    <row r="197" spans="1:50" x14ac:dyDescent="0.25">
      <c r="A197" t="s">
        <v>701</v>
      </c>
      <c r="B197" t="s">
        <v>51</v>
      </c>
      <c r="C197">
        <v>0</v>
      </c>
      <c r="D197">
        <v>1</v>
      </c>
      <c r="F197">
        <v>0</v>
      </c>
      <c r="G197">
        <v>0</v>
      </c>
      <c r="H197">
        <v>0</v>
      </c>
      <c r="I197">
        <v>0</v>
      </c>
      <c r="J197">
        <v>845</v>
      </c>
      <c r="K197">
        <v>0</v>
      </c>
      <c r="M197">
        <v>0</v>
      </c>
      <c r="N197">
        <v>1</v>
      </c>
      <c r="O197">
        <v>1</v>
      </c>
      <c r="P197">
        <v>1</v>
      </c>
      <c r="Q197">
        <v>0</v>
      </c>
      <c r="T197" t="s">
        <v>64</v>
      </c>
      <c r="U197" t="s">
        <v>93</v>
      </c>
      <c r="V197">
        <v>43</v>
      </c>
      <c r="W197" t="s">
        <v>54</v>
      </c>
      <c r="X197" t="s">
        <v>55</v>
      </c>
      <c r="Y197">
        <v>0</v>
      </c>
      <c r="Z197">
        <v>77.110712708999998</v>
      </c>
      <c r="AA197">
        <v>1.7018034058333</v>
      </c>
      <c r="AB197" t="s">
        <v>94</v>
      </c>
      <c r="AD197" t="s">
        <v>57</v>
      </c>
      <c r="AE197">
        <v>1</v>
      </c>
      <c r="AF197">
        <v>4</v>
      </c>
      <c r="AG197">
        <v>1</v>
      </c>
      <c r="AH197">
        <v>3</v>
      </c>
      <c r="AI197">
        <v>448</v>
      </c>
      <c r="AJ197">
        <v>448</v>
      </c>
      <c r="AK197">
        <v>160</v>
      </c>
      <c r="AL197" t="s">
        <v>123</v>
      </c>
      <c r="AM197">
        <v>1.1000000238419001</v>
      </c>
      <c r="AN197" t="s">
        <v>51</v>
      </c>
      <c r="AO197" t="s">
        <v>59</v>
      </c>
      <c r="AP197" t="s">
        <v>124</v>
      </c>
      <c r="AQ197">
        <v>11</v>
      </c>
      <c r="AR197">
        <v>43</v>
      </c>
      <c r="AS197">
        <v>119</v>
      </c>
      <c r="AT197">
        <v>1.44</v>
      </c>
      <c r="AU197">
        <v>4.09</v>
      </c>
      <c r="AV197" t="s">
        <v>702</v>
      </c>
      <c r="AX197" t="s">
        <v>703</v>
      </c>
    </row>
    <row r="198" spans="1:50" x14ac:dyDescent="0.25">
      <c r="A198" t="s">
        <v>704</v>
      </c>
      <c r="B198" t="s">
        <v>51</v>
      </c>
      <c r="C198">
        <v>0</v>
      </c>
      <c r="D198">
        <v>0</v>
      </c>
      <c r="F198">
        <v>0</v>
      </c>
      <c r="G198">
        <v>0</v>
      </c>
      <c r="H198">
        <v>0</v>
      </c>
      <c r="I198">
        <v>1</v>
      </c>
      <c r="J198">
        <v>652</v>
      </c>
      <c r="K198">
        <v>0</v>
      </c>
      <c r="M198">
        <v>0</v>
      </c>
      <c r="N198">
        <v>0</v>
      </c>
      <c r="O198">
        <v>0</v>
      </c>
      <c r="P198">
        <v>0</v>
      </c>
      <c r="Q198">
        <v>0</v>
      </c>
      <c r="T198" t="s">
        <v>64</v>
      </c>
      <c r="U198" t="s">
        <v>65</v>
      </c>
      <c r="V198">
        <v>48</v>
      </c>
      <c r="W198" t="s">
        <v>54</v>
      </c>
      <c r="X198" t="s">
        <v>55</v>
      </c>
      <c r="Y198">
        <v>0</v>
      </c>
      <c r="Z198">
        <v>90.718485540000003</v>
      </c>
      <c r="AA198">
        <v>1.6256032533333</v>
      </c>
      <c r="AB198" t="s">
        <v>118</v>
      </c>
      <c r="AD198" t="s">
        <v>57</v>
      </c>
      <c r="AE198">
        <v>1</v>
      </c>
      <c r="AF198">
        <v>4</v>
      </c>
      <c r="AG198">
        <v>1</v>
      </c>
      <c r="AH198">
        <v>1.5</v>
      </c>
      <c r="AI198">
        <v>448</v>
      </c>
      <c r="AJ198">
        <v>448</v>
      </c>
      <c r="AK198">
        <v>160</v>
      </c>
      <c r="AL198" t="s">
        <v>385</v>
      </c>
      <c r="AM198">
        <v>1</v>
      </c>
      <c r="AN198" t="s">
        <v>51</v>
      </c>
      <c r="AO198" t="s">
        <v>59</v>
      </c>
      <c r="AP198" t="s">
        <v>60</v>
      </c>
      <c r="AQ198">
        <v>11</v>
      </c>
      <c r="AR198">
        <v>144</v>
      </c>
      <c r="AS198">
        <v>374</v>
      </c>
      <c r="AT198">
        <v>1.3</v>
      </c>
      <c r="AU198">
        <v>4.2699999999999996</v>
      </c>
      <c r="AV198" t="s">
        <v>705</v>
      </c>
      <c r="AX198" t="s">
        <v>706</v>
      </c>
    </row>
    <row r="199" spans="1:50" x14ac:dyDescent="0.25">
      <c r="A199" t="s">
        <v>707</v>
      </c>
      <c r="B199" t="s">
        <v>51</v>
      </c>
      <c r="C199">
        <v>0</v>
      </c>
      <c r="D199">
        <v>1</v>
      </c>
      <c r="F199">
        <v>0</v>
      </c>
      <c r="G199">
        <v>0</v>
      </c>
      <c r="H199">
        <v>0</v>
      </c>
      <c r="I199">
        <v>0</v>
      </c>
      <c r="J199">
        <v>1331</v>
      </c>
      <c r="K199">
        <v>1586</v>
      </c>
      <c r="M199">
        <v>0</v>
      </c>
      <c r="N199">
        <v>1</v>
      </c>
      <c r="O199">
        <v>1</v>
      </c>
      <c r="P199">
        <v>1</v>
      </c>
      <c r="Q199">
        <v>0</v>
      </c>
      <c r="U199" t="s">
        <v>93</v>
      </c>
      <c r="V199">
        <v>68</v>
      </c>
      <c r="W199" t="s">
        <v>79</v>
      </c>
      <c r="X199" t="s">
        <v>80</v>
      </c>
      <c r="Y199">
        <v>0</v>
      </c>
      <c r="Z199">
        <v>60.780999999999999</v>
      </c>
      <c r="AB199" t="s">
        <v>74</v>
      </c>
      <c r="AD199" t="s">
        <v>57</v>
      </c>
      <c r="AE199">
        <v>1</v>
      </c>
      <c r="AF199">
        <v>5</v>
      </c>
      <c r="AG199">
        <v>1</v>
      </c>
      <c r="AH199">
        <v>3</v>
      </c>
      <c r="AI199">
        <v>512</v>
      </c>
      <c r="AJ199">
        <v>512</v>
      </c>
      <c r="AK199">
        <v>168</v>
      </c>
      <c r="AL199" t="s">
        <v>119</v>
      </c>
      <c r="AM199">
        <v>1</v>
      </c>
      <c r="AN199" t="s">
        <v>51</v>
      </c>
      <c r="AO199" t="s">
        <v>67</v>
      </c>
      <c r="AP199" t="s">
        <v>114</v>
      </c>
      <c r="AQ199">
        <v>15</v>
      </c>
      <c r="AR199">
        <v>600</v>
      </c>
      <c r="AS199">
        <v>1201</v>
      </c>
      <c r="AT199">
        <v>2.3759999999999999</v>
      </c>
      <c r="AU199">
        <v>5.367</v>
      </c>
      <c r="AV199" t="s">
        <v>708</v>
      </c>
      <c r="AX199" t="s">
        <v>709</v>
      </c>
    </row>
    <row r="200" spans="1:50" x14ac:dyDescent="0.25">
      <c r="A200" t="s">
        <v>710</v>
      </c>
      <c r="B200" t="s">
        <v>51</v>
      </c>
      <c r="C200">
        <v>0</v>
      </c>
      <c r="D200">
        <v>1</v>
      </c>
      <c r="F200">
        <v>0</v>
      </c>
      <c r="G200">
        <v>1</v>
      </c>
      <c r="H200">
        <v>0</v>
      </c>
      <c r="I200">
        <v>1</v>
      </c>
      <c r="J200">
        <v>3121</v>
      </c>
      <c r="K200">
        <v>0</v>
      </c>
      <c r="M200">
        <v>0</v>
      </c>
      <c r="N200">
        <v>1</v>
      </c>
      <c r="O200">
        <v>1</v>
      </c>
      <c r="P200">
        <v>1</v>
      </c>
      <c r="Q200">
        <v>1</v>
      </c>
      <c r="T200" t="s">
        <v>52</v>
      </c>
      <c r="U200" t="s">
        <v>72</v>
      </c>
      <c r="V200">
        <v>53</v>
      </c>
      <c r="W200" t="s">
        <v>79</v>
      </c>
      <c r="X200" t="s">
        <v>80</v>
      </c>
      <c r="Y200">
        <v>0</v>
      </c>
      <c r="Z200">
        <v>67.132000000000005</v>
      </c>
      <c r="AB200" t="s">
        <v>74</v>
      </c>
      <c r="AD200" t="s">
        <v>57</v>
      </c>
      <c r="AE200">
        <v>1</v>
      </c>
      <c r="AF200">
        <v>5</v>
      </c>
      <c r="AG200">
        <v>1</v>
      </c>
      <c r="AH200">
        <v>3</v>
      </c>
      <c r="AI200">
        <v>512</v>
      </c>
      <c r="AJ200">
        <v>512</v>
      </c>
      <c r="AK200">
        <v>178</v>
      </c>
      <c r="AL200" t="s">
        <v>128</v>
      </c>
      <c r="AM200">
        <v>1.2</v>
      </c>
      <c r="AN200" t="s">
        <v>51</v>
      </c>
      <c r="AO200" t="s">
        <v>67</v>
      </c>
      <c r="AP200" t="s">
        <v>114</v>
      </c>
      <c r="AQ200">
        <v>15</v>
      </c>
      <c r="AR200">
        <v>579</v>
      </c>
      <c r="AS200">
        <v>1159</v>
      </c>
      <c r="AT200">
        <v>2.4</v>
      </c>
      <c r="AU200">
        <v>5.3789999999999996</v>
      </c>
      <c r="AV200" t="s">
        <v>711</v>
      </c>
      <c r="AX200" t="s">
        <v>712</v>
      </c>
    </row>
    <row r="201" spans="1:50" x14ac:dyDescent="0.25">
      <c r="A201" t="s">
        <v>713</v>
      </c>
      <c r="B201" t="s">
        <v>51</v>
      </c>
      <c r="C201">
        <v>0</v>
      </c>
      <c r="D201">
        <v>0</v>
      </c>
      <c r="F201">
        <v>0</v>
      </c>
      <c r="G201">
        <v>0</v>
      </c>
      <c r="H201">
        <v>0</v>
      </c>
      <c r="I201">
        <v>1</v>
      </c>
      <c r="J201">
        <v>1264</v>
      </c>
      <c r="K201">
        <v>0</v>
      </c>
      <c r="M201">
        <v>0</v>
      </c>
      <c r="N201">
        <v>0</v>
      </c>
      <c r="O201">
        <v>0</v>
      </c>
      <c r="P201">
        <v>0</v>
      </c>
      <c r="Q201">
        <v>0</v>
      </c>
      <c r="T201" t="s">
        <v>64</v>
      </c>
      <c r="U201" t="s">
        <v>65</v>
      </c>
      <c r="V201">
        <v>42</v>
      </c>
      <c r="W201" t="s">
        <v>54</v>
      </c>
      <c r="X201" t="s">
        <v>55</v>
      </c>
      <c r="Y201">
        <v>0</v>
      </c>
      <c r="AD201" t="s">
        <v>57</v>
      </c>
      <c r="AE201">
        <v>1</v>
      </c>
      <c r="AF201">
        <v>4</v>
      </c>
      <c r="AG201">
        <v>1</v>
      </c>
      <c r="AH201">
        <v>3</v>
      </c>
      <c r="AI201">
        <v>448</v>
      </c>
      <c r="AJ201">
        <v>448</v>
      </c>
      <c r="AK201">
        <v>208</v>
      </c>
      <c r="AL201" t="s">
        <v>436</v>
      </c>
      <c r="AM201">
        <v>1.2999999523162999</v>
      </c>
      <c r="AN201" t="s">
        <v>51</v>
      </c>
      <c r="AO201" t="s">
        <v>59</v>
      </c>
      <c r="AP201" t="s">
        <v>107</v>
      </c>
      <c r="AQ201">
        <v>15</v>
      </c>
      <c r="AR201">
        <v>47</v>
      </c>
      <c r="AS201">
        <v>135</v>
      </c>
      <c r="AT201">
        <v>1.44</v>
      </c>
      <c r="AU201">
        <v>3.77</v>
      </c>
      <c r="AV201" t="s">
        <v>714</v>
      </c>
      <c r="AX201" t="s">
        <v>715</v>
      </c>
    </row>
    <row r="202" spans="1:50" x14ac:dyDescent="0.25">
      <c r="A202" t="s">
        <v>716</v>
      </c>
      <c r="B202" t="s">
        <v>51</v>
      </c>
      <c r="C202">
        <v>0</v>
      </c>
      <c r="D202">
        <v>0</v>
      </c>
      <c r="F202">
        <v>0</v>
      </c>
      <c r="G202">
        <v>0</v>
      </c>
      <c r="H202">
        <v>1</v>
      </c>
      <c r="I202">
        <v>1</v>
      </c>
      <c r="J202">
        <v>1963</v>
      </c>
      <c r="K202">
        <v>0</v>
      </c>
      <c r="M202">
        <v>0</v>
      </c>
      <c r="N202">
        <v>0</v>
      </c>
      <c r="O202">
        <v>0</v>
      </c>
      <c r="P202">
        <v>0</v>
      </c>
      <c r="Q202">
        <v>0</v>
      </c>
      <c r="T202" t="s">
        <v>64</v>
      </c>
      <c r="U202" t="s">
        <v>65</v>
      </c>
      <c r="V202">
        <v>45</v>
      </c>
      <c r="W202" t="s">
        <v>54</v>
      </c>
      <c r="X202" t="s">
        <v>55</v>
      </c>
      <c r="Y202">
        <v>0</v>
      </c>
      <c r="AD202" t="s">
        <v>57</v>
      </c>
      <c r="AE202">
        <v>1</v>
      </c>
      <c r="AF202">
        <v>4</v>
      </c>
      <c r="AG202">
        <v>1</v>
      </c>
      <c r="AH202">
        <v>1.5</v>
      </c>
      <c r="AI202">
        <v>320</v>
      </c>
      <c r="AJ202">
        <v>320</v>
      </c>
      <c r="AK202">
        <v>144</v>
      </c>
      <c r="AL202" t="s">
        <v>354</v>
      </c>
      <c r="AM202">
        <v>1.0999999046325999</v>
      </c>
      <c r="AN202" t="s">
        <v>51</v>
      </c>
      <c r="AO202" t="s">
        <v>59</v>
      </c>
      <c r="AP202" t="s">
        <v>60</v>
      </c>
      <c r="AQ202">
        <v>15</v>
      </c>
      <c r="AR202">
        <v>35</v>
      </c>
      <c r="AS202">
        <v>94</v>
      </c>
      <c r="AT202">
        <v>1.5</v>
      </c>
      <c r="AU202">
        <v>4.26</v>
      </c>
      <c r="AV202" t="s">
        <v>717</v>
      </c>
      <c r="AX202" t="s">
        <v>718</v>
      </c>
    </row>
    <row r="203" spans="1:50" x14ac:dyDescent="0.25">
      <c r="A203" t="s">
        <v>719</v>
      </c>
      <c r="B203" t="s">
        <v>51</v>
      </c>
      <c r="C203">
        <v>0</v>
      </c>
      <c r="D203">
        <v>1</v>
      </c>
      <c r="F203">
        <v>0</v>
      </c>
      <c r="G203">
        <v>0</v>
      </c>
      <c r="H203">
        <v>1</v>
      </c>
      <c r="I203">
        <v>0</v>
      </c>
      <c r="J203">
        <v>1980</v>
      </c>
      <c r="K203">
        <v>0</v>
      </c>
      <c r="M203">
        <v>0</v>
      </c>
      <c r="N203">
        <v>1</v>
      </c>
      <c r="O203">
        <v>1</v>
      </c>
      <c r="P203">
        <v>1</v>
      </c>
      <c r="Q203">
        <v>0</v>
      </c>
      <c r="T203" t="s">
        <v>64</v>
      </c>
      <c r="U203" t="s">
        <v>93</v>
      </c>
      <c r="V203">
        <v>34</v>
      </c>
      <c r="W203" t="s">
        <v>54</v>
      </c>
      <c r="X203" t="s">
        <v>80</v>
      </c>
      <c r="Y203">
        <v>0</v>
      </c>
      <c r="Z203">
        <v>73.481999999999999</v>
      </c>
      <c r="AB203" t="s">
        <v>94</v>
      </c>
      <c r="AD203" t="s">
        <v>57</v>
      </c>
      <c r="AE203">
        <v>1</v>
      </c>
      <c r="AF203">
        <v>4</v>
      </c>
      <c r="AG203">
        <v>1</v>
      </c>
      <c r="AH203">
        <v>1.5</v>
      </c>
      <c r="AI203">
        <v>512</v>
      </c>
      <c r="AJ203">
        <v>512</v>
      </c>
      <c r="AK203">
        <v>200</v>
      </c>
      <c r="AL203" t="s">
        <v>119</v>
      </c>
      <c r="AM203">
        <v>1.1000000000000001</v>
      </c>
      <c r="AN203" t="s">
        <v>51</v>
      </c>
      <c r="AO203" t="s">
        <v>67</v>
      </c>
      <c r="AP203" t="s">
        <v>68</v>
      </c>
      <c r="AQ203">
        <v>15</v>
      </c>
      <c r="AR203">
        <v>228</v>
      </c>
      <c r="AS203">
        <v>456</v>
      </c>
      <c r="AT203">
        <v>2.2719999999999998</v>
      </c>
      <c r="AU203">
        <v>4.8559999999999999</v>
      </c>
      <c r="AV203" t="s">
        <v>720</v>
      </c>
      <c r="AX203" t="s">
        <v>721</v>
      </c>
    </row>
    <row r="204" spans="1:50" x14ac:dyDescent="0.25">
      <c r="A204" t="s">
        <v>722</v>
      </c>
      <c r="B204" t="s">
        <v>51</v>
      </c>
      <c r="C204">
        <v>0</v>
      </c>
      <c r="D204">
        <v>1</v>
      </c>
      <c r="F204">
        <v>0</v>
      </c>
      <c r="G204">
        <v>0</v>
      </c>
      <c r="K204">
        <v>122</v>
      </c>
      <c r="M204">
        <v>184</v>
      </c>
      <c r="N204">
        <v>0</v>
      </c>
      <c r="O204">
        <v>0</v>
      </c>
      <c r="P204">
        <v>0</v>
      </c>
      <c r="Q204">
        <v>0</v>
      </c>
      <c r="U204" t="s">
        <v>65</v>
      </c>
      <c r="V204">
        <v>62</v>
      </c>
      <c r="W204" t="s">
        <v>79</v>
      </c>
      <c r="X204" t="s">
        <v>55</v>
      </c>
      <c r="Y204">
        <v>0</v>
      </c>
      <c r="Z204">
        <v>83.007000000000005</v>
      </c>
      <c r="AB204" t="s">
        <v>118</v>
      </c>
      <c r="AD204" t="s">
        <v>57</v>
      </c>
      <c r="AE204">
        <v>1</v>
      </c>
      <c r="AF204">
        <v>5</v>
      </c>
      <c r="AG204">
        <v>1</v>
      </c>
      <c r="AH204">
        <v>3</v>
      </c>
      <c r="AI204">
        <v>512</v>
      </c>
      <c r="AJ204">
        <v>512</v>
      </c>
      <c r="AK204">
        <v>176</v>
      </c>
      <c r="AL204" t="s">
        <v>81</v>
      </c>
      <c r="AM204">
        <v>1</v>
      </c>
      <c r="AN204" t="s">
        <v>51</v>
      </c>
      <c r="AO204" t="s">
        <v>67</v>
      </c>
      <c r="AP204" t="s">
        <v>114</v>
      </c>
      <c r="AQ204">
        <v>15</v>
      </c>
      <c r="AR204">
        <v>688</v>
      </c>
      <c r="AS204">
        <v>1377</v>
      </c>
      <c r="AT204">
        <v>2.4279999999999999</v>
      </c>
      <c r="AU204">
        <v>5.67</v>
      </c>
      <c r="AV204" t="s">
        <v>723</v>
      </c>
      <c r="AX204" t="s">
        <v>724</v>
      </c>
    </row>
    <row r="205" spans="1:50" x14ac:dyDescent="0.25">
      <c r="A205" t="s">
        <v>725</v>
      </c>
      <c r="B205" t="s">
        <v>51</v>
      </c>
      <c r="C205">
        <v>0</v>
      </c>
      <c r="D205">
        <v>0</v>
      </c>
      <c r="F205">
        <v>0</v>
      </c>
      <c r="G205">
        <v>0</v>
      </c>
      <c r="H205">
        <v>0</v>
      </c>
      <c r="I205">
        <v>0</v>
      </c>
      <c r="J205">
        <v>357</v>
      </c>
      <c r="K205">
        <v>455</v>
      </c>
      <c r="M205">
        <v>862</v>
      </c>
      <c r="N205">
        <v>1</v>
      </c>
      <c r="O205">
        <v>1</v>
      </c>
      <c r="P205">
        <v>0</v>
      </c>
      <c r="Q205">
        <v>0</v>
      </c>
      <c r="T205" t="s">
        <v>52</v>
      </c>
      <c r="U205" t="s">
        <v>93</v>
      </c>
      <c r="V205">
        <v>51</v>
      </c>
      <c r="W205" t="s">
        <v>54</v>
      </c>
      <c r="X205" t="s">
        <v>80</v>
      </c>
      <c r="Y205">
        <v>0</v>
      </c>
      <c r="Z205">
        <v>79.379000000000005</v>
      </c>
      <c r="AB205" t="s">
        <v>94</v>
      </c>
      <c r="AD205" t="s">
        <v>57</v>
      </c>
      <c r="AE205">
        <v>1</v>
      </c>
      <c r="AF205">
        <v>5</v>
      </c>
      <c r="AG205">
        <v>1</v>
      </c>
      <c r="AH205">
        <v>3</v>
      </c>
      <c r="AI205">
        <v>512</v>
      </c>
      <c r="AJ205">
        <v>512</v>
      </c>
      <c r="AK205">
        <v>176</v>
      </c>
      <c r="AL205" t="s">
        <v>88</v>
      </c>
      <c r="AM205">
        <v>1</v>
      </c>
      <c r="AN205" t="s">
        <v>51</v>
      </c>
      <c r="AO205" t="s">
        <v>67</v>
      </c>
      <c r="AP205" t="s">
        <v>114</v>
      </c>
      <c r="AQ205">
        <v>15</v>
      </c>
      <c r="AR205">
        <v>1937</v>
      </c>
      <c r="AS205">
        <v>3874</v>
      </c>
      <c r="AT205">
        <v>2.3519999999999999</v>
      </c>
      <c r="AU205">
        <v>5.1189999999999998</v>
      </c>
      <c r="AV205" t="s">
        <v>726</v>
      </c>
      <c r="AX205" t="s">
        <v>727</v>
      </c>
    </row>
    <row r="206" spans="1:50" x14ac:dyDescent="0.25">
      <c r="A206" t="s">
        <v>728</v>
      </c>
      <c r="B206" t="s">
        <v>51</v>
      </c>
      <c r="C206">
        <v>0</v>
      </c>
      <c r="D206">
        <v>1</v>
      </c>
      <c r="F206">
        <v>0</v>
      </c>
      <c r="G206">
        <v>0</v>
      </c>
      <c r="H206">
        <v>0</v>
      </c>
      <c r="I206">
        <v>1</v>
      </c>
      <c r="J206">
        <v>1683</v>
      </c>
      <c r="K206">
        <v>0</v>
      </c>
      <c r="M206">
        <v>0</v>
      </c>
      <c r="N206">
        <v>1</v>
      </c>
      <c r="O206">
        <v>1</v>
      </c>
      <c r="P206">
        <v>1</v>
      </c>
      <c r="Q206">
        <v>0</v>
      </c>
      <c r="U206" t="s">
        <v>93</v>
      </c>
      <c r="V206">
        <v>56</v>
      </c>
      <c r="W206" t="s">
        <v>54</v>
      </c>
      <c r="X206" t="s">
        <v>55</v>
      </c>
      <c r="Y206">
        <v>0</v>
      </c>
      <c r="Z206">
        <v>95.254000000000005</v>
      </c>
      <c r="AB206" t="s">
        <v>118</v>
      </c>
      <c r="AC206" t="s">
        <v>152</v>
      </c>
      <c r="AD206" t="s">
        <v>57</v>
      </c>
      <c r="AE206">
        <v>1</v>
      </c>
      <c r="AF206">
        <v>5</v>
      </c>
      <c r="AG206">
        <v>1</v>
      </c>
      <c r="AH206">
        <v>3</v>
      </c>
      <c r="AI206">
        <v>512</v>
      </c>
      <c r="AJ206">
        <v>512</v>
      </c>
      <c r="AK206">
        <v>196</v>
      </c>
      <c r="AL206" t="s">
        <v>350</v>
      </c>
      <c r="AM206">
        <v>1.1000000000000001</v>
      </c>
      <c r="AN206" t="s">
        <v>51</v>
      </c>
      <c r="AO206" t="s">
        <v>67</v>
      </c>
      <c r="AP206" t="s">
        <v>114</v>
      </c>
      <c r="AQ206">
        <v>15</v>
      </c>
      <c r="AR206">
        <v>783</v>
      </c>
      <c r="AS206">
        <v>1566</v>
      </c>
      <c r="AT206">
        <v>2.3319999999999999</v>
      </c>
      <c r="AU206">
        <v>5.0679999999999996</v>
      </c>
      <c r="AV206" t="s">
        <v>729</v>
      </c>
      <c r="AX206" t="s">
        <v>730</v>
      </c>
    </row>
    <row r="207" spans="1:50" x14ac:dyDescent="0.25">
      <c r="A207" t="s">
        <v>731</v>
      </c>
      <c r="B207" t="s">
        <v>51</v>
      </c>
      <c r="C207">
        <v>0</v>
      </c>
      <c r="D207">
        <v>1</v>
      </c>
      <c r="F207">
        <v>0</v>
      </c>
      <c r="G207">
        <v>0</v>
      </c>
      <c r="H207">
        <v>1</v>
      </c>
      <c r="I207">
        <v>0</v>
      </c>
      <c r="J207">
        <v>1884</v>
      </c>
      <c r="K207">
        <v>0</v>
      </c>
      <c r="M207">
        <v>0</v>
      </c>
      <c r="N207">
        <v>1</v>
      </c>
      <c r="O207">
        <v>1</v>
      </c>
      <c r="P207">
        <v>1</v>
      </c>
      <c r="Q207">
        <v>0</v>
      </c>
      <c r="T207" t="s">
        <v>64</v>
      </c>
      <c r="U207" t="s">
        <v>93</v>
      </c>
      <c r="V207">
        <v>37</v>
      </c>
      <c r="W207" t="s">
        <v>54</v>
      </c>
      <c r="X207" t="s">
        <v>55</v>
      </c>
      <c r="Y207">
        <v>0</v>
      </c>
      <c r="Z207">
        <v>34.927</v>
      </c>
      <c r="AB207" t="s">
        <v>247</v>
      </c>
      <c r="AD207" t="s">
        <v>57</v>
      </c>
      <c r="AE207">
        <v>1</v>
      </c>
      <c r="AF207">
        <v>4</v>
      </c>
      <c r="AG207">
        <v>1</v>
      </c>
      <c r="AH207">
        <v>3</v>
      </c>
      <c r="AI207">
        <v>512</v>
      </c>
      <c r="AJ207">
        <v>512</v>
      </c>
      <c r="AK207">
        <v>198</v>
      </c>
      <c r="AL207" t="s">
        <v>119</v>
      </c>
      <c r="AM207">
        <v>1</v>
      </c>
      <c r="AN207" t="s">
        <v>51</v>
      </c>
      <c r="AO207" t="s">
        <v>67</v>
      </c>
      <c r="AP207" t="s">
        <v>68</v>
      </c>
      <c r="AQ207">
        <v>15</v>
      </c>
      <c r="AR207">
        <v>715</v>
      </c>
      <c r="AS207">
        <v>1431</v>
      </c>
      <c r="AT207">
        <v>2.3759999999999999</v>
      </c>
      <c r="AU207">
        <v>5.3730000000000002</v>
      </c>
      <c r="AV207" t="s">
        <v>732</v>
      </c>
      <c r="AX207" t="s">
        <v>733</v>
      </c>
    </row>
    <row r="208" spans="1:50" x14ac:dyDescent="0.25">
      <c r="A208" t="s">
        <v>734</v>
      </c>
      <c r="B208" t="s">
        <v>51</v>
      </c>
      <c r="C208">
        <v>0</v>
      </c>
      <c r="D208">
        <v>0</v>
      </c>
      <c r="F208">
        <v>0</v>
      </c>
      <c r="G208">
        <v>0</v>
      </c>
      <c r="H208">
        <v>0</v>
      </c>
      <c r="I208">
        <v>1</v>
      </c>
      <c r="J208">
        <v>1421</v>
      </c>
      <c r="K208">
        <v>0</v>
      </c>
      <c r="M208">
        <v>0</v>
      </c>
      <c r="N208">
        <v>0</v>
      </c>
      <c r="O208">
        <v>0</v>
      </c>
      <c r="P208">
        <v>0</v>
      </c>
      <c r="Q208">
        <v>0</v>
      </c>
      <c r="U208" t="s">
        <v>65</v>
      </c>
      <c r="V208">
        <v>61</v>
      </c>
      <c r="W208" t="s">
        <v>79</v>
      </c>
      <c r="X208" t="s">
        <v>80</v>
      </c>
      <c r="Y208">
        <v>0</v>
      </c>
      <c r="Z208">
        <v>95.254000000000005</v>
      </c>
      <c r="AB208" t="s">
        <v>118</v>
      </c>
      <c r="AC208" t="s">
        <v>152</v>
      </c>
      <c r="AD208" t="s">
        <v>57</v>
      </c>
      <c r="AE208">
        <v>1</v>
      </c>
      <c r="AF208">
        <v>5</v>
      </c>
      <c r="AG208">
        <v>1</v>
      </c>
      <c r="AH208">
        <v>3</v>
      </c>
      <c r="AI208">
        <v>512</v>
      </c>
      <c r="AJ208">
        <v>512</v>
      </c>
      <c r="AK208">
        <v>152</v>
      </c>
      <c r="AL208" t="s">
        <v>128</v>
      </c>
      <c r="AM208">
        <v>1</v>
      </c>
      <c r="AN208" t="s">
        <v>51</v>
      </c>
      <c r="AO208" t="s">
        <v>67</v>
      </c>
      <c r="AP208" t="s">
        <v>114</v>
      </c>
      <c r="AQ208">
        <v>15</v>
      </c>
      <c r="AR208">
        <v>668</v>
      </c>
      <c r="AS208">
        <v>1336</v>
      </c>
      <c r="AT208">
        <v>2.4159999999999999</v>
      </c>
      <c r="AU208">
        <v>5.5250000000000004</v>
      </c>
      <c r="AV208" t="s">
        <v>735</v>
      </c>
      <c r="AX208" t="s">
        <v>736</v>
      </c>
    </row>
    <row r="209" spans="1:50" x14ac:dyDescent="0.25">
      <c r="A209" t="s">
        <v>737</v>
      </c>
      <c r="B209" t="s">
        <v>51</v>
      </c>
      <c r="C209">
        <v>0</v>
      </c>
      <c r="D209">
        <v>0</v>
      </c>
      <c r="F209">
        <v>0</v>
      </c>
      <c r="G209">
        <v>0</v>
      </c>
      <c r="H209">
        <v>0</v>
      </c>
      <c r="I209">
        <v>0</v>
      </c>
      <c r="J209">
        <v>1752</v>
      </c>
      <c r="K209">
        <v>0</v>
      </c>
      <c r="M209">
        <v>0</v>
      </c>
      <c r="N209">
        <v>1</v>
      </c>
      <c r="O209">
        <v>1</v>
      </c>
      <c r="P209">
        <v>1</v>
      </c>
      <c r="Q209">
        <v>0</v>
      </c>
      <c r="S209">
        <v>10</v>
      </c>
      <c r="U209" t="s">
        <v>93</v>
      </c>
      <c r="V209">
        <v>61</v>
      </c>
      <c r="W209" t="s">
        <v>79</v>
      </c>
      <c r="X209" t="s">
        <v>80</v>
      </c>
      <c r="Y209">
        <v>0</v>
      </c>
      <c r="Z209">
        <v>68.039000000000001</v>
      </c>
      <c r="AB209" t="s">
        <v>74</v>
      </c>
      <c r="AC209" t="s">
        <v>213</v>
      </c>
      <c r="AD209" t="s">
        <v>57</v>
      </c>
      <c r="AE209">
        <v>1</v>
      </c>
      <c r="AF209">
        <v>5</v>
      </c>
      <c r="AG209">
        <v>1</v>
      </c>
      <c r="AH209">
        <v>3</v>
      </c>
      <c r="AI209">
        <v>512</v>
      </c>
      <c r="AJ209">
        <v>512</v>
      </c>
      <c r="AK209">
        <v>142</v>
      </c>
      <c r="AL209" t="s">
        <v>196</v>
      </c>
      <c r="AM209">
        <v>1</v>
      </c>
      <c r="AN209" t="s">
        <v>51</v>
      </c>
      <c r="AO209" t="s">
        <v>67</v>
      </c>
      <c r="AP209" t="s">
        <v>114</v>
      </c>
      <c r="AQ209">
        <v>15</v>
      </c>
      <c r="AR209">
        <v>749</v>
      </c>
      <c r="AS209">
        <v>1499</v>
      </c>
      <c r="AT209">
        <v>2.46</v>
      </c>
      <c r="AU209">
        <v>5.9729999999999999</v>
      </c>
      <c r="AV209" t="s">
        <v>738</v>
      </c>
      <c r="AX209" t="s">
        <v>739</v>
      </c>
    </row>
    <row r="210" spans="1:50" x14ac:dyDescent="0.25">
      <c r="A210" t="s">
        <v>740</v>
      </c>
      <c r="B210" t="s">
        <v>51</v>
      </c>
      <c r="C210">
        <v>0</v>
      </c>
      <c r="D210">
        <v>1</v>
      </c>
      <c r="F210">
        <v>0</v>
      </c>
      <c r="G210">
        <v>0</v>
      </c>
      <c r="H210">
        <v>0</v>
      </c>
      <c r="I210">
        <v>1</v>
      </c>
      <c r="J210">
        <v>1836</v>
      </c>
      <c r="K210">
        <v>0</v>
      </c>
      <c r="M210">
        <v>0</v>
      </c>
      <c r="N210">
        <v>0</v>
      </c>
      <c r="O210">
        <v>0</v>
      </c>
      <c r="P210">
        <v>0</v>
      </c>
      <c r="Q210">
        <v>0</v>
      </c>
      <c r="T210" t="s">
        <v>64</v>
      </c>
      <c r="U210" t="s">
        <v>65</v>
      </c>
      <c r="V210">
        <v>55</v>
      </c>
      <c r="W210" t="s">
        <v>54</v>
      </c>
      <c r="X210" t="s">
        <v>55</v>
      </c>
      <c r="Y210">
        <v>0</v>
      </c>
      <c r="AD210" t="s">
        <v>57</v>
      </c>
      <c r="AE210">
        <v>1</v>
      </c>
      <c r="AF210">
        <v>4</v>
      </c>
      <c r="AG210">
        <v>1</v>
      </c>
      <c r="AH210">
        <v>1.5</v>
      </c>
      <c r="AI210">
        <v>448</v>
      </c>
      <c r="AJ210">
        <v>448</v>
      </c>
      <c r="AK210">
        <v>176</v>
      </c>
      <c r="AL210" t="s">
        <v>75</v>
      </c>
      <c r="AM210">
        <v>1</v>
      </c>
      <c r="AN210" t="s">
        <v>51</v>
      </c>
      <c r="AO210" t="s">
        <v>59</v>
      </c>
      <c r="AP210" t="s">
        <v>60</v>
      </c>
      <c r="AQ210">
        <v>15</v>
      </c>
      <c r="AR210">
        <v>62</v>
      </c>
      <c r="AS210">
        <v>161</v>
      </c>
      <c r="AT210">
        <v>1.54</v>
      </c>
      <c r="AU210">
        <v>4.68</v>
      </c>
      <c r="AV210" t="s">
        <v>741</v>
      </c>
      <c r="AX210" t="s">
        <v>742</v>
      </c>
    </row>
    <row r="211" spans="1:50" x14ac:dyDescent="0.25">
      <c r="A211" t="s">
        <v>743</v>
      </c>
      <c r="B211" t="s">
        <v>51</v>
      </c>
      <c r="C211">
        <v>0</v>
      </c>
      <c r="D211">
        <v>0</v>
      </c>
      <c r="F211">
        <v>0</v>
      </c>
      <c r="G211">
        <v>1</v>
      </c>
      <c r="H211">
        <v>0</v>
      </c>
      <c r="I211">
        <v>0</v>
      </c>
      <c r="J211">
        <v>1636</v>
      </c>
      <c r="K211">
        <v>0</v>
      </c>
      <c r="M211">
        <v>0</v>
      </c>
      <c r="N211">
        <v>1</v>
      </c>
      <c r="O211">
        <v>1</v>
      </c>
      <c r="P211">
        <v>0</v>
      </c>
      <c r="Q211">
        <v>1</v>
      </c>
      <c r="T211" t="s">
        <v>64</v>
      </c>
      <c r="U211" t="s">
        <v>72</v>
      </c>
      <c r="V211">
        <v>64</v>
      </c>
      <c r="W211" t="s">
        <v>79</v>
      </c>
      <c r="X211" t="s">
        <v>80</v>
      </c>
      <c r="Y211">
        <v>0</v>
      </c>
      <c r="Z211">
        <v>53.524000000000001</v>
      </c>
      <c r="AB211" t="s">
        <v>74</v>
      </c>
      <c r="AD211" t="s">
        <v>57</v>
      </c>
      <c r="AE211">
        <v>1</v>
      </c>
      <c r="AF211">
        <v>4</v>
      </c>
      <c r="AG211">
        <v>1</v>
      </c>
      <c r="AH211">
        <v>3</v>
      </c>
      <c r="AI211">
        <v>512</v>
      </c>
      <c r="AJ211">
        <v>512</v>
      </c>
      <c r="AK211">
        <v>156</v>
      </c>
      <c r="AL211" t="s">
        <v>81</v>
      </c>
      <c r="AM211">
        <v>1.1000000000000001</v>
      </c>
      <c r="AN211" t="s">
        <v>51</v>
      </c>
      <c r="AO211" t="s">
        <v>67</v>
      </c>
      <c r="AP211" t="s">
        <v>68</v>
      </c>
      <c r="AQ211">
        <v>15</v>
      </c>
      <c r="AR211">
        <v>406</v>
      </c>
      <c r="AS211">
        <v>812</v>
      </c>
      <c r="AT211">
        <v>2.6040000000000001</v>
      </c>
      <c r="AU211">
        <v>6.032</v>
      </c>
      <c r="AV211" t="s">
        <v>744</v>
      </c>
      <c r="AX211" t="s">
        <v>745</v>
      </c>
    </row>
    <row r="212" spans="1:50" x14ac:dyDescent="0.25">
      <c r="A212" t="s">
        <v>746</v>
      </c>
      <c r="B212" t="s">
        <v>51</v>
      </c>
      <c r="C212">
        <v>0</v>
      </c>
      <c r="D212">
        <v>0</v>
      </c>
      <c r="F212">
        <v>0</v>
      </c>
      <c r="G212">
        <v>0</v>
      </c>
      <c r="H212">
        <v>1</v>
      </c>
      <c r="I212">
        <v>1</v>
      </c>
      <c r="J212">
        <v>1226</v>
      </c>
      <c r="K212">
        <v>0</v>
      </c>
      <c r="M212">
        <v>0</v>
      </c>
      <c r="N212">
        <v>0</v>
      </c>
      <c r="O212">
        <v>0</v>
      </c>
      <c r="P212">
        <v>0</v>
      </c>
      <c r="Q212">
        <v>0</v>
      </c>
      <c r="T212" t="s">
        <v>64</v>
      </c>
      <c r="U212" t="s">
        <v>65</v>
      </c>
      <c r="V212">
        <v>25</v>
      </c>
      <c r="W212" t="s">
        <v>54</v>
      </c>
      <c r="X212" t="s">
        <v>80</v>
      </c>
      <c r="Y212">
        <v>0</v>
      </c>
      <c r="AD212" t="s">
        <v>57</v>
      </c>
      <c r="AE212">
        <v>1</v>
      </c>
      <c r="AF212">
        <v>4</v>
      </c>
      <c r="AG212">
        <v>1</v>
      </c>
      <c r="AH212">
        <v>3</v>
      </c>
      <c r="AI212">
        <v>448</v>
      </c>
      <c r="AJ212">
        <v>448</v>
      </c>
      <c r="AK212">
        <v>208</v>
      </c>
      <c r="AL212" t="s">
        <v>75</v>
      </c>
      <c r="AM212">
        <v>1</v>
      </c>
      <c r="AN212" t="s">
        <v>51</v>
      </c>
      <c r="AO212" t="s">
        <v>59</v>
      </c>
      <c r="AP212" t="s">
        <v>107</v>
      </c>
      <c r="AQ212">
        <v>15</v>
      </c>
      <c r="AR212">
        <v>64</v>
      </c>
      <c r="AS212">
        <v>177</v>
      </c>
      <c r="AT212">
        <v>1.44</v>
      </c>
      <c r="AU212">
        <v>3.77</v>
      </c>
      <c r="AV212" t="s">
        <v>747</v>
      </c>
      <c r="AX212" t="s">
        <v>748</v>
      </c>
    </row>
    <row r="213" spans="1:50" x14ac:dyDescent="0.25">
      <c r="A213" t="s">
        <v>749</v>
      </c>
      <c r="B213" t="s">
        <v>51</v>
      </c>
      <c r="C213">
        <v>0</v>
      </c>
      <c r="D213">
        <v>0</v>
      </c>
      <c r="F213">
        <v>0</v>
      </c>
      <c r="G213">
        <v>0</v>
      </c>
      <c r="H213">
        <v>0</v>
      </c>
      <c r="I213">
        <v>0</v>
      </c>
      <c r="J213">
        <v>1498</v>
      </c>
      <c r="K213">
        <v>0</v>
      </c>
      <c r="M213">
        <v>0</v>
      </c>
      <c r="N213">
        <v>1</v>
      </c>
      <c r="O213">
        <v>1</v>
      </c>
      <c r="P213">
        <v>1</v>
      </c>
      <c r="Q213">
        <v>0</v>
      </c>
      <c r="U213" t="s">
        <v>93</v>
      </c>
      <c r="V213">
        <v>41</v>
      </c>
      <c r="W213" t="s">
        <v>54</v>
      </c>
      <c r="X213" t="s">
        <v>80</v>
      </c>
      <c r="Y213">
        <v>0</v>
      </c>
      <c r="Z213">
        <v>90.718000000000004</v>
      </c>
      <c r="AB213" t="s">
        <v>118</v>
      </c>
      <c r="AD213" t="s">
        <v>57</v>
      </c>
      <c r="AE213">
        <v>1</v>
      </c>
      <c r="AF213">
        <v>5</v>
      </c>
      <c r="AG213">
        <v>1</v>
      </c>
      <c r="AH213">
        <v>3</v>
      </c>
      <c r="AI213">
        <v>512</v>
      </c>
      <c r="AJ213">
        <v>512</v>
      </c>
      <c r="AK213">
        <v>188</v>
      </c>
      <c r="AL213" t="s">
        <v>119</v>
      </c>
      <c r="AM213">
        <v>1</v>
      </c>
      <c r="AN213" t="s">
        <v>51</v>
      </c>
      <c r="AO213" t="s">
        <v>67</v>
      </c>
      <c r="AP213" t="s">
        <v>114</v>
      </c>
      <c r="AQ213">
        <v>15</v>
      </c>
      <c r="AR213">
        <v>1128</v>
      </c>
      <c r="AS213">
        <v>2257</v>
      </c>
      <c r="AT213">
        <v>2.3919999999999999</v>
      </c>
      <c r="AU213">
        <v>5.3869999999999996</v>
      </c>
      <c r="AV213" t="s">
        <v>750</v>
      </c>
      <c r="AX213" t="s">
        <v>751</v>
      </c>
    </row>
    <row r="214" spans="1:50" x14ac:dyDescent="0.25">
      <c r="A214" t="s">
        <v>752</v>
      </c>
      <c r="B214" t="s">
        <v>51</v>
      </c>
      <c r="C214">
        <v>0</v>
      </c>
      <c r="D214">
        <v>0</v>
      </c>
      <c r="F214">
        <v>0</v>
      </c>
      <c r="G214">
        <v>0</v>
      </c>
      <c r="H214">
        <v>0</v>
      </c>
      <c r="I214">
        <v>0</v>
      </c>
      <c r="J214">
        <v>1410</v>
      </c>
      <c r="K214">
        <v>0</v>
      </c>
      <c r="M214">
        <v>0</v>
      </c>
      <c r="N214">
        <v>1</v>
      </c>
      <c r="O214">
        <v>1</v>
      </c>
      <c r="P214">
        <v>1</v>
      </c>
      <c r="Q214">
        <v>0</v>
      </c>
      <c r="U214" t="s">
        <v>93</v>
      </c>
      <c r="V214">
        <v>66</v>
      </c>
      <c r="W214" t="s">
        <v>79</v>
      </c>
      <c r="X214" t="s">
        <v>80</v>
      </c>
      <c r="Y214">
        <v>0</v>
      </c>
      <c r="Z214">
        <v>77.5643051367</v>
      </c>
      <c r="AB214" t="s">
        <v>94</v>
      </c>
      <c r="AC214" t="s">
        <v>152</v>
      </c>
      <c r="AD214" t="s">
        <v>57</v>
      </c>
      <c r="AE214">
        <v>1</v>
      </c>
      <c r="AF214">
        <v>5</v>
      </c>
      <c r="AG214">
        <v>1</v>
      </c>
      <c r="AH214">
        <v>1.5</v>
      </c>
      <c r="AI214">
        <v>320</v>
      </c>
      <c r="AJ214">
        <v>320</v>
      </c>
      <c r="AK214">
        <v>160</v>
      </c>
      <c r="AL214" t="s">
        <v>354</v>
      </c>
      <c r="AM214">
        <v>1.1000000238419001</v>
      </c>
      <c r="AN214" t="s">
        <v>51</v>
      </c>
      <c r="AO214" t="s">
        <v>59</v>
      </c>
      <c r="AP214" t="s">
        <v>60</v>
      </c>
      <c r="AQ214">
        <v>11</v>
      </c>
      <c r="AR214">
        <v>46</v>
      </c>
      <c r="AS214">
        <v>124</v>
      </c>
      <c r="AT214">
        <v>1.5</v>
      </c>
      <c r="AU214">
        <v>4.26</v>
      </c>
      <c r="AV214" t="s">
        <v>753</v>
      </c>
      <c r="AX214" t="s">
        <v>754</v>
      </c>
    </row>
    <row r="215" spans="1:50" x14ac:dyDescent="0.25">
      <c r="A215" t="s">
        <v>755</v>
      </c>
      <c r="B215" t="s">
        <v>51</v>
      </c>
      <c r="C215">
        <v>0</v>
      </c>
      <c r="D215">
        <v>1</v>
      </c>
      <c r="F215">
        <v>0</v>
      </c>
      <c r="G215">
        <v>1</v>
      </c>
      <c r="H215">
        <v>1</v>
      </c>
      <c r="I215">
        <v>1</v>
      </c>
      <c r="J215">
        <v>586</v>
      </c>
      <c r="K215">
        <v>0</v>
      </c>
      <c r="M215">
        <v>586</v>
      </c>
      <c r="N215">
        <v>0</v>
      </c>
      <c r="O215">
        <v>0</v>
      </c>
      <c r="P215">
        <v>0</v>
      </c>
      <c r="Q215">
        <v>1</v>
      </c>
      <c r="U215" t="s">
        <v>53</v>
      </c>
      <c r="V215">
        <v>43</v>
      </c>
      <c r="W215" t="s">
        <v>54</v>
      </c>
      <c r="X215" t="s">
        <v>80</v>
      </c>
      <c r="Y215">
        <v>0</v>
      </c>
      <c r="Z215">
        <v>86.183000000000007</v>
      </c>
      <c r="AB215" t="s">
        <v>118</v>
      </c>
      <c r="AD215" t="s">
        <v>57</v>
      </c>
      <c r="AE215">
        <v>1</v>
      </c>
      <c r="AF215">
        <v>5</v>
      </c>
      <c r="AG215">
        <v>1</v>
      </c>
      <c r="AH215">
        <v>3</v>
      </c>
      <c r="AI215">
        <v>512</v>
      </c>
      <c r="AJ215">
        <v>512</v>
      </c>
      <c r="AK215">
        <v>158</v>
      </c>
      <c r="AL215" t="s">
        <v>128</v>
      </c>
      <c r="AM215">
        <v>1</v>
      </c>
      <c r="AN215" t="s">
        <v>51</v>
      </c>
      <c r="AO215" t="s">
        <v>67</v>
      </c>
      <c r="AP215" t="s">
        <v>114</v>
      </c>
      <c r="AQ215">
        <v>15</v>
      </c>
      <c r="AR215">
        <v>682</v>
      </c>
      <c r="AS215">
        <v>1364</v>
      </c>
      <c r="AT215">
        <v>2.4079999999999999</v>
      </c>
      <c r="AU215">
        <v>5.5149999999999997</v>
      </c>
      <c r="AV215" t="s">
        <v>756</v>
      </c>
      <c r="AX215" t="s">
        <v>757</v>
      </c>
    </row>
    <row r="216" spans="1:50" x14ac:dyDescent="0.25">
      <c r="A216" t="s">
        <v>758</v>
      </c>
      <c r="B216" t="s">
        <v>51</v>
      </c>
      <c r="C216">
        <v>0</v>
      </c>
      <c r="D216">
        <v>0</v>
      </c>
      <c r="F216">
        <v>0</v>
      </c>
      <c r="G216">
        <v>0</v>
      </c>
      <c r="H216">
        <v>1</v>
      </c>
      <c r="I216">
        <v>1</v>
      </c>
      <c r="J216">
        <v>422</v>
      </c>
      <c r="K216">
        <v>0</v>
      </c>
      <c r="M216">
        <v>0</v>
      </c>
      <c r="N216">
        <v>0</v>
      </c>
      <c r="O216">
        <v>0</v>
      </c>
      <c r="P216">
        <v>0</v>
      </c>
      <c r="Q216">
        <v>0</v>
      </c>
      <c r="T216" t="s">
        <v>52</v>
      </c>
      <c r="U216" t="s">
        <v>65</v>
      </c>
      <c r="V216">
        <v>65</v>
      </c>
      <c r="W216" t="s">
        <v>79</v>
      </c>
      <c r="X216" t="s">
        <v>80</v>
      </c>
      <c r="Y216">
        <v>0</v>
      </c>
      <c r="AD216" t="s">
        <v>57</v>
      </c>
      <c r="AE216">
        <v>1</v>
      </c>
      <c r="AF216">
        <v>4</v>
      </c>
      <c r="AG216">
        <v>1</v>
      </c>
      <c r="AH216">
        <v>1.5</v>
      </c>
      <c r="AI216">
        <v>448</v>
      </c>
      <c r="AJ216">
        <v>448</v>
      </c>
      <c r="AK216">
        <v>176</v>
      </c>
      <c r="AL216" t="s">
        <v>230</v>
      </c>
      <c r="AM216">
        <v>1</v>
      </c>
      <c r="AN216" t="s">
        <v>51</v>
      </c>
      <c r="AO216" t="s">
        <v>59</v>
      </c>
      <c r="AP216" t="s">
        <v>60</v>
      </c>
      <c r="AQ216">
        <v>15</v>
      </c>
      <c r="AR216">
        <v>67</v>
      </c>
      <c r="AS216">
        <v>171</v>
      </c>
      <c r="AT216">
        <v>1.39</v>
      </c>
      <c r="AU216">
        <v>4.37</v>
      </c>
      <c r="AV216" t="s">
        <v>759</v>
      </c>
      <c r="AX216" t="s">
        <v>760</v>
      </c>
    </row>
    <row r="217" spans="1:50" x14ac:dyDescent="0.25">
      <c r="A217" t="s">
        <v>761</v>
      </c>
      <c r="B217" t="s">
        <v>51</v>
      </c>
      <c r="C217">
        <v>0</v>
      </c>
      <c r="D217">
        <v>1</v>
      </c>
      <c r="F217">
        <v>0</v>
      </c>
      <c r="G217">
        <v>0</v>
      </c>
      <c r="H217">
        <v>0</v>
      </c>
      <c r="I217">
        <v>1</v>
      </c>
      <c r="J217">
        <v>1841</v>
      </c>
      <c r="K217">
        <v>0</v>
      </c>
      <c r="M217">
        <v>0</v>
      </c>
      <c r="N217">
        <v>0</v>
      </c>
      <c r="O217">
        <v>0</v>
      </c>
      <c r="P217">
        <v>0</v>
      </c>
      <c r="Q217">
        <v>0</v>
      </c>
      <c r="T217" t="s">
        <v>64</v>
      </c>
      <c r="U217" t="s">
        <v>65</v>
      </c>
      <c r="V217">
        <v>25</v>
      </c>
      <c r="W217" t="s">
        <v>54</v>
      </c>
      <c r="X217" t="s">
        <v>80</v>
      </c>
      <c r="Y217">
        <v>0</v>
      </c>
      <c r="AD217" t="s">
        <v>57</v>
      </c>
      <c r="AE217">
        <v>1</v>
      </c>
      <c r="AF217">
        <v>4</v>
      </c>
      <c r="AG217">
        <v>1</v>
      </c>
      <c r="AH217">
        <v>1.5</v>
      </c>
      <c r="AI217">
        <v>512</v>
      </c>
      <c r="AJ217">
        <v>512</v>
      </c>
      <c r="AK217">
        <v>196</v>
      </c>
      <c r="AL217" t="s">
        <v>119</v>
      </c>
      <c r="AM217">
        <v>1.1000000000000001</v>
      </c>
      <c r="AN217" t="s">
        <v>51</v>
      </c>
      <c r="AO217" t="s">
        <v>67</v>
      </c>
      <c r="AP217" t="s">
        <v>68</v>
      </c>
      <c r="AQ217">
        <v>15</v>
      </c>
      <c r="AR217">
        <v>350</v>
      </c>
      <c r="AS217">
        <v>700</v>
      </c>
      <c r="AT217">
        <v>2.4359999999999999</v>
      </c>
      <c r="AU217">
        <v>5.1639999999999997</v>
      </c>
      <c r="AV217" t="s">
        <v>762</v>
      </c>
      <c r="AX217" t="s">
        <v>763</v>
      </c>
    </row>
    <row r="218" spans="1:50" x14ac:dyDescent="0.25">
      <c r="A218" t="s">
        <v>764</v>
      </c>
      <c r="B218" t="s">
        <v>51</v>
      </c>
      <c r="C218">
        <v>0</v>
      </c>
      <c r="D218">
        <v>0</v>
      </c>
      <c r="F218">
        <v>0</v>
      </c>
      <c r="G218">
        <v>0</v>
      </c>
      <c r="H218">
        <v>0</v>
      </c>
      <c r="I218">
        <v>0</v>
      </c>
      <c r="J218">
        <v>853</v>
      </c>
      <c r="K218">
        <v>0</v>
      </c>
      <c r="M218">
        <v>0</v>
      </c>
      <c r="N218">
        <v>0</v>
      </c>
      <c r="O218">
        <v>0</v>
      </c>
      <c r="P218">
        <v>0</v>
      </c>
      <c r="Q218">
        <v>0</v>
      </c>
      <c r="T218" t="s">
        <v>64</v>
      </c>
      <c r="U218" t="s">
        <v>65</v>
      </c>
      <c r="V218">
        <v>66</v>
      </c>
      <c r="W218" t="s">
        <v>79</v>
      </c>
      <c r="X218" t="s">
        <v>80</v>
      </c>
      <c r="Y218">
        <v>0</v>
      </c>
      <c r="AD218" t="s">
        <v>57</v>
      </c>
      <c r="AE218">
        <v>1</v>
      </c>
      <c r="AF218">
        <v>4</v>
      </c>
      <c r="AG218">
        <v>1</v>
      </c>
      <c r="AH218">
        <v>3</v>
      </c>
      <c r="AI218">
        <v>448</v>
      </c>
      <c r="AJ218">
        <v>448</v>
      </c>
      <c r="AK218">
        <v>224</v>
      </c>
      <c r="AL218" t="s">
        <v>75</v>
      </c>
      <c r="AM218">
        <v>1</v>
      </c>
      <c r="AN218" t="s">
        <v>51</v>
      </c>
      <c r="AO218" t="s">
        <v>59</v>
      </c>
      <c r="AP218" t="s">
        <v>107</v>
      </c>
      <c r="AQ218">
        <v>15</v>
      </c>
      <c r="AR218">
        <v>38</v>
      </c>
      <c r="AS218">
        <v>103</v>
      </c>
      <c r="AT218">
        <v>1.44</v>
      </c>
      <c r="AU218">
        <v>3.77</v>
      </c>
      <c r="AV218" t="s">
        <v>765</v>
      </c>
      <c r="AX218" t="s">
        <v>766</v>
      </c>
    </row>
    <row r="219" spans="1:50" x14ac:dyDescent="0.25">
      <c r="A219" t="s">
        <v>767</v>
      </c>
      <c r="B219" t="s">
        <v>51</v>
      </c>
      <c r="C219">
        <v>0</v>
      </c>
      <c r="D219">
        <v>1</v>
      </c>
      <c r="F219">
        <v>0</v>
      </c>
      <c r="G219">
        <v>0</v>
      </c>
      <c r="H219">
        <v>0</v>
      </c>
      <c r="I219">
        <v>1</v>
      </c>
      <c r="J219">
        <v>282</v>
      </c>
      <c r="K219">
        <v>0</v>
      </c>
      <c r="M219">
        <v>0</v>
      </c>
      <c r="N219">
        <v>1</v>
      </c>
      <c r="O219">
        <v>1</v>
      </c>
      <c r="P219">
        <v>1</v>
      </c>
      <c r="Q219">
        <v>1</v>
      </c>
      <c r="T219" t="s">
        <v>52</v>
      </c>
      <c r="U219" t="s">
        <v>72</v>
      </c>
      <c r="V219">
        <v>29</v>
      </c>
      <c r="W219" t="s">
        <v>79</v>
      </c>
      <c r="X219" t="s">
        <v>80</v>
      </c>
      <c r="Y219">
        <v>0</v>
      </c>
      <c r="Z219">
        <v>77.111000000000004</v>
      </c>
      <c r="AB219" t="s">
        <v>94</v>
      </c>
      <c r="AD219" t="s">
        <v>57</v>
      </c>
      <c r="AE219">
        <v>1</v>
      </c>
      <c r="AF219">
        <v>4</v>
      </c>
      <c r="AG219">
        <v>1</v>
      </c>
      <c r="AH219">
        <v>1.5</v>
      </c>
      <c r="AI219">
        <v>512</v>
      </c>
      <c r="AJ219">
        <v>512</v>
      </c>
      <c r="AK219">
        <v>160</v>
      </c>
      <c r="AL219" t="s">
        <v>81</v>
      </c>
      <c r="AM219">
        <v>1</v>
      </c>
      <c r="AN219" t="s">
        <v>51</v>
      </c>
      <c r="AO219" t="s">
        <v>67</v>
      </c>
      <c r="AP219" t="s">
        <v>68</v>
      </c>
      <c r="AQ219">
        <v>15</v>
      </c>
      <c r="AR219">
        <v>283</v>
      </c>
      <c r="AS219">
        <v>566</v>
      </c>
      <c r="AT219">
        <v>2.3199999999999998</v>
      </c>
      <c r="AU219">
        <v>4.944</v>
      </c>
      <c r="AV219" t="s">
        <v>768</v>
      </c>
      <c r="AX219" t="s">
        <v>769</v>
      </c>
    </row>
    <row r="220" spans="1:50" x14ac:dyDescent="0.25">
      <c r="A220" t="s">
        <v>770</v>
      </c>
      <c r="B220" t="s">
        <v>51</v>
      </c>
      <c r="C220">
        <v>0</v>
      </c>
      <c r="D220">
        <v>0</v>
      </c>
      <c r="F220">
        <v>0</v>
      </c>
      <c r="G220">
        <v>1</v>
      </c>
      <c r="H220">
        <v>0</v>
      </c>
      <c r="I220">
        <v>0</v>
      </c>
      <c r="J220">
        <v>1371</v>
      </c>
      <c r="K220">
        <v>0</v>
      </c>
      <c r="M220">
        <v>0</v>
      </c>
      <c r="N220">
        <v>1</v>
      </c>
      <c r="O220">
        <v>0</v>
      </c>
      <c r="P220">
        <v>1</v>
      </c>
      <c r="Q220">
        <v>1</v>
      </c>
      <c r="V220">
        <v>39</v>
      </c>
      <c r="W220" t="s">
        <v>79</v>
      </c>
      <c r="X220" t="s">
        <v>80</v>
      </c>
      <c r="Y220">
        <v>0</v>
      </c>
      <c r="Z220">
        <v>93.44</v>
      </c>
      <c r="AB220" t="s">
        <v>118</v>
      </c>
      <c r="AD220" t="s">
        <v>57</v>
      </c>
      <c r="AE220">
        <v>1</v>
      </c>
      <c r="AF220">
        <v>5</v>
      </c>
      <c r="AG220">
        <v>1</v>
      </c>
      <c r="AH220">
        <v>1.5</v>
      </c>
      <c r="AI220">
        <v>512</v>
      </c>
      <c r="AJ220">
        <v>512</v>
      </c>
      <c r="AK220">
        <v>200</v>
      </c>
      <c r="AL220" t="s">
        <v>88</v>
      </c>
      <c r="AM220">
        <v>1.1000000000000001</v>
      </c>
      <c r="AN220" t="s">
        <v>51</v>
      </c>
      <c r="AO220" t="s">
        <v>67</v>
      </c>
      <c r="AP220" t="s">
        <v>68</v>
      </c>
      <c r="AQ220">
        <v>15</v>
      </c>
      <c r="AR220">
        <v>177</v>
      </c>
      <c r="AS220">
        <v>355</v>
      </c>
      <c r="AT220">
        <v>2.2320000000000002</v>
      </c>
      <c r="AU220">
        <v>4.78</v>
      </c>
      <c r="AV220" t="s">
        <v>771</v>
      </c>
      <c r="AX220" t="s">
        <v>772</v>
      </c>
    </row>
    <row r="221" spans="1:50" x14ac:dyDescent="0.25">
      <c r="A221" t="s">
        <v>773</v>
      </c>
      <c r="B221" t="s">
        <v>51</v>
      </c>
      <c r="C221">
        <v>0</v>
      </c>
      <c r="D221">
        <v>1</v>
      </c>
      <c r="F221">
        <v>0</v>
      </c>
      <c r="G221">
        <v>0</v>
      </c>
      <c r="H221">
        <v>0</v>
      </c>
      <c r="I221">
        <v>1</v>
      </c>
      <c r="J221">
        <v>1823</v>
      </c>
      <c r="K221">
        <v>0</v>
      </c>
      <c r="M221">
        <v>0</v>
      </c>
      <c r="N221">
        <v>1</v>
      </c>
      <c r="O221">
        <v>1</v>
      </c>
      <c r="P221">
        <v>1</v>
      </c>
      <c r="Q221">
        <v>0</v>
      </c>
      <c r="U221" t="s">
        <v>93</v>
      </c>
      <c r="V221">
        <v>72</v>
      </c>
      <c r="W221" t="s">
        <v>79</v>
      </c>
      <c r="X221" t="s">
        <v>55</v>
      </c>
      <c r="Y221">
        <v>0</v>
      </c>
      <c r="Z221">
        <v>68.039000000000001</v>
      </c>
      <c r="AB221" t="s">
        <v>74</v>
      </c>
      <c r="AD221" t="s">
        <v>57</v>
      </c>
      <c r="AE221">
        <v>1</v>
      </c>
      <c r="AF221">
        <v>5</v>
      </c>
      <c r="AG221">
        <v>1</v>
      </c>
      <c r="AH221">
        <v>3</v>
      </c>
      <c r="AI221">
        <v>512</v>
      </c>
      <c r="AJ221">
        <v>512</v>
      </c>
      <c r="AK221">
        <v>148</v>
      </c>
      <c r="AL221" t="s">
        <v>774</v>
      </c>
      <c r="AM221">
        <v>1</v>
      </c>
      <c r="AN221" t="s">
        <v>51</v>
      </c>
      <c r="AO221" t="s">
        <v>67</v>
      </c>
      <c r="AP221" t="s">
        <v>114</v>
      </c>
      <c r="AQ221">
        <v>15</v>
      </c>
      <c r="AR221">
        <v>972</v>
      </c>
      <c r="AS221">
        <v>1944</v>
      </c>
      <c r="AT221">
        <v>2.5960000000000001</v>
      </c>
      <c r="AU221">
        <v>7.3949999999999996</v>
      </c>
      <c r="AV221" t="s">
        <v>775</v>
      </c>
      <c r="AX221" t="s">
        <v>776</v>
      </c>
    </row>
    <row r="222" spans="1:50" x14ac:dyDescent="0.25">
      <c r="A222" t="s">
        <v>777</v>
      </c>
      <c r="B222" t="s">
        <v>51</v>
      </c>
      <c r="C222">
        <v>0</v>
      </c>
      <c r="D222">
        <v>1</v>
      </c>
      <c r="F222">
        <v>0</v>
      </c>
      <c r="G222">
        <v>0</v>
      </c>
      <c r="H222">
        <v>0</v>
      </c>
      <c r="I222">
        <v>0</v>
      </c>
      <c r="J222">
        <v>1488</v>
      </c>
      <c r="K222">
        <v>0</v>
      </c>
      <c r="M222">
        <v>0</v>
      </c>
      <c r="N222">
        <v>0</v>
      </c>
      <c r="O222">
        <v>0</v>
      </c>
      <c r="P222">
        <v>0</v>
      </c>
      <c r="Q222">
        <v>0</v>
      </c>
      <c r="U222" t="s">
        <v>65</v>
      </c>
      <c r="V222">
        <v>61</v>
      </c>
      <c r="W222" t="s">
        <v>79</v>
      </c>
      <c r="X222" t="s">
        <v>80</v>
      </c>
      <c r="Y222">
        <v>0</v>
      </c>
      <c r="Z222">
        <v>86.183000000000007</v>
      </c>
      <c r="AB222" t="s">
        <v>118</v>
      </c>
      <c r="AC222" t="s">
        <v>152</v>
      </c>
      <c r="AD222" t="s">
        <v>57</v>
      </c>
      <c r="AE222">
        <v>1</v>
      </c>
      <c r="AF222">
        <v>5</v>
      </c>
      <c r="AG222">
        <v>1</v>
      </c>
      <c r="AH222">
        <v>3</v>
      </c>
      <c r="AI222">
        <v>512</v>
      </c>
      <c r="AJ222">
        <v>512</v>
      </c>
      <c r="AK222">
        <v>142</v>
      </c>
      <c r="AL222" t="s">
        <v>119</v>
      </c>
      <c r="AM222">
        <v>1.2</v>
      </c>
      <c r="AN222" t="s">
        <v>51</v>
      </c>
      <c r="AO222" t="s">
        <v>67</v>
      </c>
      <c r="AP222" t="s">
        <v>114</v>
      </c>
      <c r="AQ222">
        <v>15</v>
      </c>
      <c r="AR222">
        <v>763</v>
      </c>
      <c r="AS222">
        <v>1527</v>
      </c>
      <c r="AT222">
        <v>2.3879999999999999</v>
      </c>
      <c r="AU222">
        <v>5.1760000000000002</v>
      </c>
      <c r="AV222" t="s">
        <v>778</v>
      </c>
      <c r="AX222" t="s">
        <v>779</v>
      </c>
    </row>
    <row r="223" spans="1:50" x14ac:dyDescent="0.25">
      <c r="A223" t="s">
        <v>780</v>
      </c>
      <c r="B223" t="s">
        <v>51</v>
      </c>
      <c r="C223">
        <v>1</v>
      </c>
      <c r="D223">
        <v>0</v>
      </c>
      <c r="F223">
        <v>0</v>
      </c>
      <c r="G223">
        <v>0</v>
      </c>
      <c r="H223">
        <v>0</v>
      </c>
      <c r="I223">
        <v>0</v>
      </c>
      <c r="J223">
        <v>2336</v>
      </c>
      <c r="K223">
        <v>0</v>
      </c>
      <c r="M223">
        <v>0</v>
      </c>
      <c r="N223">
        <v>1</v>
      </c>
      <c r="O223">
        <v>1</v>
      </c>
      <c r="P223">
        <v>1</v>
      </c>
      <c r="Q223">
        <v>0</v>
      </c>
      <c r="S223">
        <v>8</v>
      </c>
      <c r="T223" t="s">
        <v>52</v>
      </c>
      <c r="U223" t="s">
        <v>93</v>
      </c>
      <c r="V223">
        <v>48</v>
      </c>
      <c r="W223" t="s">
        <v>54</v>
      </c>
      <c r="X223" t="s">
        <v>80</v>
      </c>
      <c r="Y223">
        <v>0</v>
      </c>
      <c r="Z223">
        <v>64.41</v>
      </c>
      <c r="AB223" t="s">
        <v>74</v>
      </c>
      <c r="AD223" t="s">
        <v>57</v>
      </c>
      <c r="AE223">
        <v>1</v>
      </c>
      <c r="AF223">
        <v>5</v>
      </c>
      <c r="AG223">
        <v>1</v>
      </c>
      <c r="AH223">
        <v>3</v>
      </c>
      <c r="AI223">
        <v>512</v>
      </c>
      <c r="AJ223">
        <v>512</v>
      </c>
      <c r="AK223">
        <v>176</v>
      </c>
      <c r="AL223" t="s">
        <v>81</v>
      </c>
      <c r="AM223">
        <v>1</v>
      </c>
      <c r="AN223" t="s">
        <v>51</v>
      </c>
      <c r="AO223" t="s">
        <v>67</v>
      </c>
      <c r="AP223" t="s">
        <v>114</v>
      </c>
      <c r="AQ223">
        <v>15</v>
      </c>
      <c r="AR223">
        <v>610</v>
      </c>
      <c r="AS223">
        <v>1221</v>
      </c>
      <c r="AT223">
        <v>2.42</v>
      </c>
      <c r="AU223">
        <v>5.6669999999999998</v>
      </c>
      <c r="AV223" t="s">
        <v>781</v>
      </c>
      <c r="AX223" t="s">
        <v>782</v>
      </c>
    </row>
    <row r="224" spans="1:50" x14ac:dyDescent="0.25">
      <c r="A224" t="s">
        <v>783</v>
      </c>
      <c r="B224" t="s">
        <v>51</v>
      </c>
      <c r="C224">
        <v>0</v>
      </c>
      <c r="D224">
        <v>1</v>
      </c>
      <c r="F224">
        <v>0</v>
      </c>
      <c r="G224">
        <v>1</v>
      </c>
      <c r="H224">
        <v>0</v>
      </c>
      <c r="I224">
        <v>1</v>
      </c>
      <c r="J224">
        <v>976</v>
      </c>
      <c r="K224">
        <v>0</v>
      </c>
      <c r="M224">
        <v>0</v>
      </c>
      <c r="N224">
        <v>0</v>
      </c>
      <c r="O224">
        <v>0</v>
      </c>
      <c r="P224">
        <v>0</v>
      </c>
      <c r="Q224">
        <v>1</v>
      </c>
      <c r="T224" t="s">
        <v>64</v>
      </c>
      <c r="U224" t="s">
        <v>53</v>
      </c>
      <c r="V224">
        <v>40</v>
      </c>
      <c r="W224" t="s">
        <v>54</v>
      </c>
      <c r="X224" t="s">
        <v>55</v>
      </c>
      <c r="Y224">
        <v>0</v>
      </c>
      <c r="Z224">
        <v>59.420608028700002</v>
      </c>
      <c r="AA224">
        <v>1.7272034566667001</v>
      </c>
      <c r="AB224" t="s">
        <v>74</v>
      </c>
      <c r="AD224" t="s">
        <v>57</v>
      </c>
      <c r="AE224">
        <v>1</v>
      </c>
      <c r="AF224">
        <v>4</v>
      </c>
      <c r="AG224">
        <v>1</v>
      </c>
      <c r="AH224">
        <v>1.5</v>
      </c>
      <c r="AI224">
        <v>448</v>
      </c>
      <c r="AJ224">
        <v>448</v>
      </c>
      <c r="AK224">
        <v>176</v>
      </c>
      <c r="AL224" t="s">
        <v>230</v>
      </c>
      <c r="AM224">
        <v>1</v>
      </c>
      <c r="AN224" t="s">
        <v>51</v>
      </c>
      <c r="AO224" t="s">
        <v>59</v>
      </c>
      <c r="AP224" t="s">
        <v>60</v>
      </c>
      <c r="AQ224">
        <v>11</v>
      </c>
      <c r="AR224">
        <v>71</v>
      </c>
      <c r="AS224">
        <v>181</v>
      </c>
      <c r="AT224">
        <v>1.39</v>
      </c>
      <c r="AU224">
        <v>4.37</v>
      </c>
      <c r="AV224" t="s">
        <v>784</v>
      </c>
      <c r="AX224" t="s">
        <v>785</v>
      </c>
    </row>
    <row r="225" spans="1:50" x14ac:dyDescent="0.25">
      <c r="A225" t="s">
        <v>786</v>
      </c>
      <c r="B225" t="s">
        <v>51</v>
      </c>
      <c r="C225">
        <v>0</v>
      </c>
      <c r="D225">
        <v>0</v>
      </c>
      <c r="F225">
        <v>0</v>
      </c>
      <c r="G225">
        <v>1</v>
      </c>
      <c r="H225">
        <v>0</v>
      </c>
      <c r="I225">
        <v>1</v>
      </c>
      <c r="J225">
        <v>2940</v>
      </c>
      <c r="K225">
        <v>0</v>
      </c>
      <c r="M225">
        <v>0</v>
      </c>
      <c r="N225">
        <v>1</v>
      </c>
      <c r="O225">
        <v>1</v>
      </c>
      <c r="P225">
        <v>0</v>
      </c>
      <c r="Q225">
        <v>1</v>
      </c>
      <c r="U225" t="s">
        <v>72</v>
      </c>
      <c r="V225">
        <v>41</v>
      </c>
      <c r="W225" t="s">
        <v>54</v>
      </c>
      <c r="X225" t="s">
        <v>321</v>
      </c>
      <c r="Y225">
        <v>0</v>
      </c>
      <c r="Z225">
        <v>52.163129185499997</v>
      </c>
      <c r="AA225">
        <v>1.6256032533333</v>
      </c>
      <c r="AB225" t="s">
        <v>74</v>
      </c>
      <c r="AD225" t="s">
        <v>57</v>
      </c>
      <c r="AE225">
        <v>1</v>
      </c>
      <c r="AF225">
        <v>5</v>
      </c>
      <c r="AG225">
        <v>1</v>
      </c>
      <c r="AH225">
        <v>3</v>
      </c>
      <c r="AI225">
        <v>448</v>
      </c>
      <c r="AJ225">
        <v>448</v>
      </c>
      <c r="AK225">
        <v>160</v>
      </c>
      <c r="AL225" t="s">
        <v>196</v>
      </c>
      <c r="AM225">
        <v>1.1000000238419001</v>
      </c>
      <c r="AN225" t="s">
        <v>51</v>
      </c>
      <c r="AO225" t="s">
        <v>59</v>
      </c>
      <c r="AP225" t="s">
        <v>124</v>
      </c>
      <c r="AQ225">
        <v>11</v>
      </c>
      <c r="AR225">
        <v>81</v>
      </c>
      <c r="AS225">
        <v>219</v>
      </c>
      <c r="AT225">
        <v>1.6</v>
      </c>
      <c r="AU225">
        <v>4.09</v>
      </c>
      <c r="AV225" t="s">
        <v>787</v>
      </c>
      <c r="AX225" t="s">
        <v>788</v>
      </c>
    </row>
    <row r="226" spans="1:50" x14ac:dyDescent="0.25">
      <c r="A226" t="s">
        <v>789</v>
      </c>
      <c r="B226" t="s">
        <v>51</v>
      </c>
      <c r="C226">
        <v>0</v>
      </c>
      <c r="D226">
        <v>0</v>
      </c>
      <c r="F226">
        <v>0</v>
      </c>
      <c r="G226">
        <v>0</v>
      </c>
      <c r="H226">
        <v>0</v>
      </c>
      <c r="I226">
        <v>0</v>
      </c>
      <c r="J226">
        <v>1094</v>
      </c>
      <c r="K226">
        <v>0</v>
      </c>
      <c r="M226">
        <v>0</v>
      </c>
      <c r="N226">
        <v>1</v>
      </c>
      <c r="O226">
        <v>1</v>
      </c>
      <c r="P226">
        <v>1</v>
      </c>
      <c r="Q226">
        <v>0</v>
      </c>
      <c r="T226" t="s">
        <v>52</v>
      </c>
      <c r="U226" t="s">
        <v>93</v>
      </c>
      <c r="V226">
        <v>60</v>
      </c>
      <c r="W226" t="s">
        <v>79</v>
      </c>
      <c r="X226" t="s">
        <v>80</v>
      </c>
      <c r="Y226">
        <v>0</v>
      </c>
      <c r="Z226">
        <v>75.296000000000006</v>
      </c>
      <c r="AB226" t="s">
        <v>94</v>
      </c>
      <c r="AD226" t="s">
        <v>57</v>
      </c>
      <c r="AE226">
        <v>1</v>
      </c>
      <c r="AF226">
        <v>4</v>
      </c>
      <c r="AG226">
        <v>1</v>
      </c>
      <c r="AH226">
        <v>3</v>
      </c>
      <c r="AI226">
        <v>512</v>
      </c>
      <c r="AJ226">
        <v>512</v>
      </c>
      <c r="AK226">
        <v>158</v>
      </c>
      <c r="AL226" t="s">
        <v>81</v>
      </c>
      <c r="AM226">
        <v>1</v>
      </c>
      <c r="AN226" t="s">
        <v>51</v>
      </c>
      <c r="AO226" t="s">
        <v>67</v>
      </c>
      <c r="AP226" t="s">
        <v>68</v>
      </c>
      <c r="AQ226">
        <v>15</v>
      </c>
      <c r="AR226">
        <v>231</v>
      </c>
      <c r="AS226">
        <v>462</v>
      </c>
      <c r="AT226">
        <v>2.6120000000000001</v>
      </c>
      <c r="AU226">
        <v>6.1020000000000003</v>
      </c>
      <c r="AV226" t="s">
        <v>790</v>
      </c>
      <c r="AX226" t="s">
        <v>791</v>
      </c>
    </row>
    <row r="227" spans="1:50" x14ac:dyDescent="0.25">
      <c r="A227" t="s">
        <v>792</v>
      </c>
      <c r="B227" t="s">
        <v>51</v>
      </c>
      <c r="C227">
        <v>0</v>
      </c>
      <c r="D227">
        <v>1</v>
      </c>
      <c r="F227">
        <v>0</v>
      </c>
      <c r="G227">
        <v>1</v>
      </c>
      <c r="H227">
        <v>0</v>
      </c>
      <c r="I227">
        <v>0</v>
      </c>
      <c r="J227">
        <v>2205</v>
      </c>
      <c r="K227">
        <v>0</v>
      </c>
      <c r="M227">
        <v>0</v>
      </c>
      <c r="N227">
        <v>1</v>
      </c>
      <c r="O227">
        <v>1</v>
      </c>
      <c r="P227">
        <v>1</v>
      </c>
      <c r="Q227">
        <v>0</v>
      </c>
      <c r="S227">
        <v>50</v>
      </c>
      <c r="T227" t="s">
        <v>64</v>
      </c>
      <c r="U227" t="s">
        <v>93</v>
      </c>
      <c r="V227">
        <v>50</v>
      </c>
      <c r="W227" t="s">
        <v>79</v>
      </c>
      <c r="X227" t="s">
        <v>80</v>
      </c>
      <c r="Y227">
        <v>0</v>
      </c>
      <c r="Z227">
        <v>54.430999999999997</v>
      </c>
      <c r="AB227" t="s">
        <v>74</v>
      </c>
      <c r="AD227" t="s">
        <v>57</v>
      </c>
      <c r="AE227">
        <v>1</v>
      </c>
      <c r="AF227">
        <v>4</v>
      </c>
      <c r="AG227">
        <v>1</v>
      </c>
      <c r="AH227">
        <v>1.5</v>
      </c>
      <c r="AI227">
        <v>512</v>
      </c>
      <c r="AJ227">
        <v>512</v>
      </c>
      <c r="AK227">
        <v>160</v>
      </c>
      <c r="AL227" t="s">
        <v>66</v>
      </c>
      <c r="AM227">
        <v>1</v>
      </c>
      <c r="AN227" t="s">
        <v>51</v>
      </c>
      <c r="AO227" t="s">
        <v>67</v>
      </c>
      <c r="AP227" t="s">
        <v>68</v>
      </c>
      <c r="AQ227">
        <v>15</v>
      </c>
      <c r="AR227">
        <v>502</v>
      </c>
      <c r="AS227">
        <v>1004</v>
      </c>
      <c r="AT227">
        <v>2.4039999999999999</v>
      </c>
      <c r="AU227">
        <v>5.0359999999999996</v>
      </c>
      <c r="AV227" t="s">
        <v>793</v>
      </c>
      <c r="AX227" t="s">
        <v>794</v>
      </c>
    </row>
    <row r="228" spans="1:50" x14ac:dyDescent="0.25">
      <c r="A228" t="s">
        <v>795</v>
      </c>
      <c r="B228" t="s">
        <v>51</v>
      </c>
      <c r="C228">
        <v>0</v>
      </c>
      <c r="D228">
        <v>1</v>
      </c>
      <c r="F228">
        <v>0</v>
      </c>
      <c r="G228">
        <v>0</v>
      </c>
      <c r="H228">
        <v>0</v>
      </c>
      <c r="I228">
        <v>1</v>
      </c>
      <c r="J228">
        <v>566</v>
      </c>
      <c r="K228">
        <v>0</v>
      </c>
      <c r="M228">
        <v>0</v>
      </c>
      <c r="N228">
        <v>1</v>
      </c>
      <c r="O228">
        <v>1</v>
      </c>
      <c r="P228">
        <v>1</v>
      </c>
      <c r="Q228">
        <v>0</v>
      </c>
      <c r="T228" t="s">
        <v>52</v>
      </c>
      <c r="U228" t="s">
        <v>93</v>
      </c>
      <c r="V228">
        <v>45</v>
      </c>
      <c r="W228" t="s">
        <v>54</v>
      </c>
      <c r="X228" t="s">
        <v>55</v>
      </c>
      <c r="Y228">
        <v>0</v>
      </c>
      <c r="Z228">
        <v>72.575000000000003</v>
      </c>
      <c r="AB228" t="s">
        <v>94</v>
      </c>
      <c r="AD228" t="s">
        <v>57</v>
      </c>
      <c r="AE228">
        <v>1</v>
      </c>
      <c r="AF228">
        <v>5</v>
      </c>
      <c r="AG228">
        <v>1</v>
      </c>
      <c r="AH228">
        <v>3</v>
      </c>
      <c r="AI228">
        <v>512</v>
      </c>
      <c r="AJ228">
        <v>512</v>
      </c>
      <c r="AK228">
        <v>176</v>
      </c>
      <c r="AL228" t="s">
        <v>119</v>
      </c>
      <c r="AM228">
        <v>1</v>
      </c>
      <c r="AN228" t="s">
        <v>51</v>
      </c>
      <c r="AO228" t="s">
        <v>67</v>
      </c>
      <c r="AP228" t="s">
        <v>114</v>
      </c>
      <c r="AQ228">
        <v>15</v>
      </c>
      <c r="AR228">
        <v>920</v>
      </c>
      <c r="AS228">
        <v>1840</v>
      </c>
      <c r="AT228">
        <v>2.3839999999999999</v>
      </c>
      <c r="AU228">
        <v>5.375</v>
      </c>
      <c r="AV228" t="s">
        <v>796</v>
      </c>
      <c r="AX228" t="s">
        <v>797</v>
      </c>
    </row>
    <row r="229" spans="1:50" x14ac:dyDescent="0.25">
      <c r="A229" t="s">
        <v>798</v>
      </c>
      <c r="B229" t="s">
        <v>51</v>
      </c>
      <c r="C229">
        <v>0</v>
      </c>
      <c r="D229">
        <v>1</v>
      </c>
      <c r="F229">
        <v>0</v>
      </c>
      <c r="G229">
        <v>1</v>
      </c>
      <c r="H229">
        <v>0</v>
      </c>
      <c r="I229">
        <v>1</v>
      </c>
      <c r="J229">
        <v>1211</v>
      </c>
      <c r="K229">
        <v>0</v>
      </c>
      <c r="M229">
        <v>0</v>
      </c>
      <c r="N229">
        <v>0</v>
      </c>
      <c r="O229">
        <v>0</v>
      </c>
      <c r="P229">
        <v>0</v>
      </c>
      <c r="Q229">
        <v>1</v>
      </c>
      <c r="T229" t="s">
        <v>64</v>
      </c>
      <c r="U229" t="s">
        <v>53</v>
      </c>
      <c r="V229">
        <v>59</v>
      </c>
      <c r="W229" t="s">
        <v>79</v>
      </c>
      <c r="X229" t="s">
        <v>80</v>
      </c>
      <c r="Y229">
        <v>0</v>
      </c>
      <c r="Z229">
        <v>58.06</v>
      </c>
      <c r="AB229" t="s">
        <v>74</v>
      </c>
      <c r="AD229" t="s">
        <v>57</v>
      </c>
      <c r="AE229">
        <v>1</v>
      </c>
      <c r="AF229">
        <v>4</v>
      </c>
      <c r="AG229">
        <v>1</v>
      </c>
      <c r="AH229">
        <v>1.5</v>
      </c>
      <c r="AI229">
        <v>512</v>
      </c>
      <c r="AJ229">
        <v>512</v>
      </c>
      <c r="AK229">
        <v>176</v>
      </c>
      <c r="AL229" t="s">
        <v>119</v>
      </c>
      <c r="AM229">
        <v>1.1000000000000001</v>
      </c>
      <c r="AN229" t="s">
        <v>51</v>
      </c>
      <c r="AO229" t="s">
        <v>67</v>
      </c>
      <c r="AP229" t="s">
        <v>89</v>
      </c>
      <c r="AQ229">
        <v>15</v>
      </c>
      <c r="AR229">
        <v>441</v>
      </c>
      <c r="AS229">
        <v>883</v>
      </c>
      <c r="AT229">
        <v>2.476</v>
      </c>
      <c r="AU229">
        <v>5.2960000000000003</v>
      </c>
      <c r="AV229" t="s">
        <v>799</v>
      </c>
      <c r="AX229" t="s">
        <v>800</v>
      </c>
    </row>
    <row r="230" spans="1:50" x14ac:dyDescent="0.25">
      <c r="A230" t="s">
        <v>801</v>
      </c>
      <c r="B230" t="s">
        <v>51</v>
      </c>
      <c r="C230">
        <v>0</v>
      </c>
      <c r="D230">
        <v>0</v>
      </c>
      <c r="F230">
        <v>0</v>
      </c>
      <c r="G230">
        <v>0</v>
      </c>
      <c r="H230">
        <v>0</v>
      </c>
      <c r="I230">
        <v>1</v>
      </c>
      <c r="J230">
        <v>1305</v>
      </c>
      <c r="K230">
        <v>0</v>
      </c>
      <c r="M230">
        <v>0</v>
      </c>
      <c r="N230">
        <v>0</v>
      </c>
      <c r="O230">
        <v>0</v>
      </c>
      <c r="P230">
        <v>0</v>
      </c>
      <c r="Q230">
        <v>0</v>
      </c>
      <c r="T230" t="s">
        <v>64</v>
      </c>
      <c r="U230" t="s">
        <v>65</v>
      </c>
      <c r="V230">
        <v>43</v>
      </c>
      <c r="W230" t="s">
        <v>54</v>
      </c>
      <c r="X230" t="s">
        <v>55</v>
      </c>
      <c r="Y230">
        <v>0</v>
      </c>
      <c r="AD230" t="s">
        <v>57</v>
      </c>
      <c r="AE230">
        <v>1</v>
      </c>
      <c r="AF230">
        <v>4</v>
      </c>
      <c r="AG230">
        <v>1</v>
      </c>
      <c r="AH230">
        <v>1.5</v>
      </c>
      <c r="AI230">
        <v>512</v>
      </c>
      <c r="AJ230">
        <v>512</v>
      </c>
      <c r="AK230">
        <v>174</v>
      </c>
      <c r="AL230" t="s">
        <v>350</v>
      </c>
      <c r="AM230">
        <v>1.2</v>
      </c>
      <c r="AN230" t="s">
        <v>51</v>
      </c>
      <c r="AO230" t="s">
        <v>67</v>
      </c>
      <c r="AP230" t="s">
        <v>89</v>
      </c>
      <c r="AQ230">
        <v>15</v>
      </c>
      <c r="AR230">
        <v>346</v>
      </c>
      <c r="AS230">
        <v>693</v>
      </c>
      <c r="AT230">
        <v>2.4039999999999999</v>
      </c>
      <c r="AU230">
        <v>5.1680000000000001</v>
      </c>
      <c r="AV230" t="s">
        <v>802</v>
      </c>
      <c r="AX230" t="s">
        <v>803</v>
      </c>
    </row>
    <row r="231" spans="1:50" x14ac:dyDescent="0.25">
      <c r="A231" t="s">
        <v>804</v>
      </c>
      <c r="B231" t="s">
        <v>51</v>
      </c>
      <c r="C231">
        <v>0</v>
      </c>
      <c r="D231">
        <v>0</v>
      </c>
      <c r="F231">
        <v>0</v>
      </c>
      <c r="G231">
        <v>0</v>
      </c>
      <c r="H231">
        <v>0</v>
      </c>
      <c r="I231">
        <v>1</v>
      </c>
      <c r="J231">
        <v>1168</v>
      </c>
      <c r="K231">
        <v>0</v>
      </c>
      <c r="M231">
        <v>0</v>
      </c>
      <c r="N231">
        <v>1</v>
      </c>
      <c r="O231">
        <v>1</v>
      </c>
      <c r="P231">
        <v>1</v>
      </c>
      <c r="Q231">
        <v>0</v>
      </c>
      <c r="U231" t="s">
        <v>93</v>
      </c>
      <c r="V231">
        <v>47</v>
      </c>
      <c r="W231" t="s">
        <v>54</v>
      </c>
      <c r="X231" t="s">
        <v>80</v>
      </c>
      <c r="Y231">
        <v>0</v>
      </c>
      <c r="Z231">
        <v>55.792000000000002</v>
      </c>
      <c r="AB231" t="s">
        <v>74</v>
      </c>
      <c r="AD231" t="s">
        <v>57</v>
      </c>
      <c r="AE231">
        <v>1</v>
      </c>
      <c r="AF231">
        <v>5</v>
      </c>
      <c r="AG231">
        <v>1</v>
      </c>
      <c r="AH231">
        <v>3</v>
      </c>
      <c r="AI231">
        <v>512</v>
      </c>
      <c r="AJ231">
        <v>512</v>
      </c>
      <c r="AK231">
        <v>146</v>
      </c>
      <c r="AL231" t="s">
        <v>81</v>
      </c>
      <c r="AM231">
        <v>1</v>
      </c>
      <c r="AN231" t="s">
        <v>51</v>
      </c>
      <c r="AO231" t="s">
        <v>67</v>
      </c>
      <c r="AP231" t="s">
        <v>114</v>
      </c>
      <c r="AQ231">
        <v>15</v>
      </c>
      <c r="AR231">
        <v>565</v>
      </c>
      <c r="AS231">
        <v>1130</v>
      </c>
      <c r="AT231">
        <v>2.4159999999999999</v>
      </c>
      <c r="AU231">
        <v>5.6589999999999998</v>
      </c>
      <c r="AV231" t="s">
        <v>805</v>
      </c>
      <c r="AX231" t="s">
        <v>806</v>
      </c>
    </row>
    <row r="232" spans="1:50" x14ac:dyDescent="0.25">
      <c r="A232" t="s">
        <v>807</v>
      </c>
      <c r="B232" t="s">
        <v>51</v>
      </c>
      <c r="C232">
        <v>0</v>
      </c>
      <c r="D232">
        <v>1</v>
      </c>
      <c r="F232">
        <v>0</v>
      </c>
      <c r="G232">
        <v>1</v>
      </c>
      <c r="H232">
        <v>0</v>
      </c>
      <c r="I232">
        <v>1</v>
      </c>
      <c r="J232">
        <v>1790</v>
      </c>
      <c r="K232">
        <v>0</v>
      </c>
      <c r="M232">
        <v>0</v>
      </c>
      <c r="N232">
        <v>1</v>
      </c>
      <c r="O232">
        <v>1</v>
      </c>
      <c r="P232">
        <v>1</v>
      </c>
      <c r="Q232">
        <v>1</v>
      </c>
      <c r="T232" t="s">
        <v>52</v>
      </c>
      <c r="U232" t="s">
        <v>72</v>
      </c>
      <c r="V232">
        <v>54</v>
      </c>
      <c r="W232" t="s">
        <v>79</v>
      </c>
      <c r="X232" t="s">
        <v>80</v>
      </c>
      <c r="Y232">
        <v>0</v>
      </c>
      <c r="Z232">
        <v>90.718485540000003</v>
      </c>
      <c r="AA232">
        <v>1.6764033549999999</v>
      </c>
      <c r="AB232" t="s">
        <v>118</v>
      </c>
      <c r="AD232" t="s">
        <v>57</v>
      </c>
      <c r="AE232">
        <v>1</v>
      </c>
      <c r="AF232">
        <v>4</v>
      </c>
      <c r="AG232">
        <v>1</v>
      </c>
      <c r="AH232">
        <v>1.5</v>
      </c>
      <c r="AI232">
        <v>448</v>
      </c>
      <c r="AJ232">
        <v>448</v>
      </c>
      <c r="AK232">
        <v>176</v>
      </c>
      <c r="AL232" t="s">
        <v>123</v>
      </c>
      <c r="AM232">
        <v>1</v>
      </c>
      <c r="AN232" t="s">
        <v>51</v>
      </c>
      <c r="AO232" t="s">
        <v>59</v>
      </c>
      <c r="AP232" t="s">
        <v>60</v>
      </c>
      <c r="AQ232">
        <v>11</v>
      </c>
      <c r="AR232">
        <v>63</v>
      </c>
      <c r="AS232">
        <v>161</v>
      </c>
      <c r="AT232">
        <v>1.36</v>
      </c>
      <c r="AU232">
        <v>4.3099999999999996</v>
      </c>
      <c r="AV232" t="s">
        <v>808</v>
      </c>
      <c r="AX232" t="s">
        <v>809</v>
      </c>
    </row>
    <row r="233" spans="1:50" x14ac:dyDescent="0.25">
      <c r="A233" t="s">
        <v>810</v>
      </c>
      <c r="B233" t="s">
        <v>51</v>
      </c>
      <c r="C233">
        <v>0</v>
      </c>
      <c r="D233">
        <v>0</v>
      </c>
      <c r="F233">
        <v>0</v>
      </c>
      <c r="G233">
        <v>0</v>
      </c>
      <c r="H233">
        <v>0</v>
      </c>
      <c r="I233">
        <v>1</v>
      </c>
      <c r="J233">
        <v>1408</v>
      </c>
      <c r="K233">
        <v>0</v>
      </c>
      <c r="M233">
        <v>0</v>
      </c>
      <c r="N233">
        <v>1</v>
      </c>
      <c r="O233">
        <v>1</v>
      </c>
      <c r="P233">
        <v>1</v>
      </c>
      <c r="Q233">
        <v>0</v>
      </c>
      <c r="T233" t="s">
        <v>52</v>
      </c>
      <c r="U233" t="s">
        <v>93</v>
      </c>
      <c r="V233">
        <v>44</v>
      </c>
      <c r="W233" t="s">
        <v>54</v>
      </c>
      <c r="X233" t="s">
        <v>80</v>
      </c>
      <c r="Y233">
        <v>0</v>
      </c>
      <c r="Z233">
        <v>74.84</v>
      </c>
      <c r="AB233" t="s">
        <v>94</v>
      </c>
      <c r="AD233" t="s">
        <v>57</v>
      </c>
      <c r="AE233">
        <v>1</v>
      </c>
      <c r="AF233">
        <v>4</v>
      </c>
      <c r="AG233">
        <v>1</v>
      </c>
      <c r="AH233">
        <v>1.5</v>
      </c>
      <c r="AI233">
        <v>512</v>
      </c>
      <c r="AJ233">
        <v>512</v>
      </c>
      <c r="AK233">
        <v>174</v>
      </c>
      <c r="AL233" t="s">
        <v>119</v>
      </c>
      <c r="AM233">
        <v>1</v>
      </c>
      <c r="AN233" t="s">
        <v>51</v>
      </c>
      <c r="AO233" t="s">
        <v>67</v>
      </c>
      <c r="AP233" t="s">
        <v>89</v>
      </c>
      <c r="AQ233">
        <v>15</v>
      </c>
      <c r="AR233">
        <v>466</v>
      </c>
      <c r="AS233">
        <v>933</v>
      </c>
      <c r="AT233">
        <v>2.476</v>
      </c>
      <c r="AU233">
        <v>5.34</v>
      </c>
      <c r="AV233" t="s">
        <v>811</v>
      </c>
      <c r="AX233" t="s">
        <v>812</v>
      </c>
    </row>
    <row r="234" spans="1:50" x14ac:dyDescent="0.25">
      <c r="A234" t="s">
        <v>813</v>
      </c>
      <c r="B234" t="s">
        <v>51</v>
      </c>
      <c r="C234">
        <v>0</v>
      </c>
      <c r="D234">
        <v>1</v>
      </c>
      <c r="F234">
        <v>0</v>
      </c>
      <c r="G234">
        <v>0</v>
      </c>
      <c r="H234">
        <v>0</v>
      </c>
      <c r="I234">
        <v>1</v>
      </c>
      <c r="J234">
        <v>1132</v>
      </c>
      <c r="K234">
        <v>0</v>
      </c>
      <c r="M234">
        <v>0</v>
      </c>
      <c r="N234">
        <v>1</v>
      </c>
      <c r="O234">
        <v>1</v>
      </c>
      <c r="P234">
        <v>1</v>
      </c>
      <c r="Q234">
        <v>0</v>
      </c>
      <c r="T234" t="s">
        <v>289</v>
      </c>
      <c r="U234" t="s">
        <v>93</v>
      </c>
      <c r="V234">
        <v>57</v>
      </c>
      <c r="W234" t="s">
        <v>79</v>
      </c>
      <c r="X234" t="s">
        <v>80</v>
      </c>
      <c r="Y234">
        <v>0</v>
      </c>
      <c r="Z234">
        <v>81.646636986000004</v>
      </c>
      <c r="AA234">
        <v>1.5494031008333</v>
      </c>
      <c r="AB234" t="s">
        <v>118</v>
      </c>
      <c r="AD234" t="s">
        <v>57</v>
      </c>
      <c r="AE234">
        <v>1</v>
      </c>
      <c r="AF234">
        <v>4</v>
      </c>
      <c r="AG234">
        <v>1</v>
      </c>
      <c r="AH234">
        <v>3</v>
      </c>
      <c r="AI234">
        <v>448</v>
      </c>
      <c r="AJ234">
        <v>448</v>
      </c>
      <c r="AK234">
        <v>208</v>
      </c>
      <c r="AL234" t="s">
        <v>814</v>
      </c>
      <c r="AM234">
        <v>1</v>
      </c>
      <c r="AN234" t="s">
        <v>51</v>
      </c>
      <c r="AO234" t="s">
        <v>59</v>
      </c>
      <c r="AP234" t="s">
        <v>107</v>
      </c>
      <c r="AQ234">
        <v>11</v>
      </c>
      <c r="AR234">
        <v>130</v>
      </c>
      <c r="AS234">
        <v>338</v>
      </c>
      <c r="AT234">
        <v>1.44</v>
      </c>
      <c r="AU234">
        <v>3.77</v>
      </c>
      <c r="AV234" t="s">
        <v>815</v>
      </c>
      <c r="AX234" t="s">
        <v>816</v>
      </c>
    </row>
    <row r="235" spans="1:50" x14ac:dyDescent="0.25">
      <c r="A235" t="s">
        <v>817</v>
      </c>
      <c r="B235" t="s">
        <v>51</v>
      </c>
      <c r="C235">
        <v>0</v>
      </c>
      <c r="D235">
        <v>0</v>
      </c>
      <c r="F235">
        <v>0</v>
      </c>
      <c r="G235">
        <v>0</v>
      </c>
      <c r="I235">
        <v>0</v>
      </c>
      <c r="J235">
        <v>204</v>
      </c>
      <c r="K235">
        <v>0</v>
      </c>
      <c r="M235">
        <v>0</v>
      </c>
      <c r="N235">
        <v>0</v>
      </c>
      <c r="O235">
        <v>0</v>
      </c>
      <c r="P235">
        <v>0</v>
      </c>
      <c r="Q235">
        <v>0</v>
      </c>
      <c r="U235" t="s">
        <v>65</v>
      </c>
      <c r="V235">
        <v>21</v>
      </c>
      <c r="W235" t="s">
        <v>54</v>
      </c>
      <c r="X235" t="s">
        <v>80</v>
      </c>
      <c r="Y235">
        <v>0</v>
      </c>
      <c r="Z235">
        <v>92.986447678499999</v>
      </c>
      <c r="AB235" t="s">
        <v>118</v>
      </c>
      <c r="AD235" t="s">
        <v>57</v>
      </c>
      <c r="AE235">
        <v>1</v>
      </c>
      <c r="AF235">
        <v>5</v>
      </c>
      <c r="AG235">
        <v>1</v>
      </c>
      <c r="AH235">
        <v>1.5</v>
      </c>
      <c r="AI235">
        <v>448</v>
      </c>
      <c r="AJ235">
        <v>448</v>
      </c>
      <c r="AK235">
        <v>160</v>
      </c>
      <c r="AL235" t="s">
        <v>123</v>
      </c>
      <c r="AM235">
        <v>1.1000000238419001</v>
      </c>
      <c r="AN235" t="s">
        <v>51</v>
      </c>
      <c r="AO235" t="s">
        <v>59</v>
      </c>
      <c r="AP235" t="s">
        <v>60</v>
      </c>
      <c r="AQ235">
        <v>11</v>
      </c>
      <c r="AR235">
        <v>58</v>
      </c>
      <c r="AS235">
        <v>158</v>
      </c>
      <c r="AT235">
        <v>1.39</v>
      </c>
      <c r="AU235">
        <v>4.12</v>
      </c>
      <c r="AV235" t="s">
        <v>818</v>
      </c>
      <c r="AX235" t="s">
        <v>819</v>
      </c>
    </row>
    <row r="236" spans="1:50" x14ac:dyDescent="0.25">
      <c r="A236" t="s">
        <v>820</v>
      </c>
      <c r="B236" t="s">
        <v>51</v>
      </c>
      <c r="C236">
        <v>0</v>
      </c>
      <c r="D236">
        <v>1</v>
      </c>
      <c r="F236">
        <v>0</v>
      </c>
      <c r="G236">
        <v>1</v>
      </c>
      <c r="H236">
        <v>0</v>
      </c>
      <c r="I236">
        <v>1</v>
      </c>
      <c r="J236">
        <v>1175</v>
      </c>
      <c r="K236">
        <v>1582</v>
      </c>
      <c r="M236">
        <v>0</v>
      </c>
      <c r="N236">
        <v>1</v>
      </c>
      <c r="O236">
        <v>1</v>
      </c>
      <c r="P236">
        <v>1</v>
      </c>
      <c r="Q236">
        <v>1</v>
      </c>
      <c r="T236" t="s">
        <v>64</v>
      </c>
      <c r="U236" t="s">
        <v>72</v>
      </c>
      <c r="V236">
        <v>46</v>
      </c>
      <c r="W236" t="s">
        <v>54</v>
      </c>
      <c r="X236" t="s">
        <v>55</v>
      </c>
      <c r="Y236">
        <v>0</v>
      </c>
      <c r="Z236">
        <v>84.821783979900005</v>
      </c>
      <c r="AA236">
        <v>1.6510033041667</v>
      </c>
      <c r="AB236" t="s">
        <v>118</v>
      </c>
      <c r="AD236" t="s">
        <v>57</v>
      </c>
      <c r="AE236">
        <v>1</v>
      </c>
      <c r="AF236">
        <v>5</v>
      </c>
      <c r="AG236">
        <v>1</v>
      </c>
      <c r="AH236">
        <v>3</v>
      </c>
      <c r="AI236">
        <v>448</v>
      </c>
      <c r="AJ236">
        <v>448</v>
      </c>
      <c r="AK236">
        <v>160</v>
      </c>
      <c r="AL236" t="s">
        <v>501</v>
      </c>
      <c r="AM236">
        <v>1.1200000047684</v>
      </c>
      <c r="AN236" t="s">
        <v>51</v>
      </c>
      <c r="AO236" t="s">
        <v>59</v>
      </c>
      <c r="AP236" t="s">
        <v>124</v>
      </c>
      <c r="AQ236">
        <v>11</v>
      </c>
      <c r="AR236">
        <v>55</v>
      </c>
      <c r="AS236">
        <v>155</v>
      </c>
      <c r="AT236">
        <v>1.35</v>
      </c>
      <c r="AU236">
        <v>4.09</v>
      </c>
      <c r="AV236" t="s">
        <v>821</v>
      </c>
      <c r="AX236" t="s">
        <v>822</v>
      </c>
    </row>
    <row r="237" spans="1:50" x14ac:dyDescent="0.25">
      <c r="A237" t="s">
        <v>823</v>
      </c>
      <c r="B237" t="s">
        <v>51</v>
      </c>
      <c r="C237">
        <v>1</v>
      </c>
      <c r="D237">
        <v>1</v>
      </c>
      <c r="F237">
        <v>0</v>
      </c>
      <c r="G237">
        <v>0</v>
      </c>
      <c r="H237">
        <v>0</v>
      </c>
      <c r="I237">
        <v>1</v>
      </c>
      <c r="J237">
        <v>1072</v>
      </c>
      <c r="K237">
        <v>0</v>
      </c>
      <c r="M237">
        <v>0</v>
      </c>
      <c r="N237">
        <v>1</v>
      </c>
      <c r="O237">
        <v>1</v>
      </c>
      <c r="P237">
        <v>1</v>
      </c>
      <c r="Q237">
        <v>0</v>
      </c>
      <c r="T237" t="s">
        <v>52</v>
      </c>
      <c r="U237" t="s">
        <v>93</v>
      </c>
      <c r="V237">
        <v>36</v>
      </c>
      <c r="W237" t="s">
        <v>54</v>
      </c>
      <c r="X237" t="s">
        <v>111</v>
      </c>
      <c r="Y237">
        <v>0</v>
      </c>
      <c r="Z237">
        <v>58.967015601</v>
      </c>
      <c r="AA237">
        <v>1.6256032533333</v>
      </c>
      <c r="AB237" t="s">
        <v>74</v>
      </c>
      <c r="AD237" t="s">
        <v>57</v>
      </c>
      <c r="AE237">
        <v>1</v>
      </c>
      <c r="AF237">
        <v>4</v>
      </c>
      <c r="AG237">
        <v>1</v>
      </c>
      <c r="AH237">
        <v>3</v>
      </c>
      <c r="AI237">
        <v>448</v>
      </c>
      <c r="AJ237">
        <v>448</v>
      </c>
      <c r="AK237">
        <v>128</v>
      </c>
      <c r="AL237" t="s">
        <v>58</v>
      </c>
      <c r="AM237">
        <v>1.2999999523162999</v>
      </c>
      <c r="AN237" t="s">
        <v>51</v>
      </c>
      <c r="AO237" t="s">
        <v>59</v>
      </c>
      <c r="AP237" t="s">
        <v>124</v>
      </c>
      <c r="AQ237">
        <v>11</v>
      </c>
      <c r="AR237">
        <v>171</v>
      </c>
      <c r="AS237">
        <v>322</v>
      </c>
      <c r="AT237">
        <v>1.44</v>
      </c>
      <c r="AU237">
        <v>3.7</v>
      </c>
      <c r="AV237" t="s">
        <v>824</v>
      </c>
      <c r="AX237" t="s">
        <v>825</v>
      </c>
    </row>
    <row r="238" spans="1:50" x14ac:dyDescent="0.25">
      <c r="A238" t="s">
        <v>826</v>
      </c>
      <c r="B238" t="s">
        <v>51</v>
      </c>
      <c r="C238">
        <v>0</v>
      </c>
      <c r="D238">
        <v>0</v>
      </c>
      <c r="F238">
        <v>0</v>
      </c>
      <c r="G238">
        <v>0</v>
      </c>
      <c r="H238">
        <v>0</v>
      </c>
      <c r="I238">
        <v>1</v>
      </c>
      <c r="J238">
        <v>1926</v>
      </c>
      <c r="K238">
        <v>0</v>
      </c>
      <c r="M238">
        <v>0</v>
      </c>
      <c r="N238">
        <v>0</v>
      </c>
      <c r="O238">
        <v>0</v>
      </c>
      <c r="P238">
        <v>0</v>
      </c>
      <c r="Q238">
        <v>0</v>
      </c>
      <c r="U238" t="s">
        <v>65</v>
      </c>
      <c r="V238">
        <v>60</v>
      </c>
      <c r="W238" t="s">
        <v>79</v>
      </c>
      <c r="X238" t="s">
        <v>80</v>
      </c>
      <c r="Y238">
        <v>0</v>
      </c>
      <c r="Z238">
        <v>54.430999999999997</v>
      </c>
      <c r="AB238" t="s">
        <v>74</v>
      </c>
      <c r="AD238" t="s">
        <v>57</v>
      </c>
      <c r="AE238">
        <v>1</v>
      </c>
      <c r="AF238">
        <v>5</v>
      </c>
      <c r="AG238">
        <v>1</v>
      </c>
      <c r="AH238">
        <v>3</v>
      </c>
      <c r="AI238">
        <v>512</v>
      </c>
      <c r="AJ238">
        <v>512</v>
      </c>
      <c r="AK238">
        <v>150</v>
      </c>
      <c r="AL238" t="s">
        <v>81</v>
      </c>
      <c r="AM238">
        <v>1</v>
      </c>
      <c r="AN238" t="s">
        <v>51</v>
      </c>
      <c r="AO238" t="s">
        <v>67</v>
      </c>
      <c r="AP238" t="s">
        <v>114</v>
      </c>
      <c r="AQ238">
        <v>15</v>
      </c>
      <c r="AR238">
        <v>667</v>
      </c>
      <c r="AS238">
        <v>1334</v>
      </c>
      <c r="AT238">
        <v>2.4159999999999999</v>
      </c>
      <c r="AU238">
        <v>5.6619999999999999</v>
      </c>
      <c r="AV238" t="s">
        <v>827</v>
      </c>
      <c r="AX238" t="s">
        <v>828</v>
      </c>
    </row>
    <row r="239" spans="1:50" x14ac:dyDescent="0.25">
      <c r="A239" t="s">
        <v>829</v>
      </c>
      <c r="B239" t="s">
        <v>51</v>
      </c>
      <c r="C239">
        <v>0</v>
      </c>
      <c r="D239">
        <v>0</v>
      </c>
      <c r="F239">
        <v>0</v>
      </c>
      <c r="G239">
        <v>0</v>
      </c>
      <c r="H239">
        <v>0</v>
      </c>
      <c r="I239">
        <v>0</v>
      </c>
      <c r="J239">
        <v>1069</v>
      </c>
      <c r="K239">
        <v>0</v>
      </c>
      <c r="M239">
        <v>0</v>
      </c>
      <c r="N239">
        <v>1</v>
      </c>
      <c r="O239">
        <v>1</v>
      </c>
      <c r="P239">
        <v>0</v>
      </c>
      <c r="Q239">
        <v>0</v>
      </c>
      <c r="T239" t="s">
        <v>64</v>
      </c>
      <c r="U239" t="s">
        <v>93</v>
      </c>
      <c r="V239">
        <v>72</v>
      </c>
      <c r="W239" t="s">
        <v>79</v>
      </c>
      <c r="X239" t="s">
        <v>55</v>
      </c>
      <c r="Y239">
        <v>0</v>
      </c>
      <c r="Z239">
        <v>108.862182648</v>
      </c>
      <c r="AA239">
        <v>1.7272034566667001</v>
      </c>
      <c r="AB239" t="s">
        <v>56</v>
      </c>
      <c r="AD239" t="s">
        <v>57</v>
      </c>
      <c r="AE239">
        <v>1</v>
      </c>
      <c r="AF239">
        <v>4</v>
      </c>
      <c r="AG239">
        <v>1</v>
      </c>
      <c r="AH239">
        <v>1.5</v>
      </c>
      <c r="AI239">
        <v>448</v>
      </c>
      <c r="AJ239">
        <v>448</v>
      </c>
      <c r="AK239">
        <v>176</v>
      </c>
      <c r="AL239" t="s">
        <v>436</v>
      </c>
      <c r="AM239">
        <v>1</v>
      </c>
      <c r="AN239" t="s">
        <v>51</v>
      </c>
      <c r="AO239" t="s">
        <v>59</v>
      </c>
      <c r="AP239" t="s">
        <v>60</v>
      </c>
      <c r="AQ239">
        <v>11</v>
      </c>
      <c r="AR239">
        <v>56</v>
      </c>
      <c r="AS239">
        <v>150</v>
      </c>
      <c r="AT239">
        <v>1.29</v>
      </c>
      <c r="AU239">
        <v>4.3099999999999996</v>
      </c>
      <c r="AV239" t="s">
        <v>830</v>
      </c>
      <c r="AX239" t="s">
        <v>831</v>
      </c>
    </row>
    <row r="240" spans="1:50" x14ac:dyDescent="0.25">
      <c r="A240" t="s">
        <v>832</v>
      </c>
      <c r="B240" t="s">
        <v>51</v>
      </c>
      <c r="C240">
        <v>0</v>
      </c>
      <c r="D240">
        <v>0</v>
      </c>
      <c r="F240">
        <v>0</v>
      </c>
      <c r="G240">
        <v>0</v>
      </c>
      <c r="H240">
        <v>0</v>
      </c>
      <c r="I240">
        <v>1</v>
      </c>
      <c r="J240">
        <v>1101</v>
      </c>
      <c r="K240">
        <v>0</v>
      </c>
      <c r="M240">
        <v>1356</v>
      </c>
      <c r="N240">
        <v>1</v>
      </c>
      <c r="O240">
        <v>1</v>
      </c>
      <c r="P240">
        <v>1</v>
      </c>
      <c r="Q240">
        <v>0</v>
      </c>
      <c r="T240" t="s">
        <v>289</v>
      </c>
      <c r="U240" t="s">
        <v>93</v>
      </c>
      <c r="V240">
        <v>49</v>
      </c>
      <c r="W240" t="s">
        <v>54</v>
      </c>
      <c r="X240" t="s">
        <v>55</v>
      </c>
      <c r="Y240">
        <v>0</v>
      </c>
      <c r="Z240">
        <v>77.110712708999998</v>
      </c>
      <c r="AB240" t="s">
        <v>94</v>
      </c>
      <c r="AD240" t="s">
        <v>57</v>
      </c>
      <c r="AE240">
        <v>1</v>
      </c>
      <c r="AF240">
        <v>4</v>
      </c>
      <c r="AG240">
        <v>1</v>
      </c>
      <c r="AH240">
        <v>1.5</v>
      </c>
      <c r="AI240">
        <v>448</v>
      </c>
      <c r="AJ240">
        <v>448</v>
      </c>
      <c r="AK240">
        <v>160</v>
      </c>
      <c r="AL240" t="s">
        <v>123</v>
      </c>
      <c r="AM240">
        <v>1</v>
      </c>
      <c r="AN240" t="s">
        <v>51</v>
      </c>
      <c r="AO240" t="s">
        <v>59</v>
      </c>
      <c r="AP240" t="s">
        <v>60</v>
      </c>
      <c r="AQ240">
        <v>11</v>
      </c>
      <c r="AR240">
        <v>67</v>
      </c>
      <c r="AS240">
        <v>172</v>
      </c>
      <c r="AT240">
        <v>1.36</v>
      </c>
      <c r="AU240">
        <v>4.3099999999999996</v>
      </c>
      <c r="AV240" t="s">
        <v>833</v>
      </c>
      <c r="AX240" t="s">
        <v>834</v>
      </c>
    </row>
    <row r="241" spans="1:50" x14ac:dyDescent="0.25">
      <c r="A241" t="s">
        <v>835</v>
      </c>
      <c r="B241" t="s">
        <v>51</v>
      </c>
      <c r="C241">
        <v>0</v>
      </c>
      <c r="D241">
        <v>0</v>
      </c>
      <c r="F241">
        <v>0</v>
      </c>
      <c r="G241">
        <v>1</v>
      </c>
      <c r="H241">
        <v>1</v>
      </c>
      <c r="I241">
        <v>0</v>
      </c>
      <c r="J241">
        <v>537</v>
      </c>
      <c r="K241">
        <v>0</v>
      </c>
      <c r="M241">
        <v>0</v>
      </c>
      <c r="N241">
        <v>1</v>
      </c>
      <c r="O241">
        <v>1</v>
      </c>
      <c r="P241">
        <v>1</v>
      </c>
      <c r="Q241">
        <v>1</v>
      </c>
      <c r="T241" t="s">
        <v>52</v>
      </c>
      <c r="U241" t="s">
        <v>72</v>
      </c>
      <c r="V241">
        <v>33</v>
      </c>
      <c r="W241" t="s">
        <v>54</v>
      </c>
      <c r="X241" t="s">
        <v>55</v>
      </c>
      <c r="Y241">
        <v>0</v>
      </c>
      <c r="Z241">
        <v>95.254000000000005</v>
      </c>
      <c r="AB241" t="s">
        <v>118</v>
      </c>
      <c r="AD241" t="s">
        <v>57</v>
      </c>
      <c r="AE241">
        <v>1</v>
      </c>
      <c r="AF241">
        <v>5</v>
      </c>
      <c r="AG241">
        <v>1</v>
      </c>
      <c r="AH241">
        <v>3</v>
      </c>
      <c r="AI241">
        <v>512</v>
      </c>
      <c r="AJ241">
        <v>512</v>
      </c>
      <c r="AK241">
        <v>92</v>
      </c>
      <c r="AL241" t="s">
        <v>196</v>
      </c>
      <c r="AM241">
        <v>1.6</v>
      </c>
      <c r="AN241" t="s">
        <v>51</v>
      </c>
      <c r="AO241" t="s">
        <v>67</v>
      </c>
      <c r="AP241" t="s">
        <v>659</v>
      </c>
      <c r="AQ241">
        <v>15</v>
      </c>
      <c r="AR241">
        <v>723</v>
      </c>
      <c r="AS241">
        <v>1447</v>
      </c>
      <c r="AT241">
        <v>2.488</v>
      </c>
      <c r="AU241">
        <v>5.7830000000000004</v>
      </c>
      <c r="AV241" t="s">
        <v>836</v>
      </c>
      <c r="AX241" t="s">
        <v>837</v>
      </c>
    </row>
    <row r="242" spans="1:50" x14ac:dyDescent="0.25">
      <c r="A242" t="s">
        <v>838</v>
      </c>
      <c r="B242" t="s">
        <v>51</v>
      </c>
      <c r="C242">
        <v>0</v>
      </c>
      <c r="D242">
        <v>1</v>
      </c>
      <c r="F242">
        <v>0</v>
      </c>
      <c r="G242">
        <v>1</v>
      </c>
      <c r="H242">
        <v>0</v>
      </c>
      <c r="I242">
        <v>1</v>
      </c>
      <c r="J242">
        <v>1480</v>
      </c>
      <c r="K242">
        <v>0</v>
      </c>
      <c r="M242">
        <v>0</v>
      </c>
      <c r="N242">
        <v>1</v>
      </c>
      <c r="O242">
        <v>1</v>
      </c>
      <c r="P242">
        <v>1</v>
      </c>
      <c r="Q242">
        <v>0</v>
      </c>
      <c r="U242" t="s">
        <v>93</v>
      </c>
      <c r="V242">
        <v>54</v>
      </c>
      <c r="W242" t="s">
        <v>79</v>
      </c>
      <c r="X242" t="s">
        <v>55</v>
      </c>
      <c r="Y242">
        <v>0</v>
      </c>
      <c r="Z242">
        <v>77.111000000000004</v>
      </c>
      <c r="AB242" t="s">
        <v>94</v>
      </c>
      <c r="AC242" t="s">
        <v>102</v>
      </c>
      <c r="AD242" t="s">
        <v>57</v>
      </c>
      <c r="AE242">
        <v>1</v>
      </c>
      <c r="AF242">
        <v>5</v>
      </c>
      <c r="AG242">
        <v>1</v>
      </c>
      <c r="AH242">
        <v>3</v>
      </c>
      <c r="AI242">
        <v>512</v>
      </c>
      <c r="AJ242">
        <v>512</v>
      </c>
      <c r="AK242">
        <v>176</v>
      </c>
      <c r="AL242" t="s">
        <v>128</v>
      </c>
      <c r="AM242">
        <v>1</v>
      </c>
      <c r="AN242" t="s">
        <v>51</v>
      </c>
      <c r="AO242" t="s">
        <v>67</v>
      </c>
      <c r="AP242" t="s">
        <v>114</v>
      </c>
      <c r="AQ242">
        <v>15</v>
      </c>
      <c r="AR242">
        <v>873</v>
      </c>
      <c r="AS242">
        <v>1747</v>
      </c>
      <c r="AT242">
        <v>2.4039999999999999</v>
      </c>
      <c r="AU242">
        <v>5.5259999999999998</v>
      </c>
      <c r="AV242" t="s">
        <v>839</v>
      </c>
      <c r="AX242" t="s">
        <v>840</v>
      </c>
    </row>
    <row r="243" spans="1:50" x14ac:dyDescent="0.25">
      <c r="A243" t="s">
        <v>841</v>
      </c>
      <c r="B243" t="s">
        <v>51</v>
      </c>
      <c r="C243">
        <v>0</v>
      </c>
      <c r="D243">
        <v>0</v>
      </c>
      <c r="F243">
        <v>0</v>
      </c>
      <c r="G243">
        <v>0</v>
      </c>
      <c r="H243">
        <v>0</v>
      </c>
      <c r="I243">
        <v>1</v>
      </c>
      <c r="J243">
        <v>1099</v>
      </c>
      <c r="K243">
        <v>0</v>
      </c>
      <c r="M243">
        <v>0</v>
      </c>
      <c r="N243">
        <v>1</v>
      </c>
      <c r="O243">
        <v>1</v>
      </c>
      <c r="P243">
        <v>0</v>
      </c>
      <c r="Q243">
        <v>0</v>
      </c>
      <c r="T243" t="s">
        <v>52</v>
      </c>
      <c r="U243" t="s">
        <v>93</v>
      </c>
      <c r="V243">
        <v>51</v>
      </c>
      <c r="W243" t="s">
        <v>79</v>
      </c>
      <c r="X243" t="s">
        <v>80</v>
      </c>
      <c r="Y243">
        <v>0</v>
      </c>
      <c r="Z243">
        <v>73.481999999999999</v>
      </c>
      <c r="AB243" t="s">
        <v>94</v>
      </c>
      <c r="AD243" t="s">
        <v>57</v>
      </c>
      <c r="AE243">
        <v>1</v>
      </c>
      <c r="AF243">
        <v>4</v>
      </c>
      <c r="AG243">
        <v>1</v>
      </c>
      <c r="AH243">
        <v>3</v>
      </c>
      <c r="AI243">
        <v>512</v>
      </c>
      <c r="AJ243">
        <v>512</v>
      </c>
      <c r="AK243">
        <v>156</v>
      </c>
      <c r="AL243" t="s">
        <v>81</v>
      </c>
      <c r="AM243">
        <v>1.3</v>
      </c>
      <c r="AN243" t="s">
        <v>51</v>
      </c>
      <c r="AO243" t="s">
        <v>67</v>
      </c>
      <c r="AP243" t="s">
        <v>68</v>
      </c>
      <c r="AQ243">
        <v>15</v>
      </c>
      <c r="AR243">
        <v>598</v>
      </c>
      <c r="AS243">
        <v>1197</v>
      </c>
      <c r="AT243">
        <v>2.6120000000000001</v>
      </c>
      <c r="AU243">
        <v>6.0389999999999997</v>
      </c>
      <c r="AV243" t="s">
        <v>842</v>
      </c>
      <c r="AX243" t="s">
        <v>843</v>
      </c>
    </row>
    <row r="244" spans="1:50" x14ac:dyDescent="0.25">
      <c r="A244" t="s">
        <v>844</v>
      </c>
      <c r="B244" t="s">
        <v>51</v>
      </c>
      <c r="C244">
        <v>0</v>
      </c>
      <c r="D244">
        <v>0</v>
      </c>
      <c r="F244">
        <v>0</v>
      </c>
      <c r="G244">
        <v>0</v>
      </c>
      <c r="H244">
        <v>1</v>
      </c>
      <c r="I244">
        <v>0</v>
      </c>
      <c r="J244">
        <v>1361</v>
      </c>
      <c r="K244">
        <v>0</v>
      </c>
      <c r="M244">
        <v>0</v>
      </c>
      <c r="N244">
        <v>0</v>
      </c>
      <c r="O244">
        <v>0</v>
      </c>
      <c r="P244">
        <v>0</v>
      </c>
      <c r="Q244">
        <v>0</v>
      </c>
      <c r="T244" t="s">
        <v>52</v>
      </c>
      <c r="U244" t="s">
        <v>65</v>
      </c>
      <c r="V244">
        <v>58</v>
      </c>
      <c r="W244" t="s">
        <v>79</v>
      </c>
      <c r="X244" t="s">
        <v>55</v>
      </c>
      <c r="Y244">
        <v>0</v>
      </c>
      <c r="AD244" t="s">
        <v>57</v>
      </c>
      <c r="AE244">
        <v>1</v>
      </c>
      <c r="AF244">
        <v>4</v>
      </c>
      <c r="AG244">
        <v>1</v>
      </c>
      <c r="AH244">
        <v>3</v>
      </c>
      <c r="AI244">
        <v>448</v>
      </c>
      <c r="AJ244">
        <v>448</v>
      </c>
      <c r="AK244">
        <v>208</v>
      </c>
      <c r="AL244" t="s">
        <v>75</v>
      </c>
      <c r="AM244">
        <v>1.1000000238419001</v>
      </c>
      <c r="AN244" t="s">
        <v>51</v>
      </c>
      <c r="AO244" t="s">
        <v>59</v>
      </c>
      <c r="AP244" t="s">
        <v>107</v>
      </c>
      <c r="AQ244">
        <v>15</v>
      </c>
      <c r="AR244">
        <v>165</v>
      </c>
      <c r="AS244">
        <v>420</v>
      </c>
      <c r="AT244">
        <v>1.44</v>
      </c>
      <c r="AU244">
        <v>3.77</v>
      </c>
      <c r="AV244" t="s">
        <v>845</v>
      </c>
      <c r="AX244" t="s">
        <v>846</v>
      </c>
    </row>
    <row r="245" spans="1:50" x14ac:dyDescent="0.25">
      <c r="A245" t="s">
        <v>847</v>
      </c>
      <c r="B245" t="s">
        <v>51</v>
      </c>
      <c r="C245">
        <v>0</v>
      </c>
      <c r="D245">
        <v>0</v>
      </c>
      <c r="F245">
        <v>0</v>
      </c>
      <c r="G245">
        <v>0</v>
      </c>
      <c r="H245">
        <v>0</v>
      </c>
      <c r="I245">
        <v>0</v>
      </c>
      <c r="J245">
        <v>1957</v>
      </c>
      <c r="K245">
        <v>0</v>
      </c>
      <c r="M245">
        <v>0</v>
      </c>
      <c r="N245">
        <v>0</v>
      </c>
      <c r="O245">
        <v>0</v>
      </c>
      <c r="P245">
        <v>0</v>
      </c>
      <c r="Q245">
        <v>0</v>
      </c>
      <c r="T245" t="s">
        <v>64</v>
      </c>
      <c r="U245" t="s">
        <v>65</v>
      </c>
      <c r="V245">
        <v>42</v>
      </c>
      <c r="W245" t="s">
        <v>54</v>
      </c>
      <c r="X245" t="s">
        <v>55</v>
      </c>
      <c r="Y245">
        <v>0</v>
      </c>
      <c r="AD245" t="s">
        <v>57</v>
      </c>
      <c r="AE245">
        <v>1</v>
      </c>
      <c r="AF245">
        <v>4</v>
      </c>
      <c r="AG245">
        <v>1</v>
      </c>
      <c r="AH245">
        <v>3</v>
      </c>
      <c r="AI245">
        <v>512</v>
      </c>
      <c r="AJ245">
        <v>512</v>
      </c>
      <c r="AK245">
        <v>182</v>
      </c>
      <c r="AL245" t="s">
        <v>81</v>
      </c>
      <c r="AM245">
        <v>1</v>
      </c>
      <c r="AN245" t="s">
        <v>51</v>
      </c>
      <c r="AO245" t="s">
        <v>67</v>
      </c>
      <c r="AP245" t="s">
        <v>68</v>
      </c>
      <c r="AQ245">
        <v>15</v>
      </c>
      <c r="AR245">
        <v>607</v>
      </c>
      <c r="AS245">
        <v>1214</v>
      </c>
      <c r="AT245">
        <v>2.4159999999999999</v>
      </c>
      <c r="AU245">
        <v>5.6660000000000004</v>
      </c>
      <c r="AV245" t="s">
        <v>848</v>
      </c>
      <c r="AX245" t="s">
        <v>849</v>
      </c>
    </row>
    <row r="246" spans="1:50" x14ac:dyDescent="0.25">
      <c r="A246" t="s">
        <v>850</v>
      </c>
      <c r="B246" t="s">
        <v>51</v>
      </c>
      <c r="C246">
        <v>0</v>
      </c>
      <c r="D246">
        <v>0</v>
      </c>
      <c r="F246">
        <v>0</v>
      </c>
      <c r="G246">
        <v>0</v>
      </c>
      <c r="H246">
        <v>0</v>
      </c>
      <c r="I246">
        <v>0</v>
      </c>
      <c r="K246">
        <v>785</v>
      </c>
      <c r="M246">
        <v>831</v>
      </c>
      <c r="N246">
        <v>0</v>
      </c>
      <c r="O246">
        <v>0</v>
      </c>
      <c r="P246">
        <v>0</v>
      </c>
      <c r="Q246">
        <v>1</v>
      </c>
      <c r="U246" t="s">
        <v>53</v>
      </c>
      <c r="V246">
        <v>60</v>
      </c>
      <c r="W246" t="s">
        <v>79</v>
      </c>
      <c r="X246" t="s">
        <v>80</v>
      </c>
      <c r="Y246">
        <v>0</v>
      </c>
      <c r="Z246">
        <v>81.192999999999998</v>
      </c>
      <c r="AB246" t="s">
        <v>94</v>
      </c>
      <c r="AC246" t="s">
        <v>213</v>
      </c>
      <c r="AD246" t="s">
        <v>57</v>
      </c>
      <c r="AE246">
        <v>1</v>
      </c>
      <c r="AF246">
        <v>5</v>
      </c>
      <c r="AG246">
        <v>1</v>
      </c>
      <c r="AH246">
        <v>1.5</v>
      </c>
      <c r="AI246">
        <v>512</v>
      </c>
      <c r="AJ246">
        <v>512</v>
      </c>
      <c r="AK246">
        <v>160</v>
      </c>
      <c r="AL246" t="s">
        <v>88</v>
      </c>
      <c r="AM246">
        <v>1.2</v>
      </c>
      <c r="AN246" t="s">
        <v>51</v>
      </c>
      <c r="AO246" t="s">
        <v>67</v>
      </c>
      <c r="AP246" t="s">
        <v>114</v>
      </c>
      <c r="AQ246">
        <v>15</v>
      </c>
      <c r="AR246">
        <v>479</v>
      </c>
      <c r="AS246">
        <v>959</v>
      </c>
      <c r="AT246">
        <v>2.2440000000000002</v>
      </c>
      <c r="AU246">
        <v>4.8040000000000003</v>
      </c>
      <c r="AV246" t="s">
        <v>851</v>
      </c>
      <c r="AX246" t="s">
        <v>852</v>
      </c>
    </row>
    <row r="247" spans="1:50" x14ac:dyDescent="0.25">
      <c r="A247" t="s">
        <v>853</v>
      </c>
      <c r="B247" t="s">
        <v>51</v>
      </c>
      <c r="C247">
        <v>0</v>
      </c>
      <c r="D247">
        <v>0</v>
      </c>
      <c r="F247">
        <v>0</v>
      </c>
      <c r="G247">
        <v>0</v>
      </c>
      <c r="H247">
        <v>0</v>
      </c>
      <c r="I247">
        <v>0</v>
      </c>
      <c r="J247">
        <v>367</v>
      </c>
      <c r="K247">
        <v>381</v>
      </c>
      <c r="M247">
        <v>572</v>
      </c>
      <c r="N247">
        <v>0</v>
      </c>
      <c r="O247">
        <v>0</v>
      </c>
      <c r="P247">
        <v>0</v>
      </c>
      <c r="Q247">
        <v>0</v>
      </c>
      <c r="U247" t="s">
        <v>65</v>
      </c>
      <c r="V247">
        <v>34</v>
      </c>
      <c r="W247" t="s">
        <v>54</v>
      </c>
      <c r="X247" t="s">
        <v>111</v>
      </c>
      <c r="Y247">
        <v>0</v>
      </c>
      <c r="Z247">
        <v>68.039000000000001</v>
      </c>
      <c r="AB247" t="s">
        <v>74</v>
      </c>
      <c r="AC247" t="s">
        <v>112</v>
      </c>
      <c r="AD247" t="s">
        <v>57</v>
      </c>
      <c r="AE247">
        <v>1</v>
      </c>
      <c r="AF247">
        <v>5</v>
      </c>
      <c r="AG247">
        <v>1</v>
      </c>
      <c r="AH247">
        <v>1.5</v>
      </c>
      <c r="AI247">
        <v>512</v>
      </c>
      <c r="AJ247">
        <v>512</v>
      </c>
      <c r="AK247">
        <v>184</v>
      </c>
      <c r="AL247" t="s">
        <v>196</v>
      </c>
      <c r="AM247">
        <v>1</v>
      </c>
      <c r="AN247" t="s">
        <v>51</v>
      </c>
      <c r="AO247" t="s">
        <v>67</v>
      </c>
      <c r="AP247" t="s">
        <v>114</v>
      </c>
      <c r="AQ247">
        <v>15</v>
      </c>
      <c r="AR247">
        <v>455</v>
      </c>
      <c r="AS247">
        <v>911</v>
      </c>
      <c r="AT247">
        <v>2.3519999999999999</v>
      </c>
      <c r="AU247">
        <v>4.9640000000000004</v>
      </c>
      <c r="AV247" t="s">
        <v>854</v>
      </c>
      <c r="AX247" t="s">
        <v>855</v>
      </c>
    </row>
    <row r="248" spans="1:50" x14ac:dyDescent="0.25">
      <c r="A248" t="s">
        <v>856</v>
      </c>
      <c r="B248" t="s">
        <v>51</v>
      </c>
      <c r="C248">
        <v>0</v>
      </c>
      <c r="D248">
        <v>1</v>
      </c>
      <c r="F248">
        <v>0</v>
      </c>
      <c r="G248">
        <v>0</v>
      </c>
      <c r="H248">
        <v>0</v>
      </c>
      <c r="I248">
        <v>1</v>
      </c>
      <c r="J248">
        <v>188</v>
      </c>
      <c r="K248">
        <v>0</v>
      </c>
      <c r="M248">
        <v>0</v>
      </c>
      <c r="N248">
        <v>1</v>
      </c>
      <c r="O248">
        <v>1</v>
      </c>
      <c r="P248">
        <v>1</v>
      </c>
      <c r="Q248">
        <v>0</v>
      </c>
      <c r="T248" t="s">
        <v>52</v>
      </c>
      <c r="U248" t="s">
        <v>93</v>
      </c>
      <c r="V248">
        <v>71</v>
      </c>
      <c r="W248" t="s">
        <v>79</v>
      </c>
      <c r="X248" t="s">
        <v>80</v>
      </c>
      <c r="Y248">
        <v>0</v>
      </c>
      <c r="Z248">
        <v>53.98</v>
      </c>
      <c r="AB248" t="s">
        <v>74</v>
      </c>
      <c r="AD248" t="s">
        <v>57</v>
      </c>
      <c r="AE248">
        <v>1</v>
      </c>
      <c r="AF248">
        <v>4</v>
      </c>
      <c r="AG248">
        <v>1</v>
      </c>
      <c r="AH248">
        <v>1.5</v>
      </c>
      <c r="AI248">
        <v>512</v>
      </c>
      <c r="AJ248">
        <v>512</v>
      </c>
      <c r="AK248">
        <v>174</v>
      </c>
      <c r="AL248" t="s">
        <v>81</v>
      </c>
      <c r="AM248">
        <v>1</v>
      </c>
      <c r="AN248" t="s">
        <v>51</v>
      </c>
      <c r="AO248" t="s">
        <v>67</v>
      </c>
      <c r="AP248" t="s">
        <v>89</v>
      </c>
      <c r="AQ248">
        <v>15</v>
      </c>
      <c r="AR248">
        <v>555</v>
      </c>
      <c r="AS248">
        <v>1111</v>
      </c>
      <c r="AT248">
        <v>2.516</v>
      </c>
      <c r="AU248">
        <v>5.38</v>
      </c>
      <c r="AV248" t="s">
        <v>857</v>
      </c>
      <c r="AX248" t="s">
        <v>858</v>
      </c>
    </row>
    <row r="249" spans="1:50" x14ac:dyDescent="0.25">
      <c r="A249" t="s">
        <v>859</v>
      </c>
      <c r="B249" t="s">
        <v>51</v>
      </c>
      <c r="C249">
        <v>0</v>
      </c>
      <c r="D249">
        <v>1</v>
      </c>
      <c r="F249">
        <v>0</v>
      </c>
      <c r="G249">
        <v>0</v>
      </c>
      <c r="H249">
        <v>1</v>
      </c>
      <c r="I249">
        <v>1</v>
      </c>
      <c r="J249">
        <v>1931</v>
      </c>
      <c r="K249">
        <v>0</v>
      </c>
      <c r="M249">
        <v>0</v>
      </c>
      <c r="N249">
        <v>0</v>
      </c>
      <c r="O249">
        <v>0</v>
      </c>
      <c r="P249">
        <v>0</v>
      </c>
      <c r="Q249">
        <v>0</v>
      </c>
      <c r="T249" t="s">
        <v>64</v>
      </c>
      <c r="U249" t="s">
        <v>65</v>
      </c>
      <c r="V249">
        <v>42</v>
      </c>
      <c r="W249" t="s">
        <v>54</v>
      </c>
      <c r="X249" t="s">
        <v>80</v>
      </c>
      <c r="Y249">
        <v>0</v>
      </c>
      <c r="AD249" t="s">
        <v>57</v>
      </c>
      <c r="AE249">
        <v>1</v>
      </c>
      <c r="AF249">
        <v>4</v>
      </c>
      <c r="AG249">
        <v>1</v>
      </c>
      <c r="AH249">
        <v>3</v>
      </c>
      <c r="AI249">
        <v>512</v>
      </c>
      <c r="AJ249">
        <v>512</v>
      </c>
      <c r="AK249">
        <v>182</v>
      </c>
      <c r="AL249" t="s">
        <v>196</v>
      </c>
      <c r="AM249">
        <v>1.1000000000000001</v>
      </c>
      <c r="AN249" t="s">
        <v>51</v>
      </c>
      <c r="AO249" t="s">
        <v>67</v>
      </c>
      <c r="AP249" t="s">
        <v>68</v>
      </c>
      <c r="AQ249">
        <v>15</v>
      </c>
      <c r="AR249">
        <v>539</v>
      </c>
      <c r="AS249">
        <v>1079</v>
      </c>
      <c r="AT249">
        <v>2.46</v>
      </c>
      <c r="AU249">
        <v>5.9950000000000001</v>
      </c>
      <c r="AV249" t="s">
        <v>860</v>
      </c>
      <c r="AX249" t="s">
        <v>861</v>
      </c>
    </row>
    <row r="250" spans="1:50" x14ac:dyDescent="0.25">
      <c r="A250" t="s">
        <v>862</v>
      </c>
      <c r="B250" t="s">
        <v>51</v>
      </c>
      <c r="C250">
        <v>0</v>
      </c>
      <c r="D250">
        <v>1</v>
      </c>
      <c r="F250">
        <v>0</v>
      </c>
      <c r="G250">
        <v>1</v>
      </c>
      <c r="H250">
        <v>1</v>
      </c>
      <c r="I250">
        <v>1</v>
      </c>
      <c r="J250">
        <v>805</v>
      </c>
      <c r="K250">
        <v>0</v>
      </c>
      <c r="M250">
        <v>0</v>
      </c>
      <c r="N250">
        <v>0</v>
      </c>
      <c r="O250">
        <v>0</v>
      </c>
      <c r="P250">
        <v>0</v>
      </c>
      <c r="Q250">
        <v>1</v>
      </c>
      <c r="T250" t="s">
        <v>64</v>
      </c>
      <c r="U250" t="s">
        <v>53</v>
      </c>
      <c r="V250">
        <v>47</v>
      </c>
      <c r="W250" t="s">
        <v>54</v>
      </c>
      <c r="X250" t="s">
        <v>80</v>
      </c>
      <c r="Y250">
        <v>0</v>
      </c>
      <c r="Z250">
        <v>79.379000000000005</v>
      </c>
      <c r="AB250" t="s">
        <v>94</v>
      </c>
      <c r="AD250" t="s">
        <v>57</v>
      </c>
      <c r="AE250">
        <v>1</v>
      </c>
      <c r="AF250">
        <v>5</v>
      </c>
      <c r="AG250">
        <v>1</v>
      </c>
      <c r="AH250">
        <v>1.5</v>
      </c>
      <c r="AI250">
        <v>512</v>
      </c>
      <c r="AJ250">
        <v>512</v>
      </c>
      <c r="AK250">
        <v>192</v>
      </c>
      <c r="AL250" t="s">
        <v>128</v>
      </c>
      <c r="AM250">
        <v>2.2000000000000002</v>
      </c>
      <c r="AN250" t="s">
        <v>51</v>
      </c>
      <c r="AO250" t="s">
        <v>67</v>
      </c>
      <c r="AP250" t="s">
        <v>68</v>
      </c>
      <c r="AQ250">
        <v>15</v>
      </c>
      <c r="AR250">
        <v>120</v>
      </c>
      <c r="AS250">
        <v>241</v>
      </c>
      <c r="AT250">
        <v>2.58</v>
      </c>
      <c r="AU250">
        <v>5.4539999999999997</v>
      </c>
      <c r="AV250" t="s">
        <v>863</v>
      </c>
      <c r="AX250" t="s">
        <v>864</v>
      </c>
    </row>
    <row r="251" spans="1:50" x14ac:dyDescent="0.25">
      <c r="A251" t="s">
        <v>865</v>
      </c>
      <c r="B251" t="s">
        <v>51</v>
      </c>
      <c r="C251">
        <v>0</v>
      </c>
      <c r="D251">
        <v>0</v>
      </c>
      <c r="F251">
        <v>0</v>
      </c>
      <c r="G251">
        <v>0</v>
      </c>
      <c r="H251">
        <v>0</v>
      </c>
      <c r="I251">
        <v>1</v>
      </c>
      <c r="J251">
        <v>1605</v>
      </c>
      <c r="K251">
        <v>0</v>
      </c>
      <c r="M251">
        <v>0</v>
      </c>
      <c r="N251">
        <v>1</v>
      </c>
      <c r="O251">
        <v>1</v>
      </c>
      <c r="P251">
        <v>1</v>
      </c>
      <c r="Q251">
        <v>0</v>
      </c>
      <c r="T251" t="s">
        <v>64</v>
      </c>
      <c r="U251" t="s">
        <v>93</v>
      </c>
      <c r="V251">
        <v>42</v>
      </c>
      <c r="W251" t="s">
        <v>54</v>
      </c>
      <c r="X251" t="s">
        <v>55</v>
      </c>
      <c r="Y251">
        <v>0</v>
      </c>
      <c r="Z251">
        <v>113.39810692499999</v>
      </c>
      <c r="AA251">
        <v>1.5748031516667</v>
      </c>
      <c r="AB251" t="s">
        <v>269</v>
      </c>
      <c r="AD251" t="s">
        <v>57</v>
      </c>
      <c r="AE251">
        <v>1</v>
      </c>
      <c r="AF251">
        <v>4</v>
      </c>
      <c r="AG251">
        <v>1</v>
      </c>
      <c r="AH251">
        <v>1.5</v>
      </c>
      <c r="AI251">
        <v>448</v>
      </c>
      <c r="AJ251">
        <v>448</v>
      </c>
      <c r="AK251">
        <v>192</v>
      </c>
      <c r="AL251" t="s">
        <v>501</v>
      </c>
      <c r="AM251">
        <v>1</v>
      </c>
      <c r="AN251" t="s">
        <v>51</v>
      </c>
      <c r="AO251" t="s">
        <v>59</v>
      </c>
      <c r="AP251" t="s">
        <v>60</v>
      </c>
      <c r="AQ251">
        <v>11</v>
      </c>
      <c r="AR251">
        <v>352</v>
      </c>
      <c r="AS251">
        <v>732</v>
      </c>
      <c r="AT251">
        <v>1.27</v>
      </c>
      <c r="AU251">
        <v>4.2699999999999996</v>
      </c>
      <c r="AV251" t="s">
        <v>866</v>
      </c>
      <c r="AX251" t="s">
        <v>867</v>
      </c>
    </row>
    <row r="252" spans="1:50" x14ac:dyDescent="0.25">
      <c r="A252" t="s">
        <v>868</v>
      </c>
      <c r="B252" t="s">
        <v>51</v>
      </c>
      <c r="C252">
        <v>0</v>
      </c>
      <c r="D252">
        <v>1</v>
      </c>
      <c r="F252">
        <v>0</v>
      </c>
      <c r="G252">
        <v>0</v>
      </c>
      <c r="H252">
        <v>0</v>
      </c>
      <c r="I252">
        <v>0</v>
      </c>
      <c r="J252">
        <v>1008</v>
      </c>
      <c r="K252">
        <v>0</v>
      </c>
      <c r="M252">
        <v>0</v>
      </c>
      <c r="N252">
        <v>0</v>
      </c>
      <c r="O252">
        <v>0</v>
      </c>
      <c r="P252">
        <v>0</v>
      </c>
      <c r="Q252">
        <v>0</v>
      </c>
      <c r="T252" t="s">
        <v>64</v>
      </c>
      <c r="U252" t="s">
        <v>65</v>
      </c>
      <c r="V252">
        <v>52</v>
      </c>
      <c r="W252" t="s">
        <v>79</v>
      </c>
      <c r="X252" t="s">
        <v>55</v>
      </c>
      <c r="Y252">
        <v>0</v>
      </c>
      <c r="AD252" t="s">
        <v>57</v>
      </c>
      <c r="AE252">
        <v>1</v>
      </c>
      <c r="AF252">
        <v>4</v>
      </c>
      <c r="AG252">
        <v>1</v>
      </c>
      <c r="AH252">
        <v>3</v>
      </c>
      <c r="AI252">
        <v>448</v>
      </c>
      <c r="AJ252">
        <v>448</v>
      </c>
      <c r="AK252">
        <v>208</v>
      </c>
      <c r="AL252" t="s">
        <v>869</v>
      </c>
      <c r="AM252">
        <v>1</v>
      </c>
      <c r="AN252" t="s">
        <v>51</v>
      </c>
      <c r="AO252" t="s">
        <v>59</v>
      </c>
      <c r="AP252" t="s">
        <v>107</v>
      </c>
      <c r="AQ252">
        <v>15</v>
      </c>
      <c r="AR252">
        <v>48</v>
      </c>
      <c r="AS252">
        <v>140</v>
      </c>
      <c r="AT252">
        <v>1.44</v>
      </c>
      <c r="AU252">
        <v>3.77</v>
      </c>
      <c r="AV252" t="s">
        <v>870</v>
      </c>
      <c r="AX252" t="s">
        <v>871</v>
      </c>
    </row>
    <row r="253" spans="1:50" x14ac:dyDescent="0.25">
      <c r="A253" t="s">
        <v>872</v>
      </c>
      <c r="B253" t="s">
        <v>51</v>
      </c>
      <c r="C253">
        <v>0</v>
      </c>
      <c r="D253">
        <v>0</v>
      </c>
      <c r="F253">
        <v>0</v>
      </c>
      <c r="G253">
        <v>0</v>
      </c>
      <c r="H253">
        <v>1</v>
      </c>
      <c r="I253">
        <v>0</v>
      </c>
      <c r="J253">
        <v>805</v>
      </c>
      <c r="K253">
        <v>0</v>
      </c>
      <c r="M253">
        <v>0</v>
      </c>
      <c r="N253">
        <v>0</v>
      </c>
      <c r="O253">
        <v>0</v>
      </c>
      <c r="P253">
        <v>0</v>
      </c>
      <c r="Q253">
        <v>0</v>
      </c>
      <c r="T253" t="s">
        <v>64</v>
      </c>
      <c r="U253" t="s">
        <v>65</v>
      </c>
      <c r="V253">
        <v>52</v>
      </c>
      <c r="W253" t="s">
        <v>54</v>
      </c>
      <c r="X253" t="s">
        <v>80</v>
      </c>
      <c r="Y253">
        <v>0</v>
      </c>
      <c r="AD253" t="s">
        <v>57</v>
      </c>
      <c r="AE253">
        <v>1</v>
      </c>
      <c r="AF253">
        <v>4</v>
      </c>
      <c r="AG253">
        <v>1</v>
      </c>
      <c r="AH253">
        <v>3</v>
      </c>
      <c r="AI253">
        <v>448</v>
      </c>
      <c r="AJ253">
        <v>448</v>
      </c>
      <c r="AK253">
        <v>208</v>
      </c>
      <c r="AL253" t="s">
        <v>75</v>
      </c>
      <c r="AM253">
        <v>1</v>
      </c>
      <c r="AN253" t="s">
        <v>51</v>
      </c>
      <c r="AO253" t="s">
        <v>59</v>
      </c>
      <c r="AP253" t="s">
        <v>107</v>
      </c>
      <c r="AQ253">
        <v>15</v>
      </c>
      <c r="AR253">
        <v>57</v>
      </c>
      <c r="AS253">
        <v>157</v>
      </c>
      <c r="AT253">
        <v>1.44</v>
      </c>
      <c r="AU253">
        <v>3.77</v>
      </c>
      <c r="AV253" t="s">
        <v>873</v>
      </c>
      <c r="AX253" t="s">
        <v>874</v>
      </c>
    </row>
    <row r="254" spans="1:50" x14ac:dyDescent="0.25">
      <c r="A254" t="s">
        <v>875</v>
      </c>
      <c r="B254" t="s">
        <v>51</v>
      </c>
      <c r="C254">
        <v>0</v>
      </c>
      <c r="D254">
        <v>1</v>
      </c>
      <c r="F254">
        <v>0</v>
      </c>
      <c r="G254">
        <v>0</v>
      </c>
      <c r="H254">
        <v>0</v>
      </c>
      <c r="I254">
        <v>0</v>
      </c>
      <c r="J254">
        <v>1633</v>
      </c>
      <c r="K254">
        <v>0</v>
      </c>
      <c r="M254">
        <v>0</v>
      </c>
      <c r="N254">
        <v>1</v>
      </c>
      <c r="O254">
        <v>1</v>
      </c>
      <c r="P254">
        <v>1</v>
      </c>
      <c r="Q254">
        <v>0</v>
      </c>
      <c r="S254">
        <v>14</v>
      </c>
      <c r="U254" t="s">
        <v>93</v>
      </c>
      <c r="V254">
        <v>45</v>
      </c>
      <c r="W254" t="s">
        <v>54</v>
      </c>
      <c r="X254" t="s">
        <v>55</v>
      </c>
      <c r="Y254">
        <v>0</v>
      </c>
      <c r="Z254">
        <v>113.852</v>
      </c>
      <c r="AB254" t="s">
        <v>269</v>
      </c>
      <c r="AC254" t="s">
        <v>102</v>
      </c>
      <c r="AD254" t="s">
        <v>57</v>
      </c>
      <c r="AE254">
        <v>1</v>
      </c>
      <c r="AF254">
        <v>5</v>
      </c>
      <c r="AG254">
        <v>1</v>
      </c>
      <c r="AH254">
        <v>3</v>
      </c>
      <c r="AI254">
        <v>512</v>
      </c>
      <c r="AJ254">
        <v>512</v>
      </c>
      <c r="AK254">
        <v>186</v>
      </c>
      <c r="AL254" t="s">
        <v>214</v>
      </c>
      <c r="AM254">
        <v>1</v>
      </c>
      <c r="AN254" t="s">
        <v>51</v>
      </c>
      <c r="AO254" t="s">
        <v>67</v>
      </c>
      <c r="AP254" t="s">
        <v>114</v>
      </c>
      <c r="AQ254">
        <v>15</v>
      </c>
      <c r="AR254">
        <v>2249</v>
      </c>
      <c r="AS254">
        <v>4498</v>
      </c>
      <c r="AT254">
        <v>2.3519999999999999</v>
      </c>
      <c r="AU254">
        <v>5.1559999999999997</v>
      </c>
      <c r="AV254" t="s">
        <v>876</v>
      </c>
      <c r="AX254" t="s">
        <v>877</v>
      </c>
    </row>
    <row r="255" spans="1:50" x14ac:dyDescent="0.25">
      <c r="A255" t="s">
        <v>878</v>
      </c>
      <c r="B255" t="s">
        <v>51</v>
      </c>
      <c r="C255">
        <v>0</v>
      </c>
      <c r="D255">
        <v>1</v>
      </c>
      <c r="F255">
        <v>0</v>
      </c>
      <c r="G255">
        <v>0</v>
      </c>
      <c r="H255">
        <v>0</v>
      </c>
      <c r="I255">
        <v>0</v>
      </c>
      <c r="J255">
        <v>1904</v>
      </c>
      <c r="K255">
        <v>0</v>
      </c>
      <c r="M255">
        <v>0</v>
      </c>
      <c r="N255">
        <v>0</v>
      </c>
      <c r="O255">
        <v>0</v>
      </c>
      <c r="P255">
        <v>0</v>
      </c>
      <c r="Q255">
        <v>0</v>
      </c>
      <c r="U255" t="s">
        <v>65</v>
      </c>
      <c r="V255">
        <v>52</v>
      </c>
      <c r="W255" t="s">
        <v>54</v>
      </c>
      <c r="X255" t="s">
        <v>55</v>
      </c>
      <c r="Y255">
        <v>0</v>
      </c>
      <c r="Z255">
        <v>81.647000000000006</v>
      </c>
      <c r="AB255" t="s">
        <v>94</v>
      </c>
      <c r="AC255" t="s">
        <v>102</v>
      </c>
      <c r="AD255" t="s">
        <v>57</v>
      </c>
      <c r="AE255">
        <v>1</v>
      </c>
      <c r="AF255">
        <v>5</v>
      </c>
      <c r="AG255">
        <v>1</v>
      </c>
      <c r="AH255">
        <v>3</v>
      </c>
      <c r="AI255">
        <v>512</v>
      </c>
      <c r="AJ255">
        <v>512</v>
      </c>
      <c r="AK255">
        <v>142</v>
      </c>
      <c r="AL255" t="s">
        <v>81</v>
      </c>
      <c r="AM255">
        <v>1</v>
      </c>
      <c r="AN255" t="s">
        <v>51</v>
      </c>
      <c r="AO255" t="s">
        <v>67</v>
      </c>
      <c r="AP255" t="s">
        <v>114</v>
      </c>
      <c r="AQ255">
        <v>15</v>
      </c>
      <c r="AR255">
        <v>552</v>
      </c>
      <c r="AS255">
        <v>1104</v>
      </c>
      <c r="AT255">
        <v>2.4279999999999999</v>
      </c>
      <c r="AU255">
        <v>5.6609999999999996</v>
      </c>
      <c r="AV255" t="s">
        <v>879</v>
      </c>
      <c r="AX255" t="s">
        <v>880</v>
      </c>
    </row>
    <row r="256" spans="1:50" x14ac:dyDescent="0.25">
      <c r="A256" t="s">
        <v>881</v>
      </c>
      <c r="B256" t="s">
        <v>51</v>
      </c>
      <c r="C256">
        <v>0</v>
      </c>
      <c r="D256">
        <v>1</v>
      </c>
      <c r="F256">
        <v>0</v>
      </c>
      <c r="G256">
        <v>0</v>
      </c>
      <c r="H256">
        <v>0</v>
      </c>
      <c r="I256">
        <v>0</v>
      </c>
      <c r="J256">
        <v>2044</v>
      </c>
      <c r="K256">
        <v>0</v>
      </c>
      <c r="M256">
        <v>0</v>
      </c>
      <c r="N256">
        <v>0</v>
      </c>
      <c r="O256">
        <v>0</v>
      </c>
      <c r="P256">
        <v>0</v>
      </c>
      <c r="Q256">
        <v>0</v>
      </c>
      <c r="T256" t="s">
        <v>52</v>
      </c>
      <c r="U256" t="s">
        <v>65</v>
      </c>
      <c r="V256">
        <v>48</v>
      </c>
      <c r="W256" t="s">
        <v>54</v>
      </c>
      <c r="X256" t="s">
        <v>80</v>
      </c>
      <c r="Y256">
        <v>0</v>
      </c>
      <c r="AD256" t="s">
        <v>57</v>
      </c>
      <c r="AE256">
        <v>1</v>
      </c>
      <c r="AF256">
        <v>4</v>
      </c>
      <c r="AG256">
        <v>1</v>
      </c>
      <c r="AH256">
        <v>3</v>
      </c>
      <c r="AI256">
        <v>512</v>
      </c>
      <c r="AJ256">
        <v>512</v>
      </c>
      <c r="AK256">
        <v>200</v>
      </c>
      <c r="AL256" t="s">
        <v>88</v>
      </c>
      <c r="AM256">
        <v>1</v>
      </c>
      <c r="AN256" t="s">
        <v>51</v>
      </c>
      <c r="AO256" t="s">
        <v>67</v>
      </c>
      <c r="AP256" t="s">
        <v>68</v>
      </c>
      <c r="AQ256">
        <v>15</v>
      </c>
      <c r="AR256">
        <v>1265</v>
      </c>
      <c r="AS256">
        <v>2531</v>
      </c>
      <c r="AT256">
        <v>2.3559999999999999</v>
      </c>
      <c r="AU256">
        <v>5.1280000000000001</v>
      </c>
      <c r="AV256" t="s">
        <v>882</v>
      </c>
      <c r="AX256" t="s">
        <v>883</v>
      </c>
    </row>
    <row r="257" spans="1:50" x14ac:dyDescent="0.25">
      <c r="A257" t="s">
        <v>884</v>
      </c>
      <c r="B257" t="s">
        <v>51</v>
      </c>
      <c r="C257">
        <v>0</v>
      </c>
      <c r="D257">
        <v>0</v>
      </c>
      <c r="F257">
        <v>0</v>
      </c>
      <c r="G257">
        <v>1</v>
      </c>
      <c r="H257">
        <v>1</v>
      </c>
      <c r="I257">
        <v>1</v>
      </c>
      <c r="J257">
        <v>1450</v>
      </c>
      <c r="K257">
        <v>0</v>
      </c>
      <c r="M257">
        <v>0</v>
      </c>
      <c r="N257">
        <v>0</v>
      </c>
      <c r="O257">
        <v>0</v>
      </c>
      <c r="P257">
        <v>0</v>
      </c>
      <c r="Q257">
        <v>1</v>
      </c>
      <c r="U257" t="s">
        <v>53</v>
      </c>
      <c r="V257">
        <v>47</v>
      </c>
      <c r="W257" t="s">
        <v>79</v>
      </c>
      <c r="X257" t="s">
        <v>55</v>
      </c>
      <c r="Y257">
        <v>0</v>
      </c>
      <c r="Z257">
        <v>84.821783979900005</v>
      </c>
      <c r="AB257" t="s">
        <v>118</v>
      </c>
      <c r="AD257" t="s">
        <v>57</v>
      </c>
      <c r="AE257">
        <v>1</v>
      </c>
      <c r="AF257">
        <v>5</v>
      </c>
      <c r="AG257">
        <v>1</v>
      </c>
      <c r="AH257">
        <v>1.5</v>
      </c>
      <c r="AI257">
        <v>320</v>
      </c>
      <c r="AJ257">
        <v>320</v>
      </c>
      <c r="AK257">
        <v>160</v>
      </c>
      <c r="AL257" t="s">
        <v>354</v>
      </c>
      <c r="AM257">
        <v>1.1000000238419001</v>
      </c>
      <c r="AN257" t="s">
        <v>51</v>
      </c>
      <c r="AO257" t="s">
        <v>59</v>
      </c>
      <c r="AP257" t="s">
        <v>60</v>
      </c>
      <c r="AQ257">
        <v>11</v>
      </c>
      <c r="AR257">
        <v>159</v>
      </c>
      <c r="AS257">
        <v>399</v>
      </c>
      <c r="AT257">
        <v>1.5</v>
      </c>
      <c r="AU257">
        <v>4.26</v>
      </c>
      <c r="AV257" t="s">
        <v>885</v>
      </c>
      <c r="AX257" t="s">
        <v>886</v>
      </c>
    </row>
    <row r="258" spans="1:50" x14ac:dyDescent="0.25">
      <c r="A258" t="s">
        <v>887</v>
      </c>
      <c r="B258" t="s">
        <v>51</v>
      </c>
      <c r="C258">
        <v>0</v>
      </c>
      <c r="D258">
        <v>0</v>
      </c>
      <c r="F258">
        <v>0</v>
      </c>
      <c r="G258">
        <v>0</v>
      </c>
      <c r="H258">
        <v>0</v>
      </c>
      <c r="I258">
        <v>1</v>
      </c>
      <c r="J258">
        <v>1513</v>
      </c>
      <c r="K258">
        <v>0</v>
      </c>
      <c r="M258">
        <v>0</v>
      </c>
      <c r="N258">
        <v>1</v>
      </c>
      <c r="O258">
        <v>1</v>
      </c>
      <c r="P258">
        <v>1</v>
      </c>
      <c r="Q258">
        <v>0</v>
      </c>
      <c r="T258" t="s">
        <v>52</v>
      </c>
      <c r="U258" t="s">
        <v>93</v>
      </c>
      <c r="V258">
        <v>39</v>
      </c>
      <c r="W258" t="s">
        <v>54</v>
      </c>
      <c r="X258" t="s">
        <v>80</v>
      </c>
      <c r="Y258">
        <v>0</v>
      </c>
      <c r="Z258">
        <v>47.627204908499998</v>
      </c>
      <c r="AA258">
        <v>1.6002032024999999</v>
      </c>
      <c r="AB258" t="s">
        <v>74</v>
      </c>
      <c r="AD258" t="s">
        <v>57</v>
      </c>
      <c r="AE258">
        <v>1</v>
      </c>
      <c r="AF258">
        <v>4</v>
      </c>
      <c r="AG258">
        <v>1</v>
      </c>
      <c r="AH258">
        <v>1.5</v>
      </c>
      <c r="AI258">
        <v>448</v>
      </c>
      <c r="AJ258">
        <v>448</v>
      </c>
      <c r="AK258">
        <v>176</v>
      </c>
      <c r="AL258" t="s">
        <v>230</v>
      </c>
      <c r="AM258">
        <v>1</v>
      </c>
      <c r="AN258" t="s">
        <v>51</v>
      </c>
      <c r="AO258" t="s">
        <v>59</v>
      </c>
      <c r="AP258" t="s">
        <v>60</v>
      </c>
      <c r="AQ258">
        <v>11</v>
      </c>
      <c r="AR258">
        <v>192</v>
      </c>
      <c r="AS258">
        <v>392</v>
      </c>
      <c r="AT258">
        <v>1.39</v>
      </c>
      <c r="AU258">
        <v>4.37</v>
      </c>
      <c r="AV258" t="s">
        <v>888</v>
      </c>
      <c r="AX258" t="s">
        <v>889</v>
      </c>
    </row>
    <row r="259" spans="1:50" x14ac:dyDescent="0.25">
      <c r="A259" t="s">
        <v>890</v>
      </c>
      <c r="B259" t="s">
        <v>51</v>
      </c>
      <c r="C259">
        <v>0</v>
      </c>
      <c r="D259">
        <v>1</v>
      </c>
      <c r="I259">
        <v>1</v>
      </c>
      <c r="K259">
        <v>817</v>
      </c>
      <c r="M259">
        <v>1074</v>
      </c>
      <c r="N259">
        <v>1</v>
      </c>
      <c r="O259">
        <v>0</v>
      </c>
      <c r="P259">
        <v>1</v>
      </c>
      <c r="Q259">
        <v>0</v>
      </c>
      <c r="U259" t="s">
        <v>93</v>
      </c>
      <c r="V259">
        <v>38</v>
      </c>
      <c r="W259" t="s">
        <v>79</v>
      </c>
      <c r="X259" t="s">
        <v>55</v>
      </c>
      <c r="Y259">
        <v>0</v>
      </c>
      <c r="Z259">
        <v>86.183000000000007</v>
      </c>
      <c r="AB259" t="s">
        <v>118</v>
      </c>
      <c r="AD259" t="s">
        <v>57</v>
      </c>
      <c r="AE259">
        <v>1</v>
      </c>
      <c r="AF259">
        <v>5</v>
      </c>
      <c r="AG259">
        <v>1</v>
      </c>
      <c r="AH259">
        <v>3</v>
      </c>
      <c r="AI259">
        <v>512</v>
      </c>
      <c r="AJ259">
        <v>512</v>
      </c>
      <c r="AK259">
        <v>168</v>
      </c>
      <c r="AL259" t="s">
        <v>128</v>
      </c>
      <c r="AM259">
        <v>1</v>
      </c>
      <c r="AN259" t="s">
        <v>51</v>
      </c>
      <c r="AO259" t="s">
        <v>67</v>
      </c>
      <c r="AP259" t="s">
        <v>114</v>
      </c>
      <c r="AQ259">
        <v>15</v>
      </c>
      <c r="AR259">
        <v>1218</v>
      </c>
      <c r="AS259">
        <v>2436</v>
      </c>
      <c r="AT259">
        <v>2.4079999999999999</v>
      </c>
      <c r="AU259">
        <v>5.5220000000000002</v>
      </c>
      <c r="AV259" t="s">
        <v>891</v>
      </c>
      <c r="AX259" t="s">
        <v>892</v>
      </c>
    </row>
    <row r="260" spans="1:50" x14ac:dyDescent="0.25">
      <c r="A260" t="s">
        <v>893</v>
      </c>
      <c r="B260" t="s">
        <v>51</v>
      </c>
      <c r="C260">
        <v>0</v>
      </c>
      <c r="D260">
        <v>0</v>
      </c>
      <c r="F260">
        <v>0</v>
      </c>
      <c r="G260">
        <v>0</v>
      </c>
      <c r="H260">
        <v>0</v>
      </c>
      <c r="I260">
        <v>0</v>
      </c>
      <c r="J260">
        <v>1453</v>
      </c>
      <c r="K260">
        <v>0</v>
      </c>
      <c r="M260">
        <v>0</v>
      </c>
      <c r="N260">
        <v>1</v>
      </c>
      <c r="O260">
        <v>1</v>
      </c>
      <c r="P260">
        <v>0</v>
      </c>
      <c r="Q260">
        <v>0</v>
      </c>
      <c r="U260" t="s">
        <v>93</v>
      </c>
      <c r="V260">
        <v>49</v>
      </c>
      <c r="W260" t="s">
        <v>54</v>
      </c>
      <c r="X260" t="s">
        <v>426</v>
      </c>
      <c r="Y260">
        <v>0</v>
      </c>
      <c r="Z260">
        <v>79.378674847499994</v>
      </c>
      <c r="AB260" t="s">
        <v>94</v>
      </c>
      <c r="AD260" t="s">
        <v>57</v>
      </c>
      <c r="AE260">
        <v>1</v>
      </c>
      <c r="AF260">
        <v>5</v>
      </c>
      <c r="AG260">
        <v>1</v>
      </c>
      <c r="AH260">
        <v>1.5</v>
      </c>
      <c r="AI260">
        <v>320</v>
      </c>
      <c r="AJ260">
        <v>320</v>
      </c>
      <c r="AK260">
        <v>144</v>
      </c>
      <c r="AL260" t="s">
        <v>459</v>
      </c>
      <c r="AM260">
        <v>1.0999999046325999</v>
      </c>
      <c r="AN260" t="s">
        <v>51</v>
      </c>
      <c r="AO260" t="s">
        <v>59</v>
      </c>
      <c r="AP260" t="s">
        <v>60</v>
      </c>
      <c r="AQ260">
        <v>11</v>
      </c>
      <c r="AR260">
        <v>55</v>
      </c>
      <c r="AS260">
        <v>151</v>
      </c>
      <c r="AT260">
        <v>1.52</v>
      </c>
      <c r="AU260">
        <v>4.26</v>
      </c>
      <c r="AV260" t="s">
        <v>894</v>
      </c>
      <c r="AX260" t="s">
        <v>895</v>
      </c>
    </row>
    <row r="261" spans="1:50" x14ac:dyDescent="0.25">
      <c r="A261" t="s">
        <v>896</v>
      </c>
      <c r="B261" t="s">
        <v>51</v>
      </c>
      <c r="C261">
        <v>0</v>
      </c>
      <c r="D261">
        <v>0</v>
      </c>
      <c r="F261">
        <v>0</v>
      </c>
      <c r="G261">
        <v>0</v>
      </c>
      <c r="H261">
        <v>0</v>
      </c>
      <c r="I261">
        <v>1</v>
      </c>
      <c r="J261">
        <v>1955</v>
      </c>
      <c r="K261">
        <v>0</v>
      </c>
      <c r="M261">
        <v>0</v>
      </c>
      <c r="N261">
        <v>1</v>
      </c>
      <c r="O261">
        <v>1</v>
      </c>
      <c r="P261">
        <v>0</v>
      </c>
      <c r="Q261">
        <v>0</v>
      </c>
      <c r="T261" t="s">
        <v>64</v>
      </c>
      <c r="U261" t="s">
        <v>93</v>
      </c>
      <c r="V261">
        <v>51</v>
      </c>
      <c r="W261" t="s">
        <v>79</v>
      </c>
      <c r="X261" t="s">
        <v>55</v>
      </c>
      <c r="Y261">
        <v>0</v>
      </c>
      <c r="Z261">
        <v>87.543000000000006</v>
      </c>
      <c r="AB261" t="s">
        <v>118</v>
      </c>
      <c r="AD261" t="s">
        <v>57</v>
      </c>
      <c r="AE261">
        <v>1</v>
      </c>
      <c r="AF261">
        <v>4</v>
      </c>
      <c r="AG261">
        <v>1</v>
      </c>
      <c r="AH261">
        <v>1.5</v>
      </c>
      <c r="AI261">
        <v>512</v>
      </c>
      <c r="AJ261">
        <v>512</v>
      </c>
      <c r="AK261">
        <v>160</v>
      </c>
      <c r="AL261" t="s">
        <v>119</v>
      </c>
      <c r="AM261">
        <v>1</v>
      </c>
      <c r="AN261" t="s">
        <v>51</v>
      </c>
      <c r="AO261" t="s">
        <v>67</v>
      </c>
      <c r="AP261" t="s">
        <v>68</v>
      </c>
      <c r="AQ261">
        <v>15</v>
      </c>
      <c r="AR261">
        <v>255</v>
      </c>
      <c r="AS261">
        <v>510</v>
      </c>
      <c r="AT261">
        <v>2.2799999999999998</v>
      </c>
      <c r="AU261">
        <v>4.8920000000000003</v>
      </c>
      <c r="AV261" t="s">
        <v>897</v>
      </c>
      <c r="AX261" t="s">
        <v>898</v>
      </c>
    </row>
    <row r="262" spans="1:50" x14ac:dyDescent="0.25">
      <c r="A262" t="s">
        <v>899</v>
      </c>
      <c r="B262" t="s">
        <v>51</v>
      </c>
      <c r="C262">
        <v>0</v>
      </c>
      <c r="D262">
        <v>1</v>
      </c>
      <c r="F262">
        <v>0</v>
      </c>
      <c r="G262">
        <v>1</v>
      </c>
      <c r="H262">
        <v>1</v>
      </c>
      <c r="I262">
        <v>0</v>
      </c>
      <c r="J262">
        <v>1407</v>
      </c>
      <c r="K262">
        <v>0</v>
      </c>
      <c r="M262">
        <v>0</v>
      </c>
      <c r="N262">
        <v>1</v>
      </c>
      <c r="O262">
        <v>1</v>
      </c>
      <c r="P262">
        <v>1</v>
      </c>
      <c r="Q262">
        <v>1</v>
      </c>
      <c r="U262" t="s">
        <v>72</v>
      </c>
      <c r="V262">
        <v>59</v>
      </c>
      <c r="W262" t="s">
        <v>79</v>
      </c>
      <c r="X262" t="s">
        <v>80</v>
      </c>
      <c r="Y262">
        <v>0</v>
      </c>
      <c r="Z262">
        <v>61.234999999999999</v>
      </c>
      <c r="AB262" t="s">
        <v>74</v>
      </c>
      <c r="AD262" t="s">
        <v>57</v>
      </c>
      <c r="AE262">
        <v>1</v>
      </c>
      <c r="AF262">
        <v>5</v>
      </c>
      <c r="AG262">
        <v>1</v>
      </c>
      <c r="AH262">
        <v>3</v>
      </c>
      <c r="AI262">
        <v>512</v>
      </c>
      <c r="AJ262">
        <v>512</v>
      </c>
      <c r="AK262">
        <v>158</v>
      </c>
      <c r="AL262" t="s">
        <v>128</v>
      </c>
      <c r="AM262">
        <v>1</v>
      </c>
      <c r="AN262" t="s">
        <v>51</v>
      </c>
      <c r="AO262" t="s">
        <v>67</v>
      </c>
      <c r="AP262" t="s">
        <v>114</v>
      </c>
      <c r="AQ262">
        <v>15</v>
      </c>
      <c r="AR262">
        <v>551</v>
      </c>
      <c r="AS262">
        <v>1102</v>
      </c>
      <c r="AT262">
        <v>2.3959999999999999</v>
      </c>
      <c r="AU262">
        <v>5.5069999999999997</v>
      </c>
      <c r="AV262" t="s">
        <v>900</v>
      </c>
      <c r="AX262" t="s">
        <v>901</v>
      </c>
    </row>
    <row r="263" spans="1:50" x14ac:dyDescent="0.25">
      <c r="A263" t="s">
        <v>902</v>
      </c>
      <c r="B263" t="s">
        <v>51</v>
      </c>
      <c r="C263">
        <v>0</v>
      </c>
      <c r="D263">
        <v>1</v>
      </c>
      <c r="F263">
        <v>1</v>
      </c>
      <c r="G263">
        <v>0</v>
      </c>
      <c r="H263">
        <v>0</v>
      </c>
      <c r="I263">
        <v>1</v>
      </c>
      <c r="J263">
        <v>1527</v>
      </c>
      <c r="K263">
        <v>0</v>
      </c>
      <c r="M263">
        <v>0</v>
      </c>
      <c r="N263">
        <v>1</v>
      </c>
      <c r="O263">
        <v>1</v>
      </c>
      <c r="P263">
        <v>1</v>
      </c>
      <c r="Q263">
        <v>0</v>
      </c>
      <c r="S263">
        <v>11</v>
      </c>
      <c r="U263" t="s">
        <v>93</v>
      </c>
      <c r="V263">
        <v>50</v>
      </c>
      <c r="W263" t="s">
        <v>79</v>
      </c>
      <c r="X263" t="s">
        <v>55</v>
      </c>
      <c r="Y263">
        <v>0</v>
      </c>
      <c r="Z263">
        <v>78.471000000000004</v>
      </c>
      <c r="AB263" t="s">
        <v>94</v>
      </c>
      <c r="AC263" t="s">
        <v>102</v>
      </c>
      <c r="AD263" t="s">
        <v>57</v>
      </c>
      <c r="AE263">
        <v>1</v>
      </c>
      <c r="AF263">
        <v>5</v>
      </c>
      <c r="AG263">
        <v>1</v>
      </c>
      <c r="AH263">
        <v>3</v>
      </c>
      <c r="AI263">
        <v>512</v>
      </c>
      <c r="AJ263">
        <v>512</v>
      </c>
      <c r="AK263">
        <v>186</v>
      </c>
      <c r="AL263" t="s">
        <v>128</v>
      </c>
      <c r="AM263">
        <v>1.1000000000000001</v>
      </c>
      <c r="AN263" t="s">
        <v>51</v>
      </c>
      <c r="AO263" t="s">
        <v>67</v>
      </c>
      <c r="AP263" t="s">
        <v>114</v>
      </c>
      <c r="AQ263">
        <v>15</v>
      </c>
      <c r="AR263">
        <v>1790</v>
      </c>
      <c r="AS263">
        <v>3581</v>
      </c>
      <c r="AT263">
        <v>2.4039999999999999</v>
      </c>
      <c r="AU263">
        <v>5.4109999999999996</v>
      </c>
      <c r="AV263" t="s">
        <v>903</v>
      </c>
      <c r="AX263" t="s">
        <v>904</v>
      </c>
    </row>
    <row r="264" spans="1:50" x14ac:dyDescent="0.25">
      <c r="A264" t="s">
        <v>905</v>
      </c>
      <c r="B264" t="s">
        <v>51</v>
      </c>
      <c r="C264">
        <v>0</v>
      </c>
      <c r="D264">
        <v>1</v>
      </c>
      <c r="F264">
        <v>0</v>
      </c>
      <c r="G264">
        <v>0</v>
      </c>
      <c r="H264">
        <v>1</v>
      </c>
      <c r="I264">
        <v>1</v>
      </c>
      <c r="J264">
        <v>1446</v>
      </c>
      <c r="K264">
        <v>0</v>
      </c>
      <c r="M264">
        <v>0</v>
      </c>
      <c r="N264">
        <v>0</v>
      </c>
      <c r="O264">
        <v>0</v>
      </c>
      <c r="P264">
        <v>0</v>
      </c>
      <c r="Q264">
        <v>0</v>
      </c>
      <c r="T264" t="s">
        <v>64</v>
      </c>
      <c r="U264" t="s">
        <v>65</v>
      </c>
      <c r="V264">
        <v>29</v>
      </c>
      <c r="W264" t="s">
        <v>54</v>
      </c>
      <c r="X264" t="s">
        <v>80</v>
      </c>
      <c r="Y264">
        <v>0</v>
      </c>
      <c r="AD264" t="s">
        <v>57</v>
      </c>
      <c r="AE264">
        <v>1</v>
      </c>
      <c r="AF264">
        <v>4</v>
      </c>
      <c r="AG264">
        <v>1</v>
      </c>
      <c r="AH264">
        <v>3</v>
      </c>
      <c r="AI264">
        <v>512</v>
      </c>
      <c r="AJ264">
        <v>512</v>
      </c>
      <c r="AK264">
        <v>156</v>
      </c>
      <c r="AL264" t="s">
        <v>196</v>
      </c>
      <c r="AM264">
        <v>1.3</v>
      </c>
      <c r="AN264" t="s">
        <v>51</v>
      </c>
      <c r="AO264" t="s">
        <v>67</v>
      </c>
      <c r="AP264" t="s">
        <v>68</v>
      </c>
      <c r="AQ264">
        <v>15</v>
      </c>
      <c r="AR264">
        <v>930</v>
      </c>
      <c r="AS264">
        <v>1860</v>
      </c>
      <c r="AT264">
        <v>2.6640000000000001</v>
      </c>
      <c r="AU264">
        <v>6.46</v>
      </c>
      <c r="AV264" t="s">
        <v>906</v>
      </c>
      <c r="AX264" t="s">
        <v>907</v>
      </c>
    </row>
    <row r="265" spans="1:50" x14ac:dyDescent="0.25">
      <c r="A265" t="s">
        <v>908</v>
      </c>
      <c r="B265" t="s">
        <v>51</v>
      </c>
      <c r="C265">
        <v>0</v>
      </c>
      <c r="D265">
        <v>0</v>
      </c>
      <c r="F265">
        <v>0</v>
      </c>
      <c r="G265">
        <v>1</v>
      </c>
      <c r="I265">
        <v>1</v>
      </c>
      <c r="J265">
        <v>1117</v>
      </c>
      <c r="K265">
        <v>0</v>
      </c>
      <c r="M265">
        <v>0</v>
      </c>
      <c r="N265">
        <v>1</v>
      </c>
      <c r="O265">
        <v>1</v>
      </c>
      <c r="P265">
        <v>1</v>
      </c>
      <c r="Q265">
        <v>1</v>
      </c>
      <c r="T265" t="s">
        <v>52</v>
      </c>
      <c r="U265" t="s">
        <v>72</v>
      </c>
      <c r="V265">
        <v>39</v>
      </c>
      <c r="W265" t="s">
        <v>54</v>
      </c>
      <c r="X265" t="s">
        <v>80</v>
      </c>
      <c r="Y265">
        <v>0</v>
      </c>
      <c r="Z265">
        <v>72.569999999999993</v>
      </c>
      <c r="AB265" t="s">
        <v>94</v>
      </c>
      <c r="AD265" t="s">
        <v>57</v>
      </c>
      <c r="AE265">
        <v>1</v>
      </c>
      <c r="AF265">
        <v>4</v>
      </c>
      <c r="AG265">
        <v>1</v>
      </c>
      <c r="AH265">
        <v>1.5</v>
      </c>
      <c r="AI265">
        <v>512</v>
      </c>
      <c r="AJ265">
        <v>512</v>
      </c>
      <c r="AK265">
        <v>174</v>
      </c>
      <c r="AL265" t="s">
        <v>119</v>
      </c>
      <c r="AM265">
        <v>1</v>
      </c>
      <c r="AN265" t="s">
        <v>51</v>
      </c>
      <c r="AO265" t="s">
        <v>67</v>
      </c>
      <c r="AP265" t="s">
        <v>89</v>
      </c>
      <c r="AQ265">
        <v>15</v>
      </c>
      <c r="AR265">
        <v>546</v>
      </c>
      <c r="AS265">
        <v>1092</v>
      </c>
      <c r="AT265">
        <v>2.476</v>
      </c>
      <c r="AU265">
        <v>5.34</v>
      </c>
      <c r="AV265" t="s">
        <v>909</v>
      </c>
      <c r="AX265" t="s">
        <v>910</v>
      </c>
    </row>
    <row r="266" spans="1:50" x14ac:dyDescent="0.25">
      <c r="A266" t="s">
        <v>911</v>
      </c>
      <c r="B266" t="s">
        <v>51</v>
      </c>
      <c r="C266">
        <v>0</v>
      </c>
      <c r="D266">
        <v>1</v>
      </c>
      <c r="F266">
        <v>0</v>
      </c>
      <c r="G266">
        <v>0</v>
      </c>
      <c r="H266">
        <v>1</v>
      </c>
      <c r="I266">
        <v>0</v>
      </c>
      <c r="J266">
        <v>992</v>
      </c>
      <c r="K266">
        <v>0</v>
      </c>
      <c r="M266">
        <v>0</v>
      </c>
      <c r="N266">
        <v>0</v>
      </c>
      <c r="O266">
        <v>0</v>
      </c>
      <c r="P266">
        <v>0</v>
      </c>
      <c r="Q266">
        <v>0</v>
      </c>
      <c r="T266" t="s">
        <v>64</v>
      </c>
      <c r="U266" t="s">
        <v>65</v>
      </c>
      <c r="V266">
        <v>38</v>
      </c>
      <c r="W266" t="s">
        <v>54</v>
      </c>
      <c r="X266" t="s">
        <v>80</v>
      </c>
      <c r="Y266">
        <v>0</v>
      </c>
      <c r="AD266" t="s">
        <v>57</v>
      </c>
      <c r="AE266">
        <v>1</v>
      </c>
      <c r="AF266">
        <v>4</v>
      </c>
      <c r="AG266">
        <v>1</v>
      </c>
      <c r="AH266">
        <v>1.5</v>
      </c>
      <c r="AI266">
        <v>448</v>
      </c>
      <c r="AJ266">
        <v>448</v>
      </c>
      <c r="AK266">
        <v>176</v>
      </c>
      <c r="AL266" t="s">
        <v>123</v>
      </c>
      <c r="AM266">
        <v>1</v>
      </c>
      <c r="AN266" t="s">
        <v>51</v>
      </c>
      <c r="AO266" t="s">
        <v>59</v>
      </c>
      <c r="AP266" t="s">
        <v>60</v>
      </c>
      <c r="AQ266">
        <v>15</v>
      </c>
      <c r="AR266">
        <v>60</v>
      </c>
      <c r="AS266">
        <v>154</v>
      </c>
      <c r="AT266">
        <v>1.36</v>
      </c>
      <c r="AU266">
        <v>4.3099999999999996</v>
      </c>
      <c r="AV266" t="s">
        <v>912</v>
      </c>
      <c r="AX266" t="s">
        <v>913</v>
      </c>
    </row>
    <row r="267" spans="1:50" x14ac:dyDescent="0.25">
      <c r="A267" t="s">
        <v>914</v>
      </c>
      <c r="B267" t="s">
        <v>51</v>
      </c>
      <c r="C267">
        <v>0</v>
      </c>
      <c r="D267">
        <v>1</v>
      </c>
      <c r="F267">
        <v>0</v>
      </c>
      <c r="G267">
        <v>0</v>
      </c>
      <c r="H267">
        <v>0</v>
      </c>
      <c r="I267">
        <v>1</v>
      </c>
      <c r="J267">
        <v>865</v>
      </c>
      <c r="K267">
        <v>0</v>
      </c>
      <c r="M267">
        <v>0</v>
      </c>
      <c r="N267">
        <v>1</v>
      </c>
      <c r="O267">
        <v>1</v>
      </c>
      <c r="P267">
        <v>1</v>
      </c>
      <c r="Q267">
        <v>0</v>
      </c>
      <c r="T267" t="s">
        <v>52</v>
      </c>
      <c r="U267" t="s">
        <v>93</v>
      </c>
      <c r="V267">
        <v>38</v>
      </c>
      <c r="W267" t="s">
        <v>54</v>
      </c>
      <c r="X267" t="s">
        <v>55</v>
      </c>
      <c r="Y267">
        <v>0</v>
      </c>
      <c r="Z267">
        <v>73.03</v>
      </c>
      <c r="AB267" t="s">
        <v>94</v>
      </c>
      <c r="AD267" t="s">
        <v>57</v>
      </c>
      <c r="AE267">
        <v>1</v>
      </c>
      <c r="AF267">
        <v>4</v>
      </c>
      <c r="AG267">
        <v>1</v>
      </c>
      <c r="AH267">
        <v>1.5</v>
      </c>
      <c r="AI267">
        <v>512</v>
      </c>
      <c r="AJ267">
        <v>512</v>
      </c>
      <c r="AK267">
        <v>174</v>
      </c>
      <c r="AL267" t="s">
        <v>119</v>
      </c>
      <c r="AM267">
        <v>1.1000000000000001</v>
      </c>
      <c r="AN267" t="s">
        <v>51</v>
      </c>
      <c r="AO267" t="s">
        <v>67</v>
      </c>
      <c r="AP267" t="s">
        <v>89</v>
      </c>
      <c r="AQ267">
        <v>15</v>
      </c>
      <c r="AR267">
        <v>470</v>
      </c>
      <c r="AS267">
        <v>940</v>
      </c>
      <c r="AT267">
        <v>2.456</v>
      </c>
      <c r="AU267">
        <v>5.2560000000000002</v>
      </c>
      <c r="AV267" t="s">
        <v>915</v>
      </c>
      <c r="AX267" t="s">
        <v>916</v>
      </c>
    </row>
    <row r="268" spans="1:50" x14ac:dyDescent="0.25">
      <c r="A268" t="s">
        <v>917</v>
      </c>
      <c r="B268" t="s">
        <v>51</v>
      </c>
      <c r="C268">
        <v>0</v>
      </c>
      <c r="D268">
        <v>0</v>
      </c>
      <c r="F268">
        <v>0</v>
      </c>
      <c r="G268">
        <v>0</v>
      </c>
      <c r="H268">
        <v>0</v>
      </c>
      <c r="I268">
        <v>1</v>
      </c>
      <c r="K268">
        <v>433</v>
      </c>
      <c r="M268">
        <v>571</v>
      </c>
      <c r="N268">
        <v>0</v>
      </c>
      <c r="O268">
        <v>0</v>
      </c>
      <c r="P268">
        <v>0</v>
      </c>
      <c r="Q268">
        <v>0</v>
      </c>
      <c r="U268" t="s">
        <v>65</v>
      </c>
      <c r="V268">
        <v>57</v>
      </c>
      <c r="W268" t="s">
        <v>79</v>
      </c>
      <c r="X268" t="s">
        <v>80</v>
      </c>
      <c r="Y268">
        <v>0</v>
      </c>
      <c r="Z268">
        <v>55.338000000000001</v>
      </c>
      <c r="AB268" t="s">
        <v>74</v>
      </c>
      <c r="AD268" t="s">
        <v>57</v>
      </c>
      <c r="AE268">
        <v>1</v>
      </c>
      <c r="AF268">
        <v>5</v>
      </c>
      <c r="AG268">
        <v>1</v>
      </c>
      <c r="AH268">
        <v>3</v>
      </c>
      <c r="AI268">
        <v>512</v>
      </c>
      <c r="AJ268">
        <v>512</v>
      </c>
      <c r="AK268">
        <v>158</v>
      </c>
      <c r="AL268" t="s">
        <v>66</v>
      </c>
      <c r="AM268">
        <v>1.2</v>
      </c>
      <c r="AN268" t="s">
        <v>51</v>
      </c>
      <c r="AO268" t="s">
        <v>67</v>
      </c>
      <c r="AP268" t="s">
        <v>114</v>
      </c>
      <c r="AQ268">
        <v>15</v>
      </c>
      <c r="AR268">
        <v>791</v>
      </c>
      <c r="AS268">
        <v>1582</v>
      </c>
      <c r="AT268">
        <v>2.504</v>
      </c>
      <c r="AU268">
        <v>6.4349999999999996</v>
      </c>
      <c r="AV268" t="s">
        <v>918</v>
      </c>
      <c r="AX268" t="s">
        <v>919</v>
      </c>
    </row>
    <row r="269" spans="1:50" x14ac:dyDescent="0.25">
      <c r="A269" t="s">
        <v>920</v>
      </c>
      <c r="B269" t="s">
        <v>51</v>
      </c>
      <c r="C269">
        <v>0</v>
      </c>
      <c r="D269">
        <v>1</v>
      </c>
      <c r="F269">
        <v>0</v>
      </c>
      <c r="G269">
        <v>0</v>
      </c>
      <c r="H269">
        <v>0</v>
      </c>
      <c r="I269">
        <v>0</v>
      </c>
      <c r="J269">
        <v>2287</v>
      </c>
      <c r="K269">
        <v>0</v>
      </c>
      <c r="M269">
        <v>0</v>
      </c>
      <c r="N269">
        <v>0</v>
      </c>
      <c r="O269">
        <v>0</v>
      </c>
      <c r="P269">
        <v>0</v>
      </c>
      <c r="Q269">
        <v>0</v>
      </c>
      <c r="T269" t="s">
        <v>52</v>
      </c>
      <c r="U269" t="s">
        <v>65</v>
      </c>
      <c r="V269">
        <v>66</v>
      </c>
      <c r="W269" t="s">
        <v>79</v>
      </c>
      <c r="X269" t="s">
        <v>80</v>
      </c>
      <c r="Y269">
        <v>0</v>
      </c>
      <c r="AD269" t="s">
        <v>57</v>
      </c>
      <c r="AE269">
        <v>1</v>
      </c>
      <c r="AF269">
        <v>4</v>
      </c>
      <c r="AG269">
        <v>1</v>
      </c>
      <c r="AH269">
        <v>1.5</v>
      </c>
      <c r="AI269">
        <v>512</v>
      </c>
      <c r="AJ269">
        <v>512</v>
      </c>
      <c r="AK269">
        <v>170</v>
      </c>
      <c r="AL269" t="s">
        <v>81</v>
      </c>
      <c r="AM269">
        <v>1</v>
      </c>
      <c r="AN269" t="s">
        <v>51</v>
      </c>
      <c r="AO269" t="s">
        <v>67</v>
      </c>
      <c r="AP269" t="s">
        <v>68</v>
      </c>
      <c r="AQ269">
        <v>15</v>
      </c>
      <c r="AR269">
        <v>330</v>
      </c>
      <c r="AS269">
        <v>660</v>
      </c>
      <c r="AT269">
        <v>2.3199999999999998</v>
      </c>
      <c r="AU269">
        <v>4.9400000000000004</v>
      </c>
      <c r="AV269" t="s">
        <v>921</v>
      </c>
      <c r="AX269" t="s">
        <v>922</v>
      </c>
    </row>
    <row r="270" spans="1:50" x14ac:dyDescent="0.25">
      <c r="A270" t="s">
        <v>923</v>
      </c>
      <c r="B270" t="s">
        <v>51</v>
      </c>
      <c r="C270">
        <v>0</v>
      </c>
      <c r="D270">
        <v>1</v>
      </c>
      <c r="F270">
        <v>0</v>
      </c>
      <c r="G270">
        <v>1</v>
      </c>
      <c r="H270">
        <v>1</v>
      </c>
      <c r="I270">
        <v>0</v>
      </c>
      <c r="J270">
        <v>1406</v>
      </c>
      <c r="K270">
        <v>0</v>
      </c>
      <c r="M270">
        <v>0</v>
      </c>
      <c r="N270">
        <v>1</v>
      </c>
      <c r="O270">
        <v>1</v>
      </c>
      <c r="P270">
        <v>0</v>
      </c>
      <c r="Q270">
        <v>1</v>
      </c>
      <c r="U270" t="s">
        <v>72</v>
      </c>
      <c r="V270">
        <v>53</v>
      </c>
      <c r="W270" t="s">
        <v>54</v>
      </c>
      <c r="X270" t="s">
        <v>80</v>
      </c>
      <c r="Y270">
        <v>0</v>
      </c>
      <c r="Z270">
        <v>80.739000000000004</v>
      </c>
      <c r="AB270" t="s">
        <v>94</v>
      </c>
      <c r="AC270" t="s">
        <v>152</v>
      </c>
      <c r="AD270" t="s">
        <v>57</v>
      </c>
      <c r="AE270">
        <v>1</v>
      </c>
      <c r="AF270">
        <v>5</v>
      </c>
      <c r="AG270">
        <v>1</v>
      </c>
      <c r="AH270">
        <v>3</v>
      </c>
      <c r="AI270">
        <v>512</v>
      </c>
      <c r="AJ270">
        <v>512</v>
      </c>
      <c r="AK270">
        <v>166</v>
      </c>
      <c r="AL270" t="s">
        <v>119</v>
      </c>
      <c r="AM270">
        <v>1</v>
      </c>
      <c r="AN270" t="s">
        <v>51</v>
      </c>
      <c r="AO270" t="s">
        <v>67</v>
      </c>
      <c r="AP270" t="s">
        <v>114</v>
      </c>
      <c r="AQ270">
        <v>15</v>
      </c>
      <c r="AR270">
        <v>649</v>
      </c>
      <c r="AS270">
        <v>1299</v>
      </c>
      <c r="AT270">
        <v>2.3879999999999999</v>
      </c>
      <c r="AU270">
        <v>5.3739999999999997</v>
      </c>
      <c r="AV270" t="s">
        <v>924</v>
      </c>
      <c r="AX270" t="s">
        <v>925</v>
      </c>
    </row>
    <row r="271" spans="1:50" x14ac:dyDescent="0.25">
      <c r="A271" t="s">
        <v>926</v>
      </c>
      <c r="B271" t="s">
        <v>51</v>
      </c>
      <c r="C271">
        <v>0</v>
      </c>
      <c r="D271">
        <v>0</v>
      </c>
      <c r="F271">
        <v>0</v>
      </c>
      <c r="G271">
        <v>0</v>
      </c>
      <c r="H271">
        <v>0</v>
      </c>
      <c r="I271">
        <v>1</v>
      </c>
      <c r="J271">
        <v>1249</v>
      </c>
      <c r="K271">
        <v>0</v>
      </c>
      <c r="M271">
        <v>0</v>
      </c>
      <c r="N271">
        <v>1</v>
      </c>
      <c r="O271">
        <v>1</v>
      </c>
      <c r="P271">
        <v>1</v>
      </c>
      <c r="Q271">
        <v>0</v>
      </c>
      <c r="S271">
        <v>27</v>
      </c>
      <c r="U271" t="s">
        <v>93</v>
      </c>
      <c r="V271">
        <v>52</v>
      </c>
      <c r="W271" t="s">
        <v>54</v>
      </c>
      <c r="X271" t="s">
        <v>80</v>
      </c>
      <c r="Y271">
        <v>0</v>
      </c>
      <c r="Z271">
        <v>59.874000000000002</v>
      </c>
      <c r="AB271" t="s">
        <v>74</v>
      </c>
      <c r="AD271" t="s">
        <v>57</v>
      </c>
      <c r="AE271">
        <v>1</v>
      </c>
      <c r="AF271">
        <v>5</v>
      </c>
      <c r="AG271">
        <v>1</v>
      </c>
      <c r="AH271">
        <v>3</v>
      </c>
      <c r="AI271">
        <v>512</v>
      </c>
      <c r="AJ271">
        <v>512</v>
      </c>
      <c r="AK271">
        <v>142</v>
      </c>
      <c r="AL271" t="s">
        <v>497</v>
      </c>
      <c r="AM271">
        <v>1</v>
      </c>
      <c r="AN271" t="s">
        <v>51</v>
      </c>
      <c r="AO271" t="s">
        <v>67</v>
      </c>
      <c r="AP271" t="s">
        <v>114</v>
      </c>
      <c r="AQ271">
        <v>15</v>
      </c>
      <c r="AR271">
        <v>873</v>
      </c>
      <c r="AS271">
        <v>1746</v>
      </c>
      <c r="AT271">
        <v>2.532</v>
      </c>
      <c r="AU271">
        <v>6.726</v>
      </c>
      <c r="AV271" t="s">
        <v>927</v>
      </c>
      <c r="AX271" t="s">
        <v>928</v>
      </c>
    </row>
    <row r="272" spans="1:50" x14ac:dyDescent="0.25">
      <c r="A272" t="s">
        <v>929</v>
      </c>
      <c r="B272" t="s">
        <v>51</v>
      </c>
      <c r="C272">
        <v>0</v>
      </c>
      <c r="D272">
        <v>0</v>
      </c>
      <c r="F272">
        <v>0</v>
      </c>
      <c r="G272">
        <v>0</v>
      </c>
      <c r="H272">
        <v>0</v>
      </c>
      <c r="I272">
        <v>1</v>
      </c>
      <c r="J272">
        <v>467</v>
      </c>
      <c r="K272">
        <v>0</v>
      </c>
      <c r="M272">
        <v>0</v>
      </c>
      <c r="N272">
        <v>0</v>
      </c>
      <c r="O272">
        <v>0</v>
      </c>
      <c r="P272">
        <v>0</v>
      </c>
      <c r="Q272">
        <v>0</v>
      </c>
      <c r="T272" t="s">
        <v>52</v>
      </c>
      <c r="U272" t="s">
        <v>65</v>
      </c>
      <c r="V272">
        <v>37</v>
      </c>
      <c r="W272" t="s">
        <v>54</v>
      </c>
      <c r="X272" t="s">
        <v>80</v>
      </c>
      <c r="Y272">
        <v>0</v>
      </c>
      <c r="AD272" t="s">
        <v>57</v>
      </c>
      <c r="AE272">
        <v>1</v>
      </c>
      <c r="AF272">
        <v>4</v>
      </c>
      <c r="AG272">
        <v>1</v>
      </c>
      <c r="AH272">
        <v>1.5</v>
      </c>
      <c r="AI272">
        <v>512</v>
      </c>
      <c r="AJ272">
        <v>512</v>
      </c>
      <c r="AK272">
        <v>172</v>
      </c>
      <c r="AL272" t="s">
        <v>81</v>
      </c>
      <c r="AM272">
        <v>1</v>
      </c>
      <c r="AN272" t="s">
        <v>51</v>
      </c>
      <c r="AO272" t="s">
        <v>67</v>
      </c>
      <c r="AP272" t="s">
        <v>68</v>
      </c>
      <c r="AQ272">
        <v>15</v>
      </c>
      <c r="AR272">
        <v>307</v>
      </c>
      <c r="AS272">
        <v>615</v>
      </c>
      <c r="AT272">
        <v>2.3119999999999998</v>
      </c>
      <c r="AU272">
        <v>4.9240000000000004</v>
      </c>
      <c r="AV272" t="s">
        <v>930</v>
      </c>
      <c r="AX272" t="s">
        <v>931</v>
      </c>
    </row>
    <row r="273" spans="1:50" x14ac:dyDescent="0.25">
      <c r="A273" t="s">
        <v>932</v>
      </c>
      <c r="B273" t="s">
        <v>51</v>
      </c>
      <c r="C273">
        <v>0</v>
      </c>
      <c r="D273">
        <v>0</v>
      </c>
      <c r="F273">
        <v>0</v>
      </c>
      <c r="G273">
        <v>1</v>
      </c>
      <c r="H273">
        <v>0</v>
      </c>
      <c r="I273">
        <v>0</v>
      </c>
      <c r="J273">
        <v>2640</v>
      </c>
      <c r="K273">
        <v>0</v>
      </c>
      <c r="M273">
        <v>0</v>
      </c>
      <c r="N273">
        <v>1</v>
      </c>
      <c r="O273">
        <v>1</v>
      </c>
      <c r="P273">
        <v>1</v>
      </c>
      <c r="Q273">
        <v>1</v>
      </c>
      <c r="T273" t="s">
        <v>64</v>
      </c>
      <c r="U273" t="s">
        <v>72</v>
      </c>
      <c r="V273">
        <v>29</v>
      </c>
      <c r="W273" t="s">
        <v>54</v>
      </c>
      <c r="X273" t="s">
        <v>80</v>
      </c>
      <c r="Y273">
        <v>0</v>
      </c>
      <c r="Z273">
        <v>81.646636986000004</v>
      </c>
      <c r="AA273">
        <v>1.6256032533333</v>
      </c>
      <c r="AB273" t="s">
        <v>118</v>
      </c>
      <c r="AD273" t="s">
        <v>57</v>
      </c>
      <c r="AE273">
        <v>1</v>
      </c>
      <c r="AF273">
        <v>5</v>
      </c>
      <c r="AG273">
        <v>1</v>
      </c>
      <c r="AH273">
        <v>1.5</v>
      </c>
      <c r="AI273">
        <v>448</v>
      </c>
      <c r="AJ273">
        <v>448</v>
      </c>
      <c r="AK273">
        <v>160</v>
      </c>
      <c r="AL273" t="s">
        <v>103</v>
      </c>
      <c r="AM273">
        <v>1.1000000238419001</v>
      </c>
      <c r="AN273" t="s">
        <v>51</v>
      </c>
      <c r="AO273" t="s">
        <v>59</v>
      </c>
      <c r="AP273" t="s">
        <v>60</v>
      </c>
      <c r="AQ273">
        <v>11</v>
      </c>
      <c r="AR273">
        <v>59</v>
      </c>
      <c r="AS273">
        <v>161</v>
      </c>
      <c r="AT273">
        <v>1.4</v>
      </c>
      <c r="AU273">
        <v>4.1399999999999997</v>
      </c>
      <c r="AV273" t="s">
        <v>933</v>
      </c>
      <c r="AX273" t="s">
        <v>934</v>
      </c>
    </row>
    <row r="274" spans="1:50" x14ac:dyDescent="0.25">
      <c r="A274" t="s">
        <v>935</v>
      </c>
      <c r="B274" t="s">
        <v>51</v>
      </c>
      <c r="C274">
        <v>0</v>
      </c>
      <c r="D274">
        <v>0</v>
      </c>
      <c r="F274">
        <v>0</v>
      </c>
      <c r="G274">
        <v>0</v>
      </c>
      <c r="H274">
        <v>0</v>
      </c>
      <c r="I274">
        <v>1</v>
      </c>
      <c r="J274">
        <v>401</v>
      </c>
      <c r="K274">
        <v>436</v>
      </c>
      <c r="M274">
        <v>0</v>
      </c>
      <c r="N274">
        <v>0</v>
      </c>
      <c r="O274">
        <v>0</v>
      </c>
      <c r="P274">
        <v>0</v>
      </c>
      <c r="Q274">
        <v>0</v>
      </c>
      <c r="T274" t="s">
        <v>64</v>
      </c>
      <c r="U274" t="s">
        <v>65</v>
      </c>
      <c r="V274">
        <v>25</v>
      </c>
      <c r="W274" t="s">
        <v>54</v>
      </c>
      <c r="X274" t="s">
        <v>80</v>
      </c>
      <c r="Y274">
        <v>0</v>
      </c>
      <c r="AD274" t="s">
        <v>57</v>
      </c>
      <c r="AE274">
        <v>1</v>
      </c>
      <c r="AF274">
        <v>4</v>
      </c>
      <c r="AG274">
        <v>1</v>
      </c>
      <c r="AH274">
        <v>1.5</v>
      </c>
      <c r="AI274">
        <v>448</v>
      </c>
      <c r="AJ274">
        <v>448</v>
      </c>
      <c r="AK274">
        <v>176</v>
      </c>
      <c r="AL274" t="s">
        <v>230</v>
      </c>
      <c r="AM274">
        <v>1</v>
      </c>
      <c r="AN274" t="s">
        <v>51</v>
      </c>
      <c r="AO274" t="s">
        <v>59</v>
      </c>
      <c r="AP274" t="s">
        <v>60</v>
      </c>
      <c r="AQ274">
        <v>15</v>
      </c>
      <c r="AR274">
        <v>137</v>
      </c>
      <c r="AS274">
        <v>347</v>
      </c>
      <c r="AT274">
        <v>1.39</v>
      </c>
      <c r="AU274">
        <v>4.37</v>
      </c>
      <c r="AV274" t="s">
        <v>936</v>
      </c>
      <c r="AX274" t="s">
        <v>937</v>
      </c>
    </row>
    <row r="275" spans="1:50" x14ac:dyDescent="0.25">
      <c r="A275" t="s">
        <v>938</v>
      </c>
      <c r="B275" t="s">
        <v>51</v>
      </c>
      <c r="C275">
        <v>0</v>
      </c>
      <c r="D275">
        <v>0</v>
      </c>
      <c r="F275">
        <v>0</v>
      </c>
      <c r="G275">
        <v>0</v>
      </c>
      <c r="H275">
        <v>0</v>
      </c>
      <c r="I275">
        <v>0</v>
      </c>
      <c r="J275">
        <v>1514</v>
      </c>
      <c r="K275">
        <v>0</v>
      </c>
      <c r="M275">
        <v>0</v>
      </c>
      <c r="N275">
        <v>1</v>
      </c>
      <c r="O275">
        <v>1</v>
      </c>
      <c r="P275">
        <v>1</v>
      </c>
      <c r="Q275">
        <v>0</v>
      </c>
      <c r="S275">
        <v>32</v>
      </c>
      <c r="U275" t="s">
        <v>93</v>
      </c>
      <c r="V275">
        <v>48</v>
      </c>
      <c r="W275" t="s">
        <v>54</v>
      </c>
      <c r="X275" t="s">
        <v>80</v>
      </c>
      <c r="Y275">
        <v>0</v>
      </c>
      <c r="Z275">
        <v>86.635999999999996</v>
      </c>
      <c r="AB275" t="s">
        <v>118</v>
      </c>
      <c r="AC275" t="s">
        <v>102</v>
      </c>
      <c r="AD275" t="s">
        <v>57</v>
      </c>
      <c r="AE275">
        <v>1</v>
      </c>
      <c r="AF275">
        <v>5</v>
      </c>
      <c r="AG275">
        <v>1</v>
      </c>
      <c r="AH275">
        <v>3</v>
      </c>
      <c r="AI275">
        <v>512</v>
      </c>
      <c r="AJ275">
        <v>512</v>
      </c>
      <c r="AK275">
        <v>164</v>
      </c>
      <c r="AL275" t="s">
        <v>128</v>
      </c>
      <c r="AM275">
        <v>1</v>
      </c>
      <c r="AN275" t="s">
        <v>51</v>
      </c>
      <c r="AO275" t="s">
        <v>67</v>
      </c>
      <c r="AP275" t="s">
        <v>114</v>
      </c>
      <c r="AQ275">
        <v>15</v>
      </c>
      <c r="AR275">
        <v>563</v>
      </c>
      <c r="AS275">
        <v>1126</v>
      </c>
      <c r="AT275">
        <v>2.4079999999999999</v>
      </c>
      <c r="AU275">
        <v>5.5179999999999998</v>
      </c>
      <c r="AV275" t="s">
        <v>939</v>
      </c>
      <c r="AX275" t="s">
        <v>940</v>
      </c>
    </row>
    <row r="276" spans="1:50" x14ac:dyDescent="0.25">
      <c r="A276" t="s">
        <v>941</v>
      </c>
      <c r="B276" t="s">
        <v>51</v>
      </c>
      <c r="C276">
        <v>0</v>
      </c>
      <c r="D276">
        <v>0</v>
      </c>
      <c r="F276">
        <v>0</v>
      </c>
      <c r="G276">
        <v>0</v>
      </c>
      <c r="H276">
        <v>0</v>
      </c>
      <c r="I276">
        <v>1</v>
      </c>
      <c r="J276">
        <v>1746</v>
      </c>
      <c r="K276">
        <v>0</v>
      </c>
      <c r="M276">
        <v>0</v>
      </c>
      <c r="N276">
        <v>1</v>
      </c>
      <c r="O276">
        <v>1</v>
      </c>
      <c r="P276">
        <v>1</v>
      </c>
      <c r="Q276">
        <v>0</v>
      </c>
      <c r="S276">
        <v>25</v>
      </c>
      <c r="U276" t="s">
        <v>93</v>
      </c>
      <c r="V276">
        <v>46</v>
      </c>
      <c r="W276" t="s">
        <v>54</v>
      </c>
      <c r="X276" t="s">
        <v>80</v>
      </c>
      <c r="Y276">
        <v>0</v>
      </c>
      <c r="Z276">
        <v>62.142000000000003</v>
      </c>
      <c r="AB276" t="s">
        <v>74</v>
      </c>
      <c r="AC276" t="s">
        <v>102</v>
      </c>
      <c r="AD276" t="s">
        <v>57</v>
      </c>
      <c r="AE276">
        <v>1</v>
      </c>
      <c r="AF276">
        <v>5</v>
      </c>
      <c r="AG276">
        <v>1</v>
      </c>
      <c r="AH276">
        <v>3</v>
      </c>
      <c r="AI276">
        <v>512</v>
      </c>
      <c r="AJ276">
        <v>512</v>
      </c>
      <c r="AK276">
        <v>156</v>
      </c>
      <c r="AL276" t="s">
        <v>113</v>
      </c>
      <c r="AM276">
        <v>1</v>
      </c>
      <c r="AN276" t="s">
        <v>51</v>
      </c>
      <c r="AO276" t="s">
        <v>67</v>
      </c>
      <c r="AP276" t="s">
        <v>114</v>
      </c>
      <c r="AQ276">
        <v>15</v>
      </c>
      <c r="AR276">
        <v>756</v>
      </c>
      <c r="AS276">
        <v>1512</v>
      </c>
      <c r="AT276">
        <v>2.48</v>
      </c>
      <c r="AU276">
        <v>6.2190000000000003</v>
      </c>
      <c r="AV276" t="s">
        <v>942</v>
      </c>
      <c r="AX276" t="s">
        <v>943</v>
      </c>
    </row>
    <row r="277" spans="1:50" x14ac:dyDescent="0.25">
      <c r="A277" t="s">
        <v>944</v>
      </c>
      <c r="B277" t="s">
        <v>51</v>
      </c>
      <c r="C277">
        <v>0</v>
      </c>
      <c r="D277">
        <v>0</v>
      </c>
      <c r="F277">
        <v>0</v>
      </c>
      <c r="G277">
        <v>0</v>
      </c>
      <c r="H277">
        <v>0</v>
      </c>
      <c r="I277">
        <v>0</v>
      </c>
      <c r="K277">
        <v>305</v>
      </c>
      <c r="M277">
        <v>648</v>
      </c>
      <c r="N277">
        <v>1</v>
      </c>
      <c r="O277">
        <v>1</v>
      </c>
      <c r="P277">
        <v>1</v>
      </c>
      <c r="Q277">
        <v>0</v>
      </c>
      <c r="U277" t="s">
        <v>93</v>
      </c>
      <c r="V277">
        <v>52</v>
      </c>
      <c r="W277" t="s">
        <v>79</v>
      </c>
      <c r="X277" t="s">
        <v>80</v>
      </c>
      <c r="Y277">
        <v>0</v>
      </c>
      <c r="Z277">
        <v>100.69799999999999</v>
      </c>
      <c r="AB277" t="s">
        <v>56</v>
      </c>
      <c r="AD277" t="s">
        <v>57</v>
      </c>
      <c r="AE277">
        <v>1</v>
      </c>
      <c r="AF277">
        <v>5</v>
      </c>
      <c r="AG277">
        <v>1</v>
      </c>
      <c r="AH277">
        <v>1.5</v>
      </c>
      <c r="AI277">
        <v>512</v>
      </c>
      <c r="AJ277">
        <v>512</v>
      </c>
      <c r="AK277">
        <v>168</v>
      </c>
      <c r="AL277" t="s">
        <v>66</v>
      </c>
      <c r="AM277">
        <v>1</v>
      </c>
      <c r="AN277" t="s">
        <v>51</v>
      </c>
      <c r="AO277" t="s">
        <v>67</v>
      </c>
      <c r="AP277" t="s">
        <v>114</v>
      </c>
      <c r="AQ277">
        <v>15</v>
      </c>
      <c r="AR277">
        <v>534</v>
      </c>
      <c r="AS277">
        <v>1069</v>
      </c>
      <c r="AT277">
        <v>2.4039999999999999</v>
      </c>
      <c r="AU277">
        <v>5.04</v>
      </c>
      <c r="AV277" t="s">
        <v>945</v>
      </c>
      <c r="AX277" t="s">
        <v>946</v>
      </c>
    </row>
    <row r="278" spans="1:50" x14ac:dyDescent="0.25">
      <c r="A278" t="s">
        <v>947</v>
      </c>
      <c r="B278" t="s">
        <v>51</v>
      </c>
      <c r="C278">
        <v>0</v>
      </c>
      <c r="D278">
        <v>0</v>
      </c>
      <c r="F278">
        <v>0</v>
      </c>
      <c r="G278">
        <v>1</v>
      </c>
      <c r="J278">
        <v>863</v>
      </c>
      <c r="K278">
        <v>0</v>
      </c>
      <c r="M278">
        <v>0</v>
      </c>
      <c r="N278">
        <v>0</v>
      </c>
      <c r="O278">
        <v>0</v>
      </c>
      <c r="P278">
        <v>0</v>
      </c>
      <c r="Q278">
        <v>1</v>
      </c>
      <c r="T278" t="s">
        <v>64</v>
      </c>
      <c r="U278" t="s">
        <v>53</v>
      </c>
      <c r="V278">
        <v>56</v>
      </c>
      <c r="W278" t="s">
        <v>79</v>
      </c>
      <c r="X278" t="s">
        <v>55</v>
      </c>
      <c r="Y278">
        <v>0</v>
      </c>
      <c r="Z278">
        <v>113.4</v>
      </c>
      <c r="AB278" t="s">
        <v>269</v>
      </c>
      <c r="AD278" t="s">
        <v>57</v>
      </c>
      <c r="AE278">
        <v>1</v>
      </c>
      <c r="AF278">
        <v>4</v>
      </c>
      <c r="AG278">
        <v>1</v>
      </c>
      <c r="AH278">
        <v>1.5</v>
      </c>
      <c r="AI278">
        <v>512</v>
      </c>
      <c r="AJ278">
        <v>512</v>
      </c>
      <c r="AK278">
        <v>176</v>
      </c>
      <c r="AL278" t="s">
        <v>350</v>
      </c>
      <c r="AM278">
        <v>1.2</v>
      </c>
      <c r="AN278" t="s">
        <v>51</v>
      </c>
      <c r="AO278" t="s">
        <v>67</v>
      </c>
      <c r="AP278" t="s">
        <v>89</v>
      </c>
      <c r="AQ278">
        <v>15</v>
      </c>
      <c r="AR278">
        <v>292</v>
      </c>
      <c r="AS278">
        <v>585</v>
      </c>
      <c r="AT278">
        <v>2.3759999999999999</v>
      </c>
      <c r="AU278">
        <v>5.1239999999999997</v>
      </c>
      <c r="AV278" t="s">
        <v>948</v>
      </c>
      <c r="AX278" t="s">
        <v>949</v>
      </c>
    </row>
    <row r="279" spans="1:50" x14ac:dyDescent="0.25">
      <c r="A279" t="s">
        <v>950</v>
      </c>
      <c r="B279" t="s">
        <v>51</v>
      </c>
      <c r="C279">
        <v>0</v>
      </c>
      <c r="D279">
        <v>1</v>
      </c>
      <c r="F279">
        <v>0</v>
      </c>
      <c r="G279">
        <v>0</v>
      </c>
      <c r="H279">
        <v>0</v>
      </c>
      <c r="I279">
        <v>1</v>
      </c>
      <c r="J279">
        <v>113</v>
      </c>
      <c r="K279">
        <v>174</v>
      </c>
      <c r="M279">
        <v>0</v>
      </c>
      <c r="N279">
        <v>1</v>
      </c>
      <c r="O279">
        <v>1</v>
      </c>
      <c r="P279">
        <v>1</v>
      </c>
      <c r="Q279">
        <v>0</v>
      </c>
      <c r="T279" t="s">
        <v>64</v>
      </c>
      <c r="U279" t="s">
        <v>93</v>
      </c>
      <c r="V279">
        <v>32</v>
      </c>
      <c r="W279" t="s">
        <v>54</v>
      </c>
      <c r="X279" t="s">
        <v>80</v>
      </c>
      <c r="Y279">
        <v>0</v>
      </c>
      <c r="Z279">
        <v>115.666</v>
      </c>
      <c r="AB279" t="s">
        <v>269</v>
      </c>
      <c r="AD279" t="s">
        <v>57</v>
      </c>
      <c r="AE279">
        <v>1</v>
      </c>
      <c r="AF279">
        <v>4</v>
      </c>
      <c r="AG279">
        <v>1</v>
      </c>
      <c r="AH279">
        <v>3</v>
      </c>
      <c r="AI279">
        <v>512</v>
      </c>
      <c r="AJ279">
        <v>512</v>
      </c>
      <c r="AK279">
        <v>172</v>
      </c>
      <c r="AL279" t="s">
        <v>350</v>
      </c>
      <c r="AM279">
        <v>1.1000000000000001</v>
      </c>
      <c r="AN279" t="s">
        <v>51</v>
      </c>
      <c r="AO279" t="s">
        <v>67</v>
      </c>
      <c r="AP279" t="s">
        <v>68</v>
      </c>
      <c r="AQ279">
        <v>15</v>
      </c>
      <c r="AR279">
        <v>523</v>
      </c>
      <c r="AS279">
        <v>1047</v>
      </c>
      <c r="AT279">
        <v>2.6080000000000001</v>
      </c>
      <c r="AU279">
        <v>5.5720000000000001</v>
      </c>
      <c r="AV279" t="s">
        <v>951</v>
      </c>
      <c r="AX279" t="s">
        <v>952</v>
      </c>
    </row>
    <row r="280" spans="1:50" x14ac:dyDescent="0.25">
      <c r="A280" t="s">
        <v>953</v>
      </c>
      <c r="B280" t="s">
        <v>51</v>
      </c>
      <c r="C280">
        <v>0</v>
      </c>
      <c r="D280">
        <v>1</v>
      </c>
      <c r="F280">
        <v>0</v>
      </c>
      <c r="G280">
        <v>0</v>
      </c>
      <c r="H280">
        <v>0</v>
      </c>
      <c r="I280">
        <v>1</v>
      </c>
      <c r="J280">
        <v>683</v>
      </c>
      <c r="K280">
        <v>0</v>
      </c>
      <c r="M280">
        <v>683</v>
      </c>
      <c r="N280">
        <v>0</v>
      </c>
      <c r="O280">
        <v>0</v>
      </c>
      <c r="P280">
        <v>0</v>
      </c>
      <c r="Q280">
        <v>0</v>
      </c>
      <c r="U280" t="s">
        <v>65</v>
      </c>
      <c r="V280">
        <v>72</v>
      </c>
      <c r="W280" t="s">
        <v>79</v>
      </c>
      <c r="X280" t="s">
        <v>55</v>
      </c>
      <c r="Y280">
        <v>0</v>
      </c>
      <c r="Z280">
        <v>68.039000000000001</v>
      </c>
      <c r="AB280" t="s">
        <v>74</v>
      </c>
      <c r="AC280" t="s">
        <v>102</v>
      </c>
      <c r="AD280" t="s">
        <v>57</v>
      </c>
      <c r="AE280">
        <v>1</v>
      </c>
      <c r="AF280">
        <v>5</v>
      </c>
      <c r="AG280">
        <v>1</v>
      </c>
      <c r="AH280">
        <v>3</v>
      </c>
      <c r="AI280">
        <v>512</v>
      </c>
      <c r="AJ280">
        <v>512</v>
      </c>
      <c r="AK280">
        <v>190</v>
      </c>
      <c r="AL280" t="s">
        <v>240</v>
      </c>
      <c r="AM280">
        <v>1</v>
      </c>
      <c r="AN280" t="s">
        <v>51</v>
      </c>
      <c r="AO280" t="s">
        <v>67</v>
      </c>
      <c r="AP280" t="s">
        <v>114</v>
      </c>
      <c r="AQ280">
        <v>15</v>
      </c>
      <c r="AR280">
        <v>1600</v>
      </c>
      <c r="AS280">
        <v>3200</v>
      </c>
      <c r="AT280">
        <v>2.3639999999999999</v>
      </c>
      <c r="AU280">
        <v>5.226</v>
      </c>
      <c r="AV280" t="s">
        <v>954</v>
      </c>
      <c r="AX280" t="s">
        <v>955</v>
      </c>
    </row>
    <row r="281" spans="1:50" x14ac:dyDescent="0.25">
      <c r="A281" t="s">
        <v>956</v>
      </c>
      <c r="B281" t="s">
        <v>51</v>
      </c>
      <c r="C281">
        <v>0</v>
      </c>
      <c r="D281">
        <v>0</v>
      </c>
      <c r="F281">
        <v>0</v>
      </c>
      <c r="G281">
        <v>0</v>
      </c>
      <c r="H281">
        <v>1</v>
      </c>
      <c r="I281">
        <v>0</v>
      </c>
      <c r="J281">
        <v>1486</v>
      </c>
      <c r="K281">
        <v>0</v>
      </c>
      <c r="M281">
        <v>0</v>
      </c>
      <c r="N281">
        <v>0</v>
      </c>
      <c r="O281">
        <v>0</v>
      </c>
      <c r="P281">
        <v>0</v>
      </c>
      <c r="Q281">
        <v>0</v>
      </c>
      <c r="U281" t="s">
        <v>65</v>
      </c>
      <c r="V281">
        <v>48</v>
      </c>
      <c r="W281" t="s">
        <v>54</v>
      </c>
      <c r="X281" t="s">
        <v>55</v>
      </c>
      <c r="Y281">
        <v>0</v>
      </c>
      <c r="Z281">
        <v>79.379000000000005</v>
      </c>
      <c r="AB281" t="s">
        <v>94</v>
      </c>
      <c r="AD281" t="s">
        <v>57</v>
      </c>
      <c r="AE281">
        <v>1</v>
      </c>
      <c r="AF281">
        <v>5</v>
      </c>
      <c r="AG281">
        <v>1</v>
      </c>
      <c r="AH281">
        <v>3</v>
      </c>
      <c r="AI281">
        <v>512</v>
      </c>
      <c r="AJ281">
        <v>512</v>
      </c>
      <c r="AK281">
        <v>172</v>
      </c>
      <c r="AL281" t="s">
        <v>128</v>
      </c>
      <c r="AM281">
        <v>1</v>
      </c>
      <c r="AN281" t="s">
        <v>51</v>
      </c>
      <c r="AO281" t="s">
        <v>67</v>
      </c>
      <c r="AP281" t="s">
        <v>114</v>
      </c>
      <c r="AQ281">
        <v>15</v>
      </c>
      <c r="AR281">
        <v>1292</v>
      </c>
      <c r="AS281">
        <v>2584</v>
      </c>
      <c r="AT281">
        <v>2.4039999999999999</v>
      </c>
      <c r="AU281">
        <v>5.5179999999999998</v>
      </c>
      <c r="AV281" t="s">
        <v>957</v>
      </c>
      <c r="AX281" t="s">
        <v>958</v>
      </c>
    </row>
    <row r="282" spans="1:50" x14ac:dyDescent="0.25">
      <c r="A282" t="s">
        <v>959</v>
      </c>
      <c r="B282" t="s">
        <v>51</v>
      </c>
      <c r="C282">
        <v>0</v>
      </c>
      <c r="D282">
        <v>1</v>
      </c>
      <c r="F282">
        <v>0</v>
      </c>
      <c r="G282">
        <v>1</v>
      </c>
      <c r="H282">
        <v>1</v>
      </c>
      <c r="I282">
        <v>1</v>
      </c>
      <c r="J282">
        <v>2033</v>
      </c>
      <c r="K282">
        <v>0</v>
      </c>
      <c r="M282">
        <v>0</v>
      </c>
      <c r="N282">
        <v>1</v>
      </c>
      <c r="O282">
        <v>1</v>
      </c>
      <c r="P282">
        <v>1</v>
      </c>
      <c r="Q282">
        <v>1</v>
      </c>
      <c r="U282" t="s">
        <v>72</v>
      </c>
      <c r="V282">
        <v>45</v>
      </c>
      <c r="W282" t="s">
        <v>54</v>
      </c>
      <c r="X282" t="s">
        <v>80</v>
      </c>
      <c r="Y282">
        <v>0</v>
      </c>
      <c r="Z282">
        <v>92.532855250799997</v>
      </c>
      <c r="AB282" t="s">
        <v>118</v>
      </c>
      <c r="AD282" t="s">
        <v>57</v>
      </c>
      <c r="AE282">
        <v>1</v>
      </c>
      <c r="AF282">
        <v>5</v>
      </c>
      <c r="AG282">
        <v>1</v>
      </c>
      <c r="AH282">
        <v>1.5</v>
      </c>
      <c r="AI282">
        <v>448</v>
      </c>
      <c r="AJ282">
        <v>448</v>
      </c>
      <c r="AK282">
        <v>160</v>
      </c>
      <c r="AL282" t="s">
        <v>58</v>
      </c>
      <c r="AM282">
        <v>1.1000000238419001</v>
      </c>
      <c r="AN282" t="s">
        <v>51</v>
      </c>
      <c r="AO282" t="s">
        <v>59</v>
      </c>
      <c r="AP282" t="s">
        <v>60</v>
      </c>
      <c r="AQ282">
        <v>11</v>
      </c>
      <c r="AR282">
        <v>57</v>
      </c>
      <c r="AS282">
        <v>156</v>
      </c>
      <c r="AT282">
        <v>1.36</v>
      </c>
      <c r="AU282">
        <v>4.12</v>
      </c>
      <c r="AV282" t="s">
        <v>960</v>
      </c>
      <c r="AX282" t="s">
        <v>961</v>
      </c>
    </row>
    <row r="283" spans="1:50" x14ac:dyDescent="0.25">
      <c r="A283" t="s">
        <v>962</v>
      </c>
      <c r="B283" t="s">
        <v>51</v>
      </c>
      <c r="C283">
        <v>0</v>
      </c>
      <c r="D283">
        <v>0</v>
      </c>
      <c r="F283">
        <v>0</v>
      </c>
      <c r="G283">
        <v>0</v>
      </c>
      <c r="H283">
        <v>0</v>
      </c>
      <c r="I283">
        <v>0</v>
      </c>
      <c r="J283">
        <v>1918</v>
      </c>
      <c r="K283">
        <v>0</v>
      </c>
      <c r="M283">
        <v>0</v>
      </c>
      <c r="N283">
        <v>0</v>
      </c>
      <c r="O283">
        <v>0</v>
      </c>
      <c r="P283">
        <v>0</v>
      </c>
      <c r="Q283">
        <v>0</v>
      </c>
      <c r="U283" t="s">
        <v>65</v>
      </c>
      <c r="V283">
        <v>55</v>
      </c>
      <c r="W283" t="s">
        <v>79</v>
      </c>
      <c r="X283" t="s">
        <v>80</v>
      </c>
      <c r="Y283">
        <v>0</v>
      </c>
      <c r="Z283">
        <v>86.183000000000007</v>
      </c>
      <c r="AB283" t="s">
        <v>118</v>
      </c>
      <c r="AC283" t="s">
        <v>102</v>
      </c>
      <c r="AD283" t="s">
        <v>57</v>
      </c>
      <c r="AE283">
        <v>1</v>
      </c>
      <c r="AF283">
        <v>5</v>
      </c>
      <c r="AG283">
        <v>1</v>
      </c>
      <c r="AH283">
        <v>3</v>
      </c>
      <c r="AI283">
        <v>512</v>
      </c>
      <c r="AJ283">
        <v>512</v>
      </c>
      <c r="AK283">
        <v>142</v>
      </c>
      <c r="AL283" t="s">
        <v>119</v>
      </c>
      <c r="AM283">
        <v>1.2</v>
      </c>
      <c r="AN283" t="s">
        <v>51</v>
      </c>
      <c r="AO283" t="s">
        <v>67</v>
      </c>
      <c r="AP283" t="s">
        <v>114</v>
      </c>
      <c r="AQ283">
        <v>15</v>
      </c>
      <c r="AR283">
        <v>1365</v>
      </c>
      <c r="AS283">
        <v>2731</v>
      </c>
      <c r="AT283">
        <v>2.3879999999999999</v>
      </c>
      <c r="AU283">
        <v>5.1760000000000002</v>
      </c>
      <c r="AV283" t="s">
        <v>963</v>
      </c>
      <c r="AX283" t="s">
        <v>964</v>
      </c>
    </row>
    <row r="284" spans="1:50" x14ac:dyDescent="0.25">
      <c r="A284" t="s">
        <v>965</v>
      </c>
      <c r="B284" t="s">
        <v>51</v>
      </c>
      <c r="C284">
        <v>0</v>
      </c>
      <c r="D284">
        <v>0</v>
      </c>
      <c r="F284">
        <v>0</v>
      </c>
      <c r="G284">
        <v>1</v>
      </c>
      <c r="H284">
        <v>0</v>
      </c>
      <c r="I284">
        <v>0</v>
      </c>
      <c r="J284">
        <v>1956</v>
      </c>
      <c r="K284">
        <v>0</v>
      </c>
      <c r="M284">
        <v>0</v>
      </c>
      <c r="N284">
        <v>1</v>
      </c>
      <c r="O284">
        <v>1</v>
      </c>
      <c r="P284">
        <v>1</v>
      </c>
      <c r="Q284">
        <v>1</v>
      </c>
      <c r="T284" t="s">
        <v>52</v>
      </c>
      <c r="U284" t="s">
        <v>72</v>
      </c>
      <c r="V284">
        <v>34</v>
      </c>
      <c r="W284" t="s">
        <v>54</v>
      </c>
      <c r="X284" t="s">
        <v>80</v>
      </c>
      <c r="Y284">
        <v>0</v>
      </c>
      <c r="Z284">
        <v>57.606000000000002</v>
      </c>
      <c r="AB284" t="s">
        <v>74</v>
      </c>
      <c r="AD284" t="s">
        <v>57</v>
      </c>
      <c r="AE284">
        <v>1</v>
      </c>
      <c r="AF284">
        <v>4</v>
      </c>
      <c r="AG284">
        <v>1</v>
      </c>
      <c r="AH284">
        <v>3</v>
      </c>
      <c r="AI284">
        <v>512</v>
      </c>
      <c r="AJ284">
        <v>512</v>
      </c>
      <c r="AK284">
        <v>156</v>
      </c>
      <c r="AL284" t="s">
        <v>81</v>
      </c>
      <c r="AM284">
        <v>1</v>
      </c>
      <c r="AN284" t="s">
        <v>51</v>
      </c>
      <c r="AO284" t="s">
        <v>67</v>
      </c>
      <c r="AP284" t="s">
        <v>68</v>
      </c>
      <c r="AQ284">
        <v>15</v>
      </c>
      <c r="AR284">
        <v>739</v>
      </c>
      <c r="AS284">
        <v>1478</v>
      </c>
      <c r="AT284">
        <v>2.6040000000000001</v>
      </c>
      <c r="AU284">
        <v>6.0629999999999997</v>
      </c>
      <c r="AV284" t="s">
        <v>966</v>
      </c>
      <c r="AX284" t="s">
        <v>967</v>
      </c>
    </row>
    <row r="285" spans="1:50" x14ac:dyDescent="0.25">
      <c r="A285" t="s">
        <v>968</v>
      </c>
      <c r="B285" t="s">
        <v>51</v>
      </c>
      <c r="C285">
        <v>0</v>
      </c>
      <c r="D285">
        <v>1</v>
      </c>
      <c r="F285">
        <v>0</v>
      </c>
      <c r="G285">
        <v>0</v>
      </c>
      <c r="H285">
        <v>0</v>
      </c>
      <c r="I285">
        <v>0</v>
      </c>
      <c r="J285">
        <v>866</v>
      </c>
      <c r="K285">
        <v>0</v>
      </c>
      <c r="M285">
        <v>0</v>
      </c>
      <c r="N285">
        <v>0</v>
      </c>
      <c r="O285">
        <v>0</v>
      </c>
      <c r="P285">
        <v>0</v>
      </c>
      <c r="Q285">
        <v>0</v>
      </c>
      <c r="T285" t="s">
        <v>52</v>
      </c>
      <c r="U285" t="s">
        <v>65</v>
      </c>
      <c r="V285">
        <v>70</v>
      </c>
      <c r="W285" t="s">
        <v>79</v>
      </c>
      <c r="X285" t="s">
        <v>80</v>
      </c>
      <c r="Y285">
        <v>0</v>
      </c>
      <c r="AD285" t="s">
        <v>57</v>
      </c>
      <c r="AE285">
        <v>1</v>
      </c>
      <c r="AF285">
        <v>4</v>
      </c>
      <c r="AG285">
        <v>1</v>
      </c>
      <c r="AH285">
        <v>3</v>
      </c>
      <c r="AI285">
        <v>448</v>
      </c>
      <c r="AJ285">
        <v>448</v>
      </c>
      <c r="AK285">
        <v>208</v>
      </c>
      <c r="AL285" t="s">
        <v>75</v>
      </c>
      <c r="AM285">
        <v>1</v>
      </c>
      <c r="AN285" t="s">
        <v>51</v>
      </c>
      <c r="AO285" t="s">
        <v>59</v>
      </c>
      <c r="AP285" t="s">
        <v>107</v>
      </c>
      <c r="AQ285">
        <v>15</v>
      </c>
      <c r="AR285">
        <v>70</v>
      </c>
      <c r="AS285">
        <v>203</v>
      </c>
      <c r="AT285">
        <v>1.44</v>
      </c>
      <c r="AU285">
        <v>3.77</v>
      </c>
      <c r="AV285" t="s">
        <v>969</v>
      </c>
      <c r="AX285" t="s">
        <v>970</v>
      </c>
    </row>
    <row r="286" spans="1:50" x14ac:dyDescent="0.25">
      <c r="A286" t="s">
        <v>971</v>
      </c>
      <c r="B286" t="s">
        <v>51</v>
      </c>
      <c r="C286">
        <v>0</v>
      </c>
      <c r="D286">
        <v>1</v>
      </c>
      <c r="F286">
        <v>0</v>
      </c>
      <c r="G286">
        <v>0</v>
      </c>
      <c r="H286">
        <v>0</v>
      </c>
      <c r="I286">
        <v>0</v>
      </c>
      <c r="J286">
        <v>1500</v>
      </c>
      <c r="K286">
        <v>0</v>
      </c>
      <c r="M286">
        <v>0</v>
      </c>
      <c r="N286">
        <v>1</v>
      </c>
      <c r="O286">
        <v>1</v>
      </c>
      <c r="P286">
        <v>1</v>
      </c>
      <c r="Q286">
        <v>1</v>
      </c>
      <c r="T286" t="s">
        <v>289</v>
      </c>
      <c r="U286" t="s">
        <v>72</v>
      </c>
      <c r="V286">
        <v>42</v>
      </c>
      <c r="W286" t="s">
        <v>54</v>
      </c>
      <c r="X286" t="s">
        <v>80</v>
      </c>
      <c r="Y286">
        <v>0</v>
      </c>
      <c r="Z286">
        <v>74.388999999999996</v>
      </c>
      <c r="AB286" t="s">
        <v>94</v>
      </c>
      <c r="AD286" t="s">
        <v>57</v>
      </c>
      <c r="AE286">
        <v>1</v>
      </c>
      <c r="AF286">
        <v>4</v>
      </c>
      <c r="AG286">
        <v>1</v>
      </c>
      <c r="AH286">
        <v>3</v>
      </c>
      <c r="AI286">
        <v>512</v>
      </c>
      <c r="AJ286">
        <v>512</v>
      </c>
      <c r="AK286">
        <v>164</v>
      </c>
      <c r="AL286" t="s">
        <v>119</v>
      </c>
      <c r="AM286">
        <v>1</v>
      </c>
      <c r="AN286" t="s">
        <v>51</v>
      </c>
      <c r="AO286" t="s">
        <v>67</v>
      </c>
      <c r="AP286" t="s">
        <v>68</v>
      </c>
      <c r="AQ286">
        <v>15</v>
      </c>
      <c r="AR286">
        <v>281</v>
      </c>
      <c r="AS286">
        <v>563</v>
      </c>
      <c r="AT286">
        <v>2.66</v>
      </c>
      <c r="AU286">
        <v>5.6280000000000001</v>
      </c>
      <c r="AV286" t="s">
        <v>972</v>
      </c>
      <c r="AX286" t="s">
        <v>973</v>
      </c>
    </row>
    <row r="287" spans="1:50" x14ac:dyDescent="0.25">
      <c r="A287" t="s">
        <v>974</v>
      </c>
      <c r="B287" t="s">
        <v>51</v>
      </c>
      <c r="C287">
        <v>0</v>
      </c>
      <c r="D287">
        <v>1</v>
      </c>
      <c r="F287">
        <v>0</v>
      </c>
      <c r="G287">
        <v>0</v>
      </c>
      <c r="H287">
        <v>0</v>
      </c>
      <c r="I287">
        <v>0</v>
      </c>
      <c r="K287">
        <v>930</v>
      </c>
      <c r="M287">
        <v>1656</v>
      </c>
      <c r="N287">
        <v>1</v>
      </c>
      <c r="O287">
        <v>1</v>
      </c>
      <c r="P287">
        <v>1</v>
      </c>
      <c r="Q287">
        <v>0</v>
      </c>
      <c r="U287" t="s">
        <v>93</v>
      </c>
      <c r="V287">
        <v>44</v>
      </c>
      <c r="W287" t="s">
        <v>54</v>
      </c>
      <c r="X287" t="s">
        <v>80</v>
      </c>
      <c r="Y287">
        <v>0</v>
      </c>
      <c r="Z287">
        <v>70.307000000000002</v>
      </c>
      <c r="AB287" t="s">
        <v>94</v>
      </c>
      <c r="AC287" t="s">
        <v>102</v>
      </c>
      <c r="AD287" t="s">
        <v>57</v>
      </c>
      <c r="AE287">
        <v>1</v>
      </c>
      <c r="AF287">
        <v>5</v>
      </c>
      <c r="AG287">
        <v>1</v>
      </c>
      <c r="AH287">
        <v>3</v>
      </c>
      <c r="AI287">
        <v>512</v>
      </c>
      <c r="AJ287">
        <v>512</v>
      </c>
      <c r="AK287">
        <v>144</v>
      </c>
      <c r="AL287" t="s">
        <v>497</v>
      </c>
      <c r="AM287">
        <v>1</v>
      </c>
      <c r="AN287" t="s">
        <v>51</v>
      </c>
      <c r="AO287" t="s">
        <v>67</v>
      </c>
      <c r="AP287" t="s">
        <v>114</v>
      </c>
      <c r="AQ287">
        <v>15</v>
      </c>
      <c r="AR287">
        <v>913</v>
      </c>
      <c r="AS287">
        <v>1826</v>
      </c>
      <c r="AT287">
        <v>2.54</v>
      </c>
      <c r="AU287">
        <v>6.7430000000000003</v>
      </c>
      <c r="AV287" t="s">
        <v>975</v>
      </c>
      <c r="AX287" t="s">
        <v>976</v>
      </c>
    </row>
    <row r="288" spans="1:50" x14ac:dyDescent="0.25">
      <c r="A288" t="s">
        <v>977</v>
      </c>
      <c r="B288" t="s">
        <v>51</v>
      </c>
      <c r="C288">
        <v>0</v>
      </c>
      <c r="D288">
        <v>1</v>
      </c>
      <c r="F288">
        <v>0</v>
      </c>
      <c r="G288">
        <v>1</v>
      </c>
      <c r="H288">
        <v>0</v>
      </c>
      <c r="I288">
        <v>1</v>
      </c>
      <c r="J288">
        <v>295</v>
      </c>
      <c r="K288">
        <v>0</v>
      </c>
      <c r="M288">
        <v>0</v>
      </c>
      <c r="N288">
        <v>0</v>
      </c>
      <c r="O288">
        <v>0</v>
      </c>
      <c r="P288">
        <v>0</v>
      </c>
      <c r="Q288">
        <v>1</v>
      </c>
      <c r="T288" t="s">
        <v>52</v>
      </c>
      <c r="U288" t="s">
        <v>53</v>
      </c>
      <c r="V288">
        <v>50</v>
      </c>
      <c r="W288" t="s">
        <v>79</v>
      </c>
      <c r="X288" t="s">
        <v>978</v>
      </c>
      <c r="Y288">
        <v>0</v>
      </c>
      <c r="Z288">
        <v>90.718485540000003</v>
      </c>
      <c r="AA288">
        <v>1.6764033549999999</v>
      </c>
      <c r="AB288" t="s">
        <v>118</v>
      </c>
      <c r="AD288" t="s">
        <v>57</v>
      </c>
      <c r="AE288">
        <v>1</v>
      </c>
      <c r="AF288">
        <v>5</v>
      </c>
      <c r="AG288">
        <v>1</v>
      </c>
      <c r="AH288">
        <v>1.5</v>
      </c>
      <c r="AI288">
        <v>448</v>
      </c>
      <c r="AJ288">
        <v>448</v>
      </c>
      <c r="AK288">
        <v>160</v>
      </c>
      <c r="AL288" t="s">
        <v>123</v>
      </c>
      <c r="AM288">
        <v>1.1000000238419001</v>
      </c>
      <c r="AN288" t="s">
        <v>51</v>
      </c>
      <c r="AO288" t="s">
        <v>59</v>
      </c>
      <c r="AP288" t="s">
        <v>60</v>
      </c>
      <c r="AQ288">
        <v>11</v>
      </c>
      <c r="AR288">
        <v>111</v>
      </c>
      <c r="AS288">
        <v>284</v>
      </c>
      <c r="AT288">
        <v>1.39</v>
      </c>
      <c r="AU288">
        <v>4.12</v>
      </c>
      <c r="AV288" t="s">
        <v>979</v>
      </c>
      <c r="AX288" t="s">
        <v>980</v>
      </c>
    </row>
    <row r="289" spans="1:50" x14ac:dyDescent="0.25">
      <c r="A289" t="s">
        <v>981</v>
      </c>
      <c r="B289" t="s">
        <v>51</v>
      </c>
      <c r="C289">
        <v>0</v>
      </c>
      <c r="D289">
        <v>1</v>
      </c>
      <c r="F289">
        <v>0</v>
      </c>
      <c r="G289">
        <v>0</v>
      </c>
      <c r="H289">
        <v>0</v>
      </c>
      <c r="I289">
        <v>1</v>
      </c>
      <c r="J289">
        <v>2030</v>
      </c>
      <c r="K289">
        <v>0</v>
      </c>
      <c r="M289">
        <v>0</v>
      </c>
      <c r="N289">
        <v>0</v>
      </c>
      <c r="O289">
        <v>0</v>
      </c>
      <c r="P289">
        <v>0</v>
      </c>
      <c r="Q289">
        <v>0</v>
      </c>
      <c r="T289" t="s">
        <v>64</v>
      </c>
      <c r="U289" t="s">
        <v>65</v>
      </c>
      <c r="V289">
        <v>50</v>
      </c>
      <c r="W289" t="s">
        <v>54</v>
      </c>
      <c r="X289" t="s">
        <v>80</v>
      </c>
      <c r="Y289">
        <v>0</v>
      </c>
      <c r="AD289" t="s">
        <v>57</v>
      </c>
      <c r="AE289">
        <v>1</v>
      </c>
      <c r="AF289">
        <v>4</v>
      </c>
      <c r="AG289">
        <v>1</v>
      </c>
      <c r="AH289">
        <v>3</v>
      </c>
      <c r="AI289">
        <v>512</v>
      </c>
      <c r="AJ289">
        <v>512</v>
      </c>
      <c r="AK289">
        <v>154</v>
      </c>
      <c r="AL289" t="s">
        <v>81</v>
      </c>
      <c r="AM289">
        <v>1</v>
      </c>
      <c r="AN289" t="s">
        <v>51</v>
      </c>
      <c r="AO289" t="s">
        <v>67</v>
      </c>
      <c r="AP289" t="s">
        <v>114</v>
      </c>
      <c r="AQ289">
        <v>15</v>
      </c>
      <c r="AR289">
        <v>698</v>
      </c>
      <c r="AS289">
        <v>1397</v>
      </c>
      <c r="AT289">
        <v>2.4279999999999999</v>
      </c>
      <c r="AU289">
        <v>5.6639999999999997</v>
      </c>
      <c r="AV289" t="s">
        <v>982</v>
      </c>
      <c r="AX289" t="s">
        <v>983</v>
      </c>
    </row>
    <row r="290" spans="1:50" x14ac:dyDescent="0.25">
      <c r="A290" t="s">
        <v>984</v>
      </c>
      <c r="B290" t="s">
        <v>51</v>
      </c>
      <c r="C290">
        <v>0</v>
      </c>
      <c r="D290">
        <v>0</v>
      </c>
      <c r="F290">
        <v>0</v>
      </c>
      <c r="G290">
        <v>0</v>
      </c>
      <c r="H290">
        <v>1</v>
      </c>
      <c r="I290">
        <v>0</v>
      </c>
      <c r="J290">
        <v>2247</v>
      </c>
      <c r="K290">
        <v>0</v>
      </c>
      <c r="M290">
        <v>0</v>
      </c>
      <c r="N290">
        <v>1</v>
      </c>
      <c r="O290">
        <v>1</v>
      </c>
      <c r="P290">
        <v>0</v>
      </c>
      <c r="Q290">
        <v>0</v>
      </c>
      <c r="T290" t="s">
        <v>64</v>
      </c>
      <c r="U290" t="s">
        <v>93</v>
      </c>
      <c r="V290">
        <v>54</v>
      </c>
      <c r="W290" t="s">
        <v>54</v>
      </c>
      <c r="X290" t="s">
        <v>80</v>
      </c>
      <c r="Y290">
        <v>0</v>
      </c>
      <c r="Z290">
        <v>78.471000000000004</v>
      </c>
      <c r="AB290" t="s">
        <v>94</v>
      </c>
      <c r="AD290" t="s">
        <v>57</v>
      </c>
      <c r="AE290">
        <v>1</v>
      </c>
      <c r="AF290">
        <v>4</v>
      </c>
      <c r="AG290">
        <v>1</v>
      </c>
      <c r="AH290">
        <v>1.5</v>
      </c>
      <c r="AI290">
        <v>512</v>
      </c>
      <c r="AJ290">
        <v>512</v>
      </c>
      <c r="AK290">
        <v>160</v>
      </c>
      <c r="AL290" t="s">
        <v>128</v>
      </c>
      <c r="AM290">
        <v>1</v>
      </c>
      <c r="AN290" t="s">
        <v>51</v>
      </c>
      <c r="AO290" t="s">
        <v>67</v>
      </c>
      <c r="AP290" t="s">
        <v>68</v>
      </c>
      <c r="AQ290">
        <v>15</v>
      </c>
      <c r="AR290">
        <v>305</v>
      </c>
      <c r="AS290">
        <v>610</v>
      </c>
      <c r="AT290">
        <v>2.2919999999999998</v>
      </c>
      <c r="AU290">
        <v>4.9039999999999999</v>
      </c>
      <c r="AV290" t="s">
        <v>985</v>
      </c>
      <c r="AX290" t="s">
        <v>986</v>
      </c>
    </row>
    <row r="291" spans="1:50" x14ac:dyDescent="0.25">
      <c r="A291" t="s">
        <v>987</v>
      </c>
      <c r="B291" t="s">
        <v>51</v>
      </c>
      <c r="C291">
        <v>0</v>
      </c>
      <c r="D291">
        <v>1</v>
      </c>
      <c r="F291">
        <v>0</v>
      </c>
      <c r="G291">
        <v>0</v>
      </c>
      <c r="H291">
        <v>0</v>
      </c>
      <c r="I291">
        <v>0</v>
      </c>
      <c r="J291">
        <v>593</v>
      </c>
      <c r="K291">
        <v>994</v>
      </c>
      <c r="M291">
        <v>0</v>
      </c>
      <c r="N291">
        <v>1</v>
      </c>
      <c r="O291">
        <v>1</v>
      </c>
      <c r="P291">
        <v>1</v>
      </c>
      <c r="Q291">
        <v>0</v>
      </c>
      <c r="T291" t="s">
        <v>64</v>
      </c>
      <c r="U291" t="s">
        <v>93</v>
      </c>
      <c r="V291">
        <v>64</v>
      </c>
      <c r="W291" t="s">
        <v>79</v>
      </c>
      <c r="Y291">
        <v>0</v>
      </c>
      <c r="Z291">
        <v>63.503</v>
      </c>
      <c r="AB291" t="s">
        <v>74</v>
      </c>
      <c r="AD291" t="s">
        <v>57</v>
      </c>
      <c r="AE291">
        <v>1</v>
      </c>
      <c r="AF291">
        <v>4</v>
      </c>
      <c r="AG291">
        <v>1</v>
      </c>
      <c r="AH291">
        <v>3</v>
      </c>
      <c r="AI291">
        <v>512</v>
      </c>
      <c r="AJ291">
        <v>512</v>
      </c>
      <c r="AK291">
        <v>158</v>
      </c>
      <c r="AL291" t="s">
        <v>81</v>
      </c>
      <c r="AM291">
        <v>1.3</v>
      </c>
      <c r="AN291" t="s">
        <v>51</v>
      </c>
      <c r="AO291" t="s">
        <v>67</v>
      </c>
      <c r="AP291" t="s">
        <v>68</v>
      </c>
      <c r="AQ291">
        <v>15</v>
      </c>
      <c r="AR291">
        <v>201</v>
      </c>
      <c r="AS291">
        <v>403</v>
      </c>
      <c r="AT291">
        <v>2.6080000000000001</v>
      </c>
      <c r="AU291">
        <v>6.0209999999999999</v>
      </c>
      <c r="AV291" t="s">
        <v>988</v>
      </c>
      <c r="AX291" t="s">
        <v>989</v>
      </c>
    </row>
    <row r="292" spans="1:50" x14ac:dyDescent="0.25">
      <c r="A292" t="s">
        <v>990</v>
      </c>
      <c r="B292" t="s">
        <v>51</v>
      </c>
      <c r="C292">
        <v>0</v>
      </c>
      <c r="D292">
        <v>1</v>
      </c>
      <c r="F292">
        <v>0</v>
      </c>
      <c r="G292">
        <v>0</v>
      </c>
      <c r="H292">
        <v>0</v>
      </c>
      <c r="I292">
        <v>1</v>
      </c>
      <c r="J292">
        <v>413</v>
      </c>
      <c r="K292">
        <v>609</v>
      </c>
      <c r="M292">
        <v>0</v>
      </c>
      <c r="N292">
        <v>0</v>
      </c>
      <c r="O292">
        <v>0</v>
      </c>
      <c r="P292">
        <v>0</v>
      </c>
      <c r="Q292">
        <v>0</v>
      </c>
      <c r="T292" t="s">
        <v>52</v>
      </c>
      <c r="U292" t="s">
        <v>65</v>
      </c>
      <c r="V292">
        <v>41</v>
      </c>
      <c r="W292" t="s">
        <v>54</v>
      </c>
      <c r="X292" t="s">
        <v>55</v>
      </c>
      <c r="Y292">
        <v>0</v>
      </c>
      <c r="AD292" t="s">
        <v>57</v>
      </c>
      <c r="AE292">
        <v>1</v>
      </c>
      <c r="AF292">
        <v>4</v>
      </c>
      <c r="AG292">
        <v>1</v>
      </c>
      <c r="AH292">
        <v>1.5</v>
      </c>
      <c r="AI292">
        <v>512</v>
      </c>
      <c r="AJ292">
        <v>512</v>
      </c>
      <c r="AK292">
        <v>176</v>
      </c>
      <c r="AL292" t="s">
        <v>119</v>
      </c>
      <c r="AM292">
        <v>1.1000000000000001</v>
      </c>
      <c r="AN292" t="s">
        <v>51</v>
      </c>
      <c r="AO292" t="s">
        <v>67</v>
      </c>
      <c r="AP292" t="s">
        <v>89</v>
      </c>
      <c r="AQ292">
        <v>15</v>
      </c>
      <c r="AR292">
        <v>458</v>
      </c>
      <c r="AS292">
        <v>917</v>
      </c>
      <c r="AT292">
        <v>2.476</v>
      </c>
      <c r="AU292">
        <v>5.2960000000000003</v>
      </c>
      <c r="AV292" t="s">
        <v>991</v>
      </c>
      <c r="AX292" t="s">
        <v>992</v>
      </c>
    </row>
    <row r="293" spans="1:50" x14ac:dyDescent="0.25">
      <c r="A293" t="s">
        <v>993</v>
      </c>
      <c r="B293" t="s">
        <v>994</v>
      </c>
      <c r="C293">
        <v>0</v>
      </c>
      <c r="D293">
        <v>0</v>
      </c>
      <c r="H293">
        <v>0</v>
      </c>
      <c r="J293">
        <v>1264</v>
      </c>
      <c r="K293">
        <v>751</v>
      </c>
      <c r="M293">
        <v>1264</v>
      </c>
      <c r="N293">
        <v>1</v>
      </c>
      <c r="O293">
        <v>1</v>
      </c>
      <c r="P293">
        <v>0</v>
      </c>
      <c r="Q293">
        <v>0</v>
      </c>
      <c r="U293" t="s">
        <v>93</v>
      </c>
      <c r="V293">
        <v>38</v>
      </c>
      <c r="X293" t="s">
        <v>80</v>
      </c>
      <c r="Y293">
        <v>0</v>
      </c>
      <c r="Z293">
        <v>46.72</v>
      </c>
      <c r="AB293" t="s">
        <v>247</v>
      </c>
      <c r="AD293" t="s">
        <v>995</v>
      </c>
      <c r="AE293">
        <v>0</v>
      </c>
      <c r="AF293">
        <v>3</v>
      </c>
      <c r="AG293">
        <v>1</v>
      </c>
      <c r="AH293">
        <v>1.5</v>
      </c>
      <c r="AI293">
        <v>256</v>
      </c>
      <c r="AJ293">
        <v>256</v>
      </c>
      <c r="AK293">
        <v>60</v>
      </c>
      <c r="AL293" t="s">
        <v>75</v>
      </c>
      <c r="AM293">
        <v>2</v>
      </c>
      <c r="AN293" t="s">
        <v>996</v>
      </c>
      <c r="AO293" t="s">
        <v>67</v>
      </c>
      <c r="AP293" t="s">
        <v>997</v>
      </c>
      <c r="AQ293">
        <v>15</v>
      </c>
      <c r="AR293">
        <v>27</v>
      </c>
      <c r="AS293">
        <v>54</v>
      </c>
      <c r="AT293">
        <v>4.2</v>
      </c>
      <c r="AU293">
        <v>8.4</v>
      </c>
      <c r="AV293" t="s">
        <v>998</v>
      </c>
      <c r="AW293" t="s">
        <v>999</v>
      </c>
      <c r="AX293" t="s">
        <v>1000</v>
      </c>
    </row>
    <row r="294" spans="1:50" x14ac:dyDescent="0.25">
      <c r="A294" t="s">
        <v>1001</v>
      </c>
      <c r="B294" t="s">
        <v>994</v>
      </c>
      <c r="C294">
        <v>0</v>
      </c>
      <c r="H294">
        <v>0</v>
      </c>
      <c r="J294">
        <v>1155</v>
      </c>
      <c r="K294">
        <v>1043</v>
      </c>
      <c r="M294">
        <v>1155</v>
      </c>
      <c r="N294">
        <v>1</v>
      </c>
      <c r="O294">
        <v>1</v>
      </c>
      <c r="P294">
        <v>1</v>
      </c>
      <c r="Q294">
        <v>0</v>
      </c>
      <c r="U294" t="s">
        <v>93</v>
      </c>
      <c r="V294">
        <v>37</v>
      </c>
      <c r="X294" t="s">
        <v>80</v>
      </c>
      <c r="Y294">
        <v>0</v>
      </c>
      <c r="Z294">
        <v>65.771000000000001</v>
      </c>
      <c r="AB294" t="s">
        <v>74</v>
      </c>
      <c r="AD294" t="s">
        <v>995</v>
      </c>
      <c r="AE294">
        <v>0</v>
      </c>
      <c r="AF294">
        <v>3</v>
      </c>
      <c r="AG294">
        <v>1</v>
      </c>
      <c r="AH294">
        <v>1.5</v>
      </c>
      <c r="AI294">
        <v>256</v>
      </c>
      <c r="AJ294">
        <v>256</v>
      </c>
      <c r="AK294">
        <v>60</v>
      </c>
      <c r="AL294" t="s">
        <v>75</v>
      </c>
      <c r="AM294">
        <v>2</v>
      </c>
      <c r="AN294" t="s">
        <v>996</v>
      </c>
      <c r="AO294" t="s">
        <v>67</v>
      </c>
      <c r="AP294" t="s">
        <v>997</v>
      </c>
      <c r="AQ294">
        <v>15</v>
      </c>
      <c r="AR294">
        <v>16</v>
      </c>
      <c r="AS294">
        <v>33</v>
      </c>
      <c r="AT294">
        <v>4.2</v>
      </c>
      <c r="AU294">
        <v>8.4</v>
      </c>
      <c r="AV294" t="s">
        <v>1002</v>
      </c>
      <c r="AW294" t="s">
        <v>1003</v>
      </c>
      <c r="AX294" t="s">
        <v>1004</v>
      </c>
    </row>
    <row r="295" spans="1:50" x14ac:dyDescent="0.25">
      <c r="A295" t="s">
        <v>1005</v>
      </c>
      <c r="B295" t="s">
        <v>994</v>
      </c>
      <c r="C295">
        <v>0</v>
      </c>
      <c r="H295">
        <v>0</v>
      </c>
      <c r="J295">
        <v>2387</v>
      </c>
      <c r="K295">
        <v>0</v>
      </c>
      <c r="M295">
        <v>0</v>
      </c>
      <c r="N295">
        <v>1</v>
      </c>
      <c r="O295">
        <v>1</v>
      </c>
      <c r="P295">
        <v>1</v>
      </c>
      <c r="Q295">
        <v>0</v>
      </c>
      <c r="U295" t="s">
        <v>93</v>
      </c>
      <c r="V295">
        <v>49</v>
      </c>
      <c r="X295" t="s">
        <v>80</v>
      </c>
      <c r="Y295">
        <v>0</v>
      </c>
      <c r="Z295">
        <v>47.627000000000002</v>
      </c>
      <c r="AB295" t="s">
        <v>247</v>
      </c>
      <c r="AD295" t="s">
        <v>995</v>
      </c>
      <c r="AE295">
        <v>0</v>
      </c>
      <c r="AF295">
        <v>3</v>
      </c>
      <c r="AG295">
        <v>1</v>
      </c>
      <c r="AH295">
        <v>1.5</v>
      </c>
      <c r="AI295">
        <v>256</v>
      </c>
      <c r="AJ295">
        <v>256</v>
      </c>
      <c r="AK295">
        <v>60</v>
      </c>
      <c r="AL295" t="s">
        <v>75</v>
      </c>
      <c r="AM295">
        <v>2</v>
      </c>
      <c r="AN295" t="s">
        <v>996</v>
      </c>
      <c r="AO295" t="s">
        <v>67</v>
      </c>
      <c r="AP295" t="s">
        <v>997</v>
      </c>
      <c r="AQ295">
        <v>15</v>
      </c>
      <c r="AR295">
        <v>13</v>
      </c>
      <c r="AS295">
        <v>26</v>
      </c>
      <c r="AT295">
        <v>4.2</v>
      </c>
      <c r="AU295">
        <v>8.4</v>
      </c>
      <c r="AV295" t="s">
        <v>1006</v>
      </c>
      <c r="AW295" t="s">
        <v>1007</v>
      </c>
      <c r="AX295" t="s">
        <v>1008</v>
      </c>
    </row>
    <row r="296" spans="1:50" x14ac:dyDescent="0.25">
      <c r="A296" t="s">
        <v>1009</v>
      </c>
      <c r="B296" t="s">
        <v>994</v>
      </c>
      <c r="C296">
        <v>0</v>
      </c>
      <c r="H296">
        <v>0</v>
      </c>
      <c r="J296">
        <v>2436</v>
      </c>
      <c r="K296">
        <v>0</v>
      </c>
      <c r="M296">
        <v>0</v>
      </c>
      <c r="N296">
        <v>0</v>
      </c>
      <c r="O296">
        <v>0</v>
      </c>
      <c r="P296">
        <v>0</v>
      </c>
      <c r="Q296">
        <v>0</v>
      </c>
      <c r="U296" t="s">
        <v>65</v>
      </c>
      <c r="V296">
        <v>48</v>
      </c>
      <c r="X296" t="s">
        <v>80</v>
      </c>
      <c r="Y296">
        <v>0</v>
      </c>
      <c r="Z296">
        <v>58.966999999999999</v>
      </c>
      <c r="AB296" t="s">
        <v>74</v>
      </c>
      <c r="AD296" t="s">
        <v>995</v>
      </c>
      <c r="AE296">
        <v>0</v>
      </c>
      <c r="AF296">
        <v>3</v>
      </c>
      <c r="AG296">
        <v>1</v>
      </c>
      <c r="AH296">
        <v>1.5</v>
      </c>
      <c r="AI296">
        <v>256</v>
      </c>
      <c r="AJ296">
        <v>256</v>
      </c>
      <c r="AK296">
        <v>60</v>
      </c>
      <c r="AL296" t="s">
        <v>1010</v>
      </c>
      <c r="AM296">
        <v>1.5</v>
      </c>
      <c r="AN296" t="s">
        <v>1011</v>
      </c>
      <c r="AO296" t="s">
        <v>67</v>
      </c>
      <c r="AP296" t="s">
        <v>997</v>
      </c>
      <c r="AQ296">
        <v>15</v>
      </c>
      <c r="AT296">
        <v>4.2</v>
      </c>
      <c r="AU296">
        <v>22.7</v>
      </c>
      <c r="AV296" t="s">
        <v>1012</v>
      </c>
      <c r="AW296" t="s">
        <v>1013</v>
      </c>
      <c r="AX296" t="s">
        <v>1014</v>
      </c>
    </row>
    <row r="297" spans="1:50" x14ac:dyDescent="0.25">
      <c r="A297" t="s">
        <v>1015</v>
      </c>
      <c r="B297" t="s">
        <v>994</v>
      </c>
      <c r="C297">
        <v>0</v>
      </c>
      <c r="H297">
        <v>0</v>
      </c>
      <c r="J297">
        <v>2220</v>
      </c>
      <c r="K297">
        <v>0</v>
      </c>
      <c r="M297">
        <v>0</v>
      </c>
      <c r="N297">
        <v>1</v>
      </c>
      <c r="O297">
        <v>1</v>
      </c>
      <c r="P297">
        <v>1</v>
      </c>
      <c r="Q297">
        <v>0</v>
      </c>
      <c r="U297" t="s">
        <v>93</v>
      </c>
      <c r="V297">
        <v>45</v>
      </c>
      <c r="X297" t="s">
        <v>80</v>
      </c>
      <c r="Y297">
        <v>0</v>
      </c>
      <c r="Z297">
        <v>58.966999999999999</v>
      </c>
      <c r="AB297" t="s">
        <v>74</v>
      </c>
      <c r="AD297" t="s">
        <v>995</v>
      </c>
      <c r="AE297">
        <v>0</v>
      </c>
      <c r="AF297">
        <v>3</v>
      </c>
      <c r="AG297">
        <v>1</v>
      </c>
      <c r="AH297">
        <v>1.5</v>
      </c>
      <c r="AI297">
        <v>256</v>
      </c>
      <c r="AJ297">
        <v>256</v>
      </c>
      <c r="AK297">
        <v>60</v>
      </c>
      <c r="AL297" t="s">
        <v>1010</v>
      </c>
      <c r="AM297">
        <v>1.8</v>
      </c>
      <c r="AN297" t="s">
        <v>1011</v>
      </c>
      <c r="AO297" t="s">
        <v>67</v>
      </c>
      <c r="AP297" t="s">
        <v>997</v>
      </c>
      <c r="AQ297">
        <v>15</v>
      </c>
      <c r="AT297">
        <v>4.2</v>
      </c>
      <c r="AU297">
        <v>22.7</v>
      </c>
      <c r="AV297" t="s">
        <v>1016</v>
      </c>
      <c r="AW297" t="s">
        <v>1017</v>
      </c>
      <c r="AX297" t="s">
        <v>1018</v>
      </c>
    </row>
    <row r="298" spans="1:50" x14ac:dyDescent="0.25">
      <c r="A298" t="s">
        <v>1019</v>
      </c>
      <c r="B298" t="s">
        <v>994</v>
      </c>
      <c r="C298">
        <v>0</v>
      </c>
      <c r="H298">
        <v>0</v>
      </c>
      <c r="J298">
        <v>2468</v>
      </c>
      <c r="K298">
        <v>2449</v>
      </c>
      <c r="M298">
        <v>0</v>
      </c>
      <c r="N298">
        <v>1</v>
      </c>
      <c r="O298">
        <v>1</v>
      </c>
      <c r="P298">
        <v>1</v>
      </c>
      <c r="Q298">
        <v>0</v>
      </c>
      <c r="U298" t="s">
        <v>93</v>
      </c>
      <c r="V298">
        <v>46</v>
      </c>
      <c r="X298" t="s">
        <v>80</v>
      </c>
      <c r="Y298">
        <v>0</v>
      </c>
      <c r="Z298">
        <v>113</v>
      </c>
      <c r="AB298" t="s">
        <v>269</v>
      </c>
      <c r="AD298" t="s">
        <v>995</v>
      </c>
      <c r="AE298">
        <v>0</v>
      </c>
      <c r="AF298">
        <v>3</v>
      </c>
      <c r="AG298">
        <v>1</v>
      </c>
      <c r="AH298">
        <v>1.5</v>
      </c>
      <c r="AI298">
        <v>256</v>
      </c>
      <c r="AJ298">
        <v>256</v>
      </c>
      <c r="AK298">
        <v>64</v>
      </c>
      <c r="AL298" t="s">
        <v>1010</v>
      </c>
      <c r="AM298">
        <v>2.25</v>
      </c>
      <c r="AN298" t="s">
        <v>1020</v>
      </c>
      <c r="AO298" t="s">
        <v>59</v>
      </c>
      <c r="AP298" t="s">
        <v>1021</v>
      </c>
      <c r="AQ298">
        <v>11</v>
      </c>
      <c r="AR298">
        <v>81</v>
      </c>
      <c r="AS298">
        <v>21</v>
      </c>
      <c r="AT298">
        <v>4</v>
      </c>
      <c r="AU298">
        <v>30</v>
      </c>
      <c r="AV298" t="s">
        <v>1022</v>
      </c>
      <c r="AW298" t="s">
        <v>1023</v>
      </c>
      <c r="AX298" t="s">
        <v>1024</v>
      </c>
    </row>
    <row r="299" spans="1:50" x14ac:dyDescent="0.25">
      <c r="A299" t="s">
        <v>1025</v>
      </c>
      <c r="B299" t="s">
        <v>994</v>
      </c>
      <c r="C299">
        <v>1</v>
      </c>
      <c r="H299">
        <v>0</v>
      </c>
      <c r="J299">
        <v>2341</v>
      </c>
      <c r="K299">
        <v>0</v>
      </c>
      <c r="M299">
        <v>0</v>
      </c>
      <c r="N299">
        <v>1</v>
      </c>
      <c r="O299">
        <v>1</v>
      </c>
      <c r="P299">
        <v>1</v>
      </c>
      <c r="Q299">
        <v>0</v>
      </c>
      <c r="U299" t="s">
        <v>93</v>
      </c>
      <c r="V299">
        <v>64</v>
      </c>
      <c r="X299" t="s">
        <v>80</v>
      </c>
      <c r="Y299">
        <v>0</v>
      </c>
      <c r="Z299">
        <v>52.162999999999997</v>
      </c>
      <c r="AB299" t="s">
        <v>74</v>
      </c>
      <c r="AD299" t="s">
        <v>995</v>
      </c>
      <c r="AE299">
        <v>0</v>
      </c>
      <c r="AF299">
        <v>3</v>
      </c>
      <c r="AG299">
        <v>1</v>
      </c>
      <c r="AH299">
        <v>1.5</v>
      </c>
      <c r="AI299">
        <v>256</v>
      </c>
      <c r="AJ299">
        <v>256</v>
      </c>
      <c r="AK299">
        <v>56</v>
      </c>
      <c r="AL299" t="s">
        <v>75</v>
      </c>
      <c r="AM299">
        <v>2</v>
      </c>
      <c r="AN299" t="s">
        <v>996</v>
      </c>
      <c r="AO299" t="s">
        <v>67</v>
      </c>
      <c r="AP299" t="s">
        <v>997</v>
      </c>
      <c r="AQ299">
        <v>15</v>
      </c>
      <c r="AR299">
        <v>19</v>
      </c>
      <c r="AS299">
        <v>39</v>
      </c>
      <c r="AT299">
        <v>4.2</v>
      </c>
      <c r="AU299">
        <v>20.399999999999999</v>
      </c>
      <c r="AV299" t="s">
        <v>1026</v>
      </c>
      <c r="AW299" t="s">
        <v>1027</v>
      </c>
      <c r="AX299" t="s">
        <v>1028</v>
      </c>
    </row>
    <row r="300" spans="1:50" x14ac:dyDescent="0.25">
      <c r="A300" t="s">
        <v>1029</v>
      </c>
      <c r="B300" t="s">
        <v>994</v>
      </c>
      <c r="C300">
        <v>0</v>
      </c>
      <c r="H300">
        <v>0</v>
      </c>
      <c r="J300">
        <v>2355</v>
      </c>
      <c r="K300">
        <v>0</v>
      </c>
      <c r="M300">
        <v>0</v>
      </c>
      <c r="N300">
        <v>0</v>
      </c>
      <c r="O300">
        <v>0</v>
      </c>
      <c r="P300">
        <v>0</v>
      </c>
      <c r="Q300">
        <v>0</v>
      </c>
      <c r="U300" t="s">
        <v>65</v>
      </c>
      <c r="V300">
        <v>40</v>
      </c>
      <c r="X300" t="s">
        <v>111</v>
      </c>
      <c r="Y300">
        <v>0</v>
      </c>
      <c r="Z300">
        <v>52.616999999999997</v>
      </c>
      <c r="AB300" t="s">
        <v>74</v>
      </c>
      <c r="AD300" t="s">
        <v>995</v>
      </c>
      <c r="AE300">
        <v>0</v>
      </c>
      <c r="AF300">
        <v>3</v>
      </c>
      <c r="AG300">
        <v>1</v>
      </c>
      <c r="AH300">
        <v>1.5</v>
      </c>
      <c r="AI300">
        <v>256</v>
      </c>
      <c r="AJ300">
        <v>256</v>
      </c>
      <c r="AK300">
        <v>60</v>
      </c>
      <c r="AL300" t="s">
        <v>75</v>
      </c>
      <c r="AM300">
        <v>2</v>
      </c>
      <c r="AN300" t="s">
        <v>996</v>
      </c>
      <c r="AO300" t="s">
        <v>67</v>
      </c>
      <c r="AP300" t="s">
        <v>997</v>
      </c>
      <c r="AQ300">
        <v>15</v>
      </c>
      <c r="AR300">
        <v>15</v>
      </c>
      <c r="AS300">
        <v>31</v>
      </c>
      <c r="AT300">
        <v>4.2</v>
      </c>
      <c r="AU300">
        <v>8.4</v>
      </c>
      <c r="AV300" t="s">
        <v>1030</v>
      </c>
      <c r="AW300" t="s">
        <v>1031</v>
      </c>
      <c r="AX300" t="s">
        <v>1032</v>
      </c>
    </row>
    <row r="301" spans="1:50" x14ac:dyDescent="0.25">
      <c r="A301" t="s">
        <v>1033</v>
      </c>
      <c r="B301" t="s">
        <v>994</v>
      </c>
      <c r="C301">
        <v>0</v>
      </c>
      <c r="H301">
        <v>1</v>
      </c>
      <c r="J301">
        <v>2151</v>
      </c>
      <c r="K301">
        <v>0</v>
      </c>
      <c r="M301">
        <v>0</v>
      </c>
      <c r="N301">
        <v>0</v>
      </c>
      <c r="O301">
        <v>0</v>
      </c>
      <c r="P301">
        <v>0</v>
      </c>
      <c r="Q301">
        <v>0</v>
      </c>
      <c r="U301" t="s">
        <v>65</v>
      </c>
      <c r="V301">
        <v>41</v>
      </c>
      <c r="X301" t="s">
        <v>80</v>
      </c>
      <c r="Y301">
        <v>0</v>
      </c>
      <c r="Z301">
        <v>68.039000000000001</v>
      </c>
      <c r="AB301" t="s">
        <v>74</v>
      </c>
      <c r="AD301" t="s">
        <v>995</v>
      </c>
      <c r="AE301">
        <v>0</v>
      </c>
      <c r="AF301">
        <v>3</v>
      </c>
      <c r="AG301">
        <v>1</v>
      </c>
      <c r="AH301">
        <v>1.5</v>
      </c>
      <c r="AI301">
        <v>256</v>
      </c>
      <c r="AJ301">
        <v>256</v>
      </c>
      <c r="AK301">
        <v>60</v>
      </c>
      <c r="AL301" t="s">
        <v>1034</v>
      </c>
      <c r="AM301">
        <v>2</v>
      </c>
      <c r="AN301" t="s">
        <v>996</v>
      </c>
      <c r="AO301" t="s">
        <v>67</v>
      </c>
      <c r="AP301" t="s">
        <v>997</v>
      </c>
      <c r="AQ301">
        <v>15</v>
      </c>
      <c r="AR301">
        <v>13</v>
      </c>
      <c r="AS301">
        <v>27</v>
      </c>
      <c r="AT301">
        <v>4.2</v>
      </c>
      <c r="AU301">
        <v>8.4</v>
      </c>
      <c r="AV301" t="s">
        <v>1035</v>
      </c>
      <c r="AW301" t="s">
        <v>1036</v>
      </c>
      <c r="AX301" t="s">
        <v>1037</v>
      </c>
    </row>
    <row r="302" spans="1:50" x14ac:dyDescent="0.25">
      <c r="A302" t="s">
        <v>1038</v>
      </c>
      <c r="B302" t="s">
        <v>994</v>
      </c>
      <c r="C302">
        <v>0</v>
      </c>
      <c r="H302">
        <v>1</v>
      </c>
      <c r="J302">
        <v>2340</v>
      </c>
      <c r="K302">
        <v>0</v>
      </c>
      <c r="M302">
        <v>0</v>
      </c>
      <c r="N302">
        <v>0</v>
      </c>
      <c r="O302">
        <v>0</v>
      </c>
      <c r="P302">
        <v>0</v>
      </c>
      <c r="Q302">
        <v>0</v>
      </c>
      <c r="U302" t="s">
        <v>65</v>
      </c>
      <c r="V302">
        <v>40</v>
      </c>
      <c r="X302" t="s">
        <v>111</v>
      </c>
      <c r="Y302">
        <v>0</v>
      </c>
      <c r="Z302">
        <v>63.503</v>
      </c>
      <c r="AB302" t="s">
        <v>74</v>
      </c>
      <c r="AD302" t="s">
        <v>995</v>
      </c>
      <c r="AE302">
        <v>0</v>
      </c>
      <c r="AF302">
        <v>3</v>
      </c>
      <c r="AG302">
        <v>1</v>
      </c>
      <c r="AH302">
        <v>1.5</v>
      </c>
      <c r="AI302">
        <v>256</v>
      </c>
      <c r="AJ302">
        <v>256</v>
      </c>
      <c r="AK302">
        <v>60</v>
      </c>
      <c r="AL302" t="s">
        <v>1039</v>
      </c>
      <c r="AM302">
        <v>2</v>
      </c>
      <c r="AN302" t="s">
        <v>996</v>
      </c>
      <c r="AO302" t="s">
        <v>67</v>
      </c>
      <c r="AP302" t="s">
        <v>997</v>
      </c>
      <c r="AQ302">
        <v>15</v>
      </c>
      <c r="AR302">
        <v>19</v>
      </c>
      <c r="AS302">
        <v>38</v>
      </c>
      <c r="AT302">
        <v>4.2</v>
      </c>
      <c r="AU302">
        <v>8.4</v>
      </c>
      <c r="AV302" t="s">
        <v>1040</v>
      </c>
      <c r="AW302" t="s">
        <v>1041</v>
      </c>
      <c r="AX302" t="s">
        <v>1042</v>
      </c>
    </row>
    <row r="303" spans="1:50" x14ac:dyDescent="0.25">
      <c r="A303" t="s">
        <v>1043</v>
      </c>
      <c r="B303" t="s">
        <v>994</v>
      </c>
      <c r="C303">
        <v>0</v>
      </c>
      <c r="H303">
        <v>0</v>
      </c>
      <c r="J303">
        <v>2425</v>
      </c>
      <c r="K303">
        <v>2425</v>
      </c>
      <c r="M303">
        <v>0</v>
      </c>
      <c r="N303">
        <v>1</v>
      </c>
      <c r="O303">
        <v>1</v>
      </c>
      <c r="P303">
        <v>1</v>
      </c>
      <c r="Q303">
        <v>0</v>
      </c>
      <c r="U303" t="s">
        <v>93</v>
      </c>
      <c r="V303">
        <v>53</v>
      </c>
      <c r="X303" t="s">
        <v>55</v>
      </c>
      <c r="Y303">
        <v>0</v>
      </c>
      <c r="Z303">
        <v>84.822000000000003</v>
      </c>
      <c r="AB303" t="s">
        <v>118</v>
      </c>
      <c r="AD303" t="s">
        <v>995</v>
      </c>
      <c r="AE303">
        <v>0</v>
      </c>
      <c r="AF303">
        <v>3</v>
      </c>
      <c r="AG303">
        <v>1</v>
      </c>
      <c r="AH303">
        <v>1.5</v>
      </c>
      <c r="AI303">
        <v>256</v>
      </c>
      <c r="AJ303">
        <v>256</v>
      </c>
      <c r="AK303">
        <v>60</v>
      </c>
      <c r="AL303" t="s">
        <v>1034</v>
      </c>
      <c r="AM303">
        <v>2.1</v>
      </c>
      <c r="AN303" t="s">
        <v>996</v>
      </c>
      <c r="AO303" t="s">
        <v>67</v>
      </c>
      <c r="AP303" t="s">
        <v>997</v>
      </c>
      <c r="AQ303">
        <v>15</v>
      </c>
      <c r="AR303">
        <v>25</v>
      </c>
      <c r="AS303">
        <v>50</v>
      </c>
      <c r="AT303">
        <v>4.2</v>
      </c>
      <c r="AU303">
        <v>8.4</v>
      </c>
      <c r="AV303" t="s">
        <v>1044</v>
      </c>
      <c r="AW303" t="s">
        <v>1045</v>
      </c>
      <c r="AX303" t="s">
        <v>1046</v>
      </c>
    </row>
    <row r="304" spans="1:50" x14ac:dyDescent="0.25">
      <c r="A304" t="s">
        <v>1047</v>
      </c>
      <c r="B304" t="s">
        <v>994</v>
      </c>
      <c r="C304">
        <v>0</v>
      </c>
      <c r="H304">
        <v>0</v>
      </c>
      <c r="J304">
        <v>2383</v>
      </c>
      <c r="K304">
        <v>0</v>
      </c>
      <c r="M304">
        <v>0</v>
      </c>
      <c r="N304">
        <v>1</v>
      </c>
      <c r="O304">
        <v>1</v>
      </c>
      <c r="P304">
        <v>1</v>
      </c>
      <c r="Q304">
        <v>0</v>
      </c>
      <c r="U304" t="s">
        <v>93</v>
      </c>
      <c r="V304">
        <v>49</v>
      </c>
      <c r="X304" t="s">
        <v>80</v>
      </c>
      <c r="Y304">
        <v>0</v>
      </c>
      <c r="Z304">
        <v>86.183000000000007</v>
      </c>
      <c r="AB304" t="s">
        <v>118</v>
      </c>
      <c r="AD304" t="s">
        <v>995</v>
      </c>
      <c r="AE304">
        <v>0</v>
      </c>
      <c r="AF304">
        <v>3</v>
      </c>
      <c r="AG304">
        <v>1</v>
      </c>
      <c r="AH304">
        <v>1.5</v>
      </c>
      <c r="AI304">
        <v>256</v>
      </c>
      <c r="AJ304">
        <v>256</v>
      </c>
      <c r="AK304">
        <v>60</v>
      </c>
      <c r="AL304" t="s">
        <v>75</v>
      </c>
      <c r="AM304">
        <v>2</v>
      </c>
      <c r="AN304" t="s">
        <v>996</v>
      </c>
      <c r="AO304" t="s">
        <v>67</v>
      </c>
      <c r="AP304" t="s">
        <v>997</v>
      </c>
      <c r="AQ304">
        <v>15</v>
      </c>
      <c r="AR304">
        <v>36</v>
      </c>
      <c r="AS304">
        <v>73</v>
      </c>
      <c r="AT304">
        <v>4.2</v>
      </c>
      <c r="AU304">
        <v>8.4</v>
      </c>
      <c r="AV304" t="s">
        <v>1048</v>
      </c>
      <c r="AW304" t="s">
        <v>1049</v>
      </c>
      <c r="AX304" t="s">
        <v>1050</v>
      </c>
    </row>
    <row r="305" spans="1:50" x14ac:dyDescent="0.25">
      <c r="A305" t="s">
        <v>1051</v>
      </c>
      <c r="B305" t="s">
        <v>994</v>
      </c>
      <c r="C305">
        <v>0</v>
      </c>
      <c r="H305">
        <v>1</v>
      </c>
      <c r="J305">
        <v>2039</v>
      </c>
      <c r="K305">
        <v>0</v>
      </c>
      <c r="M305">
        <v>0</v>
      </c>
      <c r="N305">
        <v>1</v>
      </c>
      <c r="O305">
        <v>1</v>
      </c>
      <c r="P305">
        <v>0</v>
      </c>
      <c r="Q305">
        <v>1</v>
      </c>
      <c r="U305" t="s">
        <v>72</v>
      </c>
      <c r="V305">
        <v>42</v>
      </c>
      <c r="X305" t="s">
        <v>80</v>
      </c>
      <c r="Y305">
        <v>0</v>
      </c>
      <c r="Z305">
        <v>66.677999999999997</v>
      </c>
      <c r="AB305" t="s">
        <v>74</v>
      </c>
      <c r="AD305" t="s">
        <v>995</v>
      </c>
      <c r="AE305">
        <v>0</v>
      </c>
      <c r="AF305">
        <v>3</v>
      </c>
      <c r="AG305">
        <v>1</v>
      </c>
      <c r="AH305">
        <v>1.5</v>
      </c>
      <c r="AI305">
        <v>256</v>
      </c>
      <c r="AJ305">
        <v>256</v>
      </c>
      <c r="AK305">
        <v>60</v>
      </c>
      <c r="AL305" t="s">
        <v>75</v>
      </c>
      <c r="AM305">
        <v>2</v>
      </c>
      <c r="AN305" t="s">
        <v>996</v>
      </c>
      <c r="AO305" t="s">
        <v>67</v>
      </c>
      <c r="AP305" t="s">
        <v>997</v>
      </c>
      <c r="AQ305">
        <v>15</v>
      </c>
      <c r="AR305">
        <v>35</v>
      </c>
      <c r="AS305">
        <v>70</v>
      </c>
      <c r="AT305">
        <v>4.2</v>
      </c>
      <c r="AU305">
        <v>8.4</v>
      </c>
      <c r="AV305" t="s">
        <v>1052</v>
      </c>
      <c r="AW305" t="s">
        <v>1053</v>
      </c>
      <c r="AX305" t="s">
        <v>1054</v>
      </c>
    </row>
    <row r="306" spans="1:50" x14ac:dyDescent="0.25">
      <c r="A306" t="s">
        <v>1055</v>
      </c>
      <c r="B306" t="s">
        <v>994</v>
      </c>
      <c r="C306">
        <v>0</v>
      </c>
      <c r="H306">
        <v>0</v>
      </c>
      <c r="J306">
        <v>2359</v>
      </c>
      <c r="K306">
        <v>759</v>
      </c>
      <c r="M306">
        <v>0</v>
      </c>
      <c r="N306">
        <v>1</v>
      </c>
      <c r="O306">
        <v>1</v>
      </c>
      <c r="P306">
        <v>1</v>
      </c>
      <c r="Q306">
        <v>0</v>
      </c>
      <c r="U306" t="s">
        <v>93</v>
      </c>
      <c r="V306">
        <v>35</v>
      </c>
      <c r="X306" t="s">
        <v>80</v>
      </c>
      <c r="Y306">
        <v>0</v>
      </c>
      <c r="Z306">
        <v>95.254000000000005</v>
      </c>
      <c r="AB306" t="s">
        <v>118</v>
      </c>
      <c r="AD306" t="s">
        <v>995</v>
      </c>
      <c r="AE306">
        <v>0</v>
      </c>
      <c r="AF306">
        <v>4</v>
      </c>
      <c r="AG306">
        <v>1</v>
      </c>
      <c r="AH306">
        <v>1.5</v>
      </c>
      <c r="AI306">
        <v>256</v>
      </c>
      <c r="AJ306">
        <v>256</v>
      </c>
      <c r="AK306">
        <v>60</v>
      </c>
      <c r="AL306" t="s">
        <v>1010</v>
      </c>
      <c r="AM306">
        <v>1.5</v>
      </c>
      <c r="AN306" t="s">
        <v>1011</v>
      </c>
      <c r="AO306" t="s">
        <v>67</v>
      </c>
      <c r="AP306" t="s">
        <v>997</v>
      </c>
      <c r="AQ306">
        <v>15</v>
      </c>
      <c r="AT306">
        <v>4.2</v>
      </c>
      <c r="AU306">
        <v>22.7</v>
      </c>
      <c r="AV306" t="s">
        <v>1056</v>
      </c>
      <c r="AW306" t="s">
        <v>1057</v>
      </c>
      <c r="AX306" t="s">
        <v>1058</v>
      </c>
    </row>
    <row r="307" spans="1:50" x14ac:dyDescent="0.25">
      <c r="A307" t="s">
        <v>1059</v>
      </c>
      <c r="B307" t="s">
        <v>994</v>
      </c>
      <c r="C307">
        <v>0</v>
      </c>
      <c r="H307">
        <v>0</v>
      </c>
      <c r="J307">
        <v>916</v>
      </c>
      <c r="K307">
        <v>916</v>
      </c>
      <c r="M307">
        <v>916</v>
      </c>
      <c r="N307">
        <v>0</v>
      </c>
      <c r="O307">
        <v>0</v>
      </c>
      <c r="P307">
        <v>0</v>
      </c>
      <c r="Q307">
        <v>0</v>
      </c>
      <c r="U307" t="s">
        <v>65</v>
      </c>
      <c r="V307">
        <v>68</v>
      </c>
      <c r="X307" t="s">
        <v>80</v>
      </c>
      <c r="Y307">
        <v>0</v>
      </c>
      <c r="Z307">
        <v>61.234999999999999</v>
      </c>
      <c r="AB307" t="s">
        <v>74</v>
      </c>
      <c r="AD307" t="s">
        <v>995</v>
      </c>
      <c r="AE307">
        <v>0</v>
      </c>
      <c r="AF307">
        <v>3</v>
      </c>
      <c r="AG307">
        <v>1</v>
      </c>
      <c r="AH307">
        <v>1.5</v>
      </c>
      <c r="AI307">
        <v>256</v>
      </c>
      <c r="AJ307">
        <v>256</v>
      </c>
      <c r="AK307">
        <v>60</v>
      </c>
      <c r="AL307" t="s">
        <v>75</v>
      </c>
      <c r="AM307">
        <v>2</v>
      </c>
      <c r="AN307" t="s">
        <v>996</v>
      </c>
      <c r="AO307" t="s">
        <v>67</v>
      </c>
      <c r="AP307" t="s">
        <v>997</v>
      </c>
      <c r="AQ307">
        <v>15</v>
      </c>
      <c r="AR307">
        <v>21</v>
      </c>
      <c r="AS307">
        <v>42</v>
      </c>
      <c r="AT307">
        <v>4.2</v>
      </c>
      <c r="AU307">
        <v>8.4</v>
      </c>
      <c r="AV307" t="s">
        <v>1060</v>
      </c>
      <c r="AW307" t="s">
        <v>1061</v>
      </c>
      <c r="AX307" t="s">
        <v>1062</v>
      </c>
    </row>
    <row r="308" spans="1:50" x14ac:dyDescent="0.25">
      <c r="A308" t="s">
        <v>1063</v>
      </c>
      <c r="B308" t="s">
        <v>994</v>
      </c>
      <c r="C308">
        <v>0</v>
      </c>
      <c r="H308">
        <v>1</v>
      </c>
      <c r="J308">
        <v>2059</v>
      </c>
      <c r="K308">
        <v>639</v>
      </c>
      <c r="M308">
        <v>0</v>
      </c>
      <c r="N308">
        <v>1</v>
      </c>
      <c r="O308">
        <v>1</v>
      </c>
      <c r="P308">
        <v>1</v>
      </c>
      <c r="Q308">
        <v>1</v>
      </c>
      <c r="U308" t="s">
        <v>72</v>
      </c>
      <c r="V308">
        <v>48</v>
      </c>
      <c r="X308" t="s">
        <v>80</v>
      </c>
      <c r="Y308">
        <v>0</v>
      </c>
      <c r="Z308">
        <v>60.780999999999999</v>
      </c>
      <c r="AB308" t="s">
        <v>74</v>
      </c>
      <c r="AD308" t="s">
        <v>995</v>
      </c>
      <c r="AE308">
        <v>0</v>
      </c>
      <c r="AF308">
        <v>3</v>
      </c>
      <c r="AG308">
        <v>1</v>
      </c>
      <c r="AH308">
        <v>1.5</v>
      </c>
      <c r="AI308">
        <v>256</v>
      </c>
      <c r="AJ308">
        <v>256</v>
      </c>
      <c r="AK308">
        <v>60</v>
      </c>
      <c r="AL308" t="s">
        <v>75</v>
      </c>
      <c r="AM308">
        <v>2</v>
      </c>
      <c r="AN308" t="s">
        <v>996</v>
      </c>
      <c r="AO308" t="s">
        <v>67</v>
      </c>
      <c r="AP308" t="s">
        <v>997</v>
      </c>
      <c r="AQ308">
        <v>15</v>
      </c>
      <c r="AR308">
        <v>18</v>
      </c>
      <c r="AS308">
        <v>36</v>
      </c>
      <c r="AT308">
        <v>4.2</v>
      </c>
      <c r="AU308">
        <v>8.4</v>
      </c>
      <c r="AV308" t="s">
        <v>1064</v>
      </c>
      <c r="AW308" t="s">
        <v>1065</v>
      </c>
      <c r="AX308" t="s">
        <v>1066</v>
      </c>
    </row>
    <row r="309" spans="1:50" x14ac:dyDescent="0.25">
      <c r="A309" t="s">
        <v>1067</v>
      </c>
      <c r="B309" t="s">
        <v>994</v>
      </c>
      <c r="C309">
        <v>0</v>
      </c>
      <c r="J309">
        <v>718</v>
      </c>
      <c r="K309">
        <v>718</v>
      </c>
      <c r="M309">
        <v>718</v>
      </c>
      <c r="N309">
        <v>1</v>
      </c>
      <c r="O309">
        <v>1</v>
      </c>
      <c r="P309">
        <v>1</v>
      </c>
      <c r="Q309">
        <v>0</v>
      </c>
      <c r="U309" t="s">
        <v>93</v>
      </c>
      <c r="V309">
        <v>52</v>
      </c>
      <c r="X309" t="s">
        <v>80</v>
      </c>
      <c r="Y309">
        <v>0</v>
      </c>
      <c r="Z309">
        <v>84.367999999999995</v>
      </c>
      <c r="AB309" t="s">
        <v>118</v>
      </c>
      <c r="AD309" t="s">
        <v>995</v>
      </c>
      <c r="AE309">
        <v>0</v>
      </c>
      <c r="AF309">
        <v>3</v>
      </c>
      <c r="AG309">
        <v>1</v>
      </c>
      <c r="AH309">
        <v>1.5</v>
      </c>
      <c r="AI309">
        <v>256</v>
      </c>
      <c r="AJ309">
        <v>256</v>
      </c>
      <c r="AK309">
        <v>60</v>
      </c>
      <c r="AL309" t="s">
        <v>75</v>
      </c>
      <c r="AM309">
        <v>2.2999999999999998</v>
      </c>
      <c r="AN309" t="s">
        <v>996</v>
      </c>
      <c r="AO309" t="s">
        <v>67</v>
      </c>
      <c r="AP309" t="s">
        <v>997</v>
      </c>
      <c r="AQ309">
        <v>15</v>
      </c>
      <c r="AR309">
        <v>19</v>
      </c>
      <c r="AS309">
        <v>38</v>
      </c>
      <c r="AT309">
        <v>4.2</v>
      </c>
      <c r="AU309">
        <v>8.4</v>
      </c>
      <c r="AV309" t="s">
        <v>1068</v>
      </c>
      <c r="AW309" t="s">
        <v>1069</v>
      </c>
      <c r="AX309" t="s">
        <v>1070</v>
      </c>
    </row>
    <row r="310" spans="1:50" x14ac:dyDescent="0.25">
      <c r="A310" t="s">
        <v>1071</v>
      </c>
      <c r="B310" t="s">
        <v>994</v>
      </c>
      <c r="C310">
        <v>0</v>
      </c>
      <c r="D310">
        <v>0</v>
      </c>
      <c r="H310">
        <v>0</v>
      </c>
      <c r="J310">
        <v>1996</v>
      </c>
      <c r="K310">
        <v>1058</v>
      </c>
      <c r="M310">
        <v>0</v>
      </c>
      <c r="N310">
        <v>0</v>
      </c>
      <c r="O310">
        <v>0</v>
      </c>
      <c r="P310">
        <v>0</v>
      </c>
      <c r="Q310">
        <v>0</v>
      </c>
      <c r="U310" t="s">
        <v>65</v>
      </c>
      <c r="V310">
        <v>38</v>
      </c>
      <c r="X310" t="s">
        <v>55</v>
      </c>
      <c r="Y310">
        <v>0</v>
      </c>
      <c r="Z310">
        <v>72.575000000000003</v>
      </c>
      <c r="AB310" t="s">
        <v>94</v>
      </c>
      <c r="AD310" t="s">
        <v>995</v>
      </c>
      <c r="AE310">
        <v>0</v>
      </c>
      <c r="AF310">
        <v>3</v>
      </c>
      <c r="AG310">
        <v>1</v>
      </c>
      <c r="AH310">
        <v>1.5</v>
      </c>
      <c r="AI310">
        <v>256</v>
      </c>
      <c r="AJ310">
        <v>256</v>
      </c>
      <c r="AK310">
        <v>56</v>
      </c>
      <c r="AL310" t="s">
        <v>1010</v>
      </c>
      <c r="AM310">
        <v>2.5</v>
      </c>
      <c r="AN310" t="s">
        <v>1072</v>
      </c>
      <c r="AO310" t="s">
        <v>67</v>
      </c>
      <c r="AP310" t="s">
        <v>997</v>
      </c>
      <c r="AQ310">
        <v>15</v>
      </c>
      <c r="AR310">
        <v>30</v>
      </c>
      <c r="AS310">
        <v>61</v>
      </c>
      <c r="AT310">
        <v>4.2</v>
      </c>
      <c r="AU310">
        <v>9</v>
      </c>
      <c r="AV310" t="s">
        <v>1073</v>
      </c>
      <c r="AW310" t="s">
        <v>1074</v>
      </c>
      <c r="AX310" t="s">
        <v>1075</v>
      </c>
    </row>
    <row r="311" spans="1:50" x14ac:dyDescent="0.25">
      <c r="A311" t="s">
        <v>1076</v>
      </c>
      <c r="B311" t="s">
        <v>994</v>
      </c>
      <c r="C311">
        <v>0</v>
      </c>
      <c r="H311">
        <v>0</v>
      </c>
      <c r="J311">
        <v>2023</v>
      </c>
      <c r="K311">
        <v>0</v>
      </c>
      <c r="M311">
        <v>0</v>
      </c>
      <c r="N311">
        <v>1</v>
      </c>
      <c r="O311">
        <v>1</v>
      </c>
      <c r="P311">
        <v>1</v>
      </c>
      <c r="Q311">
        <v>1</v>
      </c>
      <c r="U311" t="s">
        <v>72</v>
      </c>
      <c r="V311">
        <v>63</v>
      </c>
      <c r="X311" t="s">
        <v>80</v>
      </c>
      <c r="Y311">
        <v>0</v>
      </c>
      <c r="Z311">
        <v>84.367999999999995</v>
      </c>
      <c r="AB311" t="s">
        <v>118</v>
      </c>
      <c r="AD311" t="s">
        <v>995</v>
      </c>
      <c r="AE311">
        <v>0</v>
      </c>
      <c r="AF311">
        <v>3</v>
      </c>
      <c r="AG311">
        <v>1</v>
      </c>
      <c r="AH311">
        <v>1.5</v>
      </c>
      <c r="AI311">
        <v>256</v>
      </c>
      <c r="AJ311">
        <v>256</v>
      </c>
      <c r="AK311">
        <v>60</v>
      </c>
      <c r="AL311" t="s">
        <v>75</v>
      </c>
      <c r="AM311">
        <v>2.2999999999999998</v>
      </c>
      <c r="AN311" t="s">
        <v>996</v>
      </c>
      <c r="AO311" t="s">
        <v>67</v>
      </c>
      <c r="AP311" t="s">
        <v>997</v>
      </c>
      <c r="AQ311">
        <v>15</v>
      </c>
      <c r="AR311">
        <v>28</v>
      </c>
      <c r="AS311">
        <v>57</v>
      </c>
      <c r="AT311">
        <v>4.2</v>
      </c>
      <c r="AU311">
        <v>8.4</v>
      </c>
      <c r="AV311" t="s">
        <v>1077</v>
      </c>
      <c r="AW311" t="s">
        <v>1078</v>
      </c>
      <c r="AX311" t="s">
        <v>1079</v>
      </c>
    </row>
    <row r="312" spans="1:50" x14ac:dyDescent="0.25">
      <c r="A312" t="s">
        <v>1080</v>
      </c>
      <c r="B312" t="s">
        <v>994</v>
      </c>
      <c r="C312">
        <v>0</v>
      </c>
      <c r="H312">
        <v>1</v>
      </c>
      <c r="J312">
        <v>2209</v>
      </c>
      <c r="K312">
        <v>0</v>
      </c>
      <c r="M312">
        <v>0</v>
      </c>
      <c r="N312">
        <v>0</v>
      </c>
      <c r="O312">
        <v>0</v>
      </c>
      <c r="P312">
        <v>0</v>
      </c>
      <c r="Q312">
        <v>1</v>
      </c>
      <c r="U312" t="s">
        <v>53</v>
      </c>
      <c r="V312">
        <v>52</v>
      </c>
      <c r="X312" t="s">
        <v>111</v>
      </c>
      <c r="Y312">
        <v>0</v>
      </c>
      <c r="Z312">
        <v>58.966999999999999</v>
      </c>
      <c r="AB312" t="s">
        <v>74</v>
      </c>
      <c r="AD312" t="s">
        <v>995</v>
      </c>
      <c r="AE312">
        <v>0</v>
      </c>
      <c r="AF312">
        <v>3</v>
      </c>
      <c r="AG312">
        <v>1</v>
      </c>
      <c r="AH312">
        <v>1.5</v>
      </c>
      <c r="AI312">
        <v>256</v>
      </c>
      <c r="AJ312">
        <v>256</v>
      </c>
      <c r="AK312">
        <v>60</v>
      </c>
      <c r="AL312" t="s">
        <v>75</v>
      </c>
      <c r="AM312">
        <v>2</v>
      </c>
      <c r="AN312" t="s">
        <v>996</v>
      </c>
      <c r="AO312" t="s">
        <v>67</v>
      </c>
      <c r="AP312" t="s">
        <v>997</v>
      </c>
      <c r="AQ312">
        <v>15</v>
      </c>
      <c r="AR312">
        <v>16</v>
      </c>
      <c r="AS312">
        <v>33</v>
      </c>
      <c r="AT312">
        <v>4.2</v>
      </c>
      <c r="AU312">
        <v>8.4</v>
      </c>
      <c r="AV312" t="s">
        <v>1081</v>
      </c>
      <c r="AW312" t="s">
        <v>1082</v>
      </c>
      <c r="AX312" t="s">
        <v>1083</v>
      </c>
    </row>
    <row r="313" spans="1:50" x14ac:dyDescent="0.25">
      <c r="A313" t="s">
        <v>1084</v>
      </c>
      <c r="B313" t="s">
        <v>994</v>
      </c>
      <c r="C313">
        <v>0</v>
      </c>
      <c r="H313">
        <v>0</v>
      </c>
      <c r="J313">
        <v>2117</v>
      </c>
      <c r="K313">
        <v>1555</v>
      </c>
      <c r="M313">
        <v>0</v>
      </c>
      <c r="N313">
        <v>1</v>
      </c>
      <c r="O313">
        <v>1</v>
      </c>
      <c r="P313">
        <v>0</v>
      </c>
      <c r="Q313">
        <v>0</v>
      </c>
      <c r="U313" t="s">
        <v>93</v>
      </c>
      <c r="V313">
        <v>54</v>
      </c>
      <c r="X313" t="s">
        <v>80</v>
      </c>
      <c r="Y313">
        <v>0</v>
      </c>
      <c r="Z313">
        <v>70.760000000000005</v>
      </c>
      <c r="AB313" t="s">
        <v>94</v>
      </c>
      <c r="AD313" t="s">
        <v>995</v>
      </c>
      <c r="AE313">
        <v>0</v>
      </c>
      <c r="AF313">
        <v>3</v>
      </c>
      <c r="AG313">
        <v>1</v>
      </c>
      <c r="AH313">
        <v>1.5</v>
      </c>
      <c r="AI313">
        <v>256</v>
      </c>
      <c r="AJ313">
        <v>256</v>
      </c>
      <c r="AK313">
        <v>60</v>
      </c>
      <c r="AL313" t="s">
        <v>75</v>
      </c>
      <c r="AM313">
        <v>2</v>
      </c>
      <c r="AN313" t="s">
        <v>996</v>
      </c>
      <c r="AO313" t="s">
        <v>67</v>
      </c>
      <c r="AP313" t="s">
        <v>997</v>
      </c>
      <c r="AQ313">
        <v>15</v>
      </c>
      <c r="AR313">
        <v>14</v>
      </c>
      <c r="AS313">
        <v>28</v>
      </c>
      <c r="AT313">
        <v>4.2</v>
      </c>
      <c r="AU313">
        <v>8.4</v>
      </c>
      <c r="AV313" t="s">
        <v>1085</v>
      </c>
      <c r="AW313" t="s">
        <v>1086</v>
      </c>
      <c r="AX313" t="s">
        <v>1087</v>
      </c>
    </row>
    <row r="314" spans="1:50" x14ac:dyDescent="0.25">
      <c r="A314" t="s">
        <v>1088</v>
      </c>
      <c r="B314" t="s">
        <v>994</v>
      </c>
      <c r="C314">
        <v>0</v>
      </c>
      <c r="H314">
        <v>0</v>
      </c>
      <c r="J314">
        <v>1384</v>
      </c>
      <c r="N314">
        <v>1</v>
      </c>
      <c r="O314">
        <v>1</v>
      </c>
      <c r="P314">
        <v>1</v>
      </c>
      <c r="Q314">
        <v>0</v>
      </c>
      <c r="U314" t="s">
        <v>93</v>
      </c>
      <c r="V314">
        <v>37</v>
      </c>
      <c r="X314" t="s">
        <v>111</v>
      </c>
      <c r="Y314">
        <v>0</v>
      </c>
      <c r="Z314">
        <v>56.698999999999998</v>
      </c>
      <c r="AB314" t="s">
        <v>74</v>
      </c>
      <c r="AD314" t="s">
        <v>995</v>
      </c>
      <c r="AE314">
        <v>0</v>
      </c>
      <c r="AF314">
        <v>3</v>
      </c>
      <c r="AG314">
        <v>1</v>
      </c>
      <c r="AH314">
        <v>1.5</v>
      </c>
      <c r="AI314">
        <v>256</v>
      </c>
      <c r="AJ314">
        <v>256</v>
      </c>
      <c r="AK314">
        <v>60</v>
      </c>
      <c r="AL314" t="s">
        <v>75</v>
      </c>
      <c r="AM314">
        <v>2</v>
      </c>
      <c r="AN314" t="s">
        <v>996</v>
      </c>
      <c r="AO314" t="s">
        <v>67</v>
      </c>
      <c r="AP314" t="s">
        <v>997</v>
      </c>
      <c r="AQ314">
        <v>15</v>
      </c>
      <c r="AR314">
        <v>21</v>
      </c>
      <c r="AS314">
        <v>42</v>
      </c>
      <c r="AT314">
        <v>4.2</v>
      </c>
      <c r="AU314">
        <v>8.4</v>
      </c>
      <c r="AV314" t="s">
        <v>1089</v>
      </c>
      <c r="AW314" t="s">
        <v>1090</v>
      </c>
      <c r="AX314" t="s">
        <v>1091</v>
      </c>
    </row>
    <row r="315" spans="1:50" x14ac:dyDescent="0.25">
      <c r="A315" t="s">
        <v>1092</v>
      </c>
      <c r="B315" t="s">
        <v>994</v>
      </c>
      <c r="C315">
        <v>0</v>
      </c>
      <c r="H315">
        <v>0</v>
      </c>
      <c r="J315">
        <v>555</v>
      </c>
      <c r="K315">
        <v>410</v>
      </c>
      <c r="M315">
        <v>555</v>
      </c>
      <c r="N315">
        <v>0</v>
      </c>
      <c r="O315">
        <v>0</v>
      </c>
      <c r="P315">
        <v>0</v>
      </c>
      <c r="Q315">
        <v>0</v>
      </c>
      <c r="U315" t="s">
        <v>65</v>
      </c>
      <c r="V315">
        <v>46</v>
      </c>
      <c r="X315" t="s">
        <v>80</v>
      </c>
      <c r="Y315">
        <v>0</v>
      </c>
      <c r="Z315">
        <v>73.481999999999999</v>
      </c>
      <c r="AB315" t="s">
        <v>94</v>
      </c>
      <c r="AD315" t="s">
        <v>995</v>
      </c>
      <c r="AE315">
        <v>0</v>
      </c>
      <c r="AF315">
        <v>4</v>
      </c>
      <c r="AG315">
        <v>1</v>
      </c>
      <c r="AH315">
        <v>1.5</v>
      </c>
      <c r="AI315">
        <v>256</v>
      </c>
      <c r="AJ315">
        <v>256</v>
      </c>
      <c r="AK315">
        <v>60</v>
      </c>
      <c r="AL315" t="s">
        <v>1010</v>
      </c>
      <c r="AM315">
        <v>1.5</v>
      </c>
      <c r="AN315" t="s">
        <v>1011</v>
      </c>
      <c r="AO315" t="s">
        <v>67</v>
      </c>
      <c r="AP315" t="s">
        <v>997</v>
      </c>
      <c r="AQ315">
        <v>15</v>
      </c>
      <c r="AR315">
        <v>156</v>
      </c>
      <c r="AS315">
        <v>312</v>
      </c>
      <c r="AT315">
        <v>4.2</v>
      </c>
      <c r="AU315">
        <v>20.399999999999999</v>
      </c>
      <c r="AV315" t="s">
        <v>1093</v>
      </c>
      <c r="AW315" t="s">
        <v>1094</v>
      </c>
      <c r="AX315" t="s">
        <v>1095</v>
      </c>
    </row>
    <row r="316" spans="1:50" x14ac:dyDescent="0.25">
      <c r="A316" t="s">
        <v>1096</v>
      </c>
      <c r="B316" t="s">
        <v>994</v>
      </c>
      <c r="C316">
        <v>0</v>
      </c>
      <c r="J316">
        <v>2240</v>
      </c>
      <c r="K316">
        <v>729</v>
      </c>
      <c r="M316">
        <v>0</v>
      </c>
      <c r="N316">
        <v>1</v>
      </c>
      <c r="O316">
        <v>1</v>
      </c>
      <c r="P316">
        <v>1</v>
      </c>
      <c r="Q316">
        <v>1</v>
      </c>
      <c r="U316" t="s">
        <v>72</v>
      </c>
      <c r="V316">
        <v>40</v>
      </c>
      <c r="X316" t="s">
        <v>80</v>
      </c>
      <c r="Y316">
        <v>0</v>
      </c>
      <c r="Z316">
        <v>68.039000000000001</v>
      </c>
      <c r="AB316" t="s">
        <v>74</v>
      </c>
      <c r="AD316" t="s">
        <v>995</v>
      </c>
      <c r="AE316">
        <v>0</v>
      </c>
      <c r="AF316">
        <v>4</v>
      </c>
      <c r="AG316">
        <v>1</v>
      </c>
      <c r="AH316">
        <v>1.5</v>
      </c>
      <c r="AI316">
        <v>256</v>
      </c>
      <c r="AJ316">
        <v>256</v>
      </c>
      <c r="AK316">
        <v>60</v>
      </c>
      <c r="AL316" t="s">
        <v>75</v>
      </c>
      <c r="AM316">
        <v>2</v>
      </c>
      <c r="AN316" t="s">
        <v>1097</v>
      </c>
      <c r="AO316" t="s">
        <v>67</v>
      </c>
      <c r="AP316" t="s">
        <v>997</v>
      </c>
      <c r="AQ316">
        <v>15</v>
      </c>
      <c r="AR316">
        <v>33</v>
      </c>
      <c r="AS316">
        <v>66</v>
      </c>
      <c r="AT316">
        <v>4.2</v>
      </c>
      <c r="AU316">
        <v>17.576000000000001</v>
      </c>
      <c r="AV316" t="s">
        <v>1098</v>
      </c>
      <c r="AW316" t="s">
        <v>1099</v>
      </c>
      <c r="AX316" t="s">
        <v>1100</v>
      </c>
    </row>
    <row r="317" spans="1:50" x14ac:dyDescent="0.25">
      <c r="A317" t="s">
        <v>1101</v>
      </c>
      <c r="B317" t="s">
        <v>994</v>
      </c>
      <c r="C317">
        <v>0</v>
      </c>
      <c r="H317">
        <v>0</v>
      </c>
      <c r="J317">
        <v>1049</v>
      </c>
      <c r="K317">
        <v>391</v>
      </c>
      <c r="M317">
        <v>1049</v>
      </c>
      <c r="N317">
        <v>0</v>
      </c>
      <c r="O317">
        <v>0</v>
      </c>
      <c r="P317">
        <v>0</v>
      </c>
      <c r="Q317">
        <v>1</v>
      </c>
      <c r="U317" t="s">
        <v>53</v>
      </c>
      <c r="V317">
        <v>38</v>
      </c>
      <c r="X317" t="s">
        <v>80</v>
      </c>
      <c r="Y317">
        <v>0</v>
      </c>
      <c r="Z317">
        <v>62.595999999999997</v>
      </c>
      <c r="AB317" t="s">
        <v>74</v>
      </c>
      <c r="AD317" t="s">
        <v>995</v>
      </c>
      <c r="AE317">
        <v>0</v>
      </c>
      <c r="AF317">
        <v>3</v>
      </c>
      <c r="AG317">
        <v>1</v>
      </c>
      <c r="AH317">
        <v>1.5</v>
      </c>
      <c r="AI317">
        <v>256</v>
      </c>
      <c r="AJ317">
        <v>256</v>
      </c>
      <c r="AK317">
        <v>60</v>
      </c>
      <c r="AL317" t="s">
        <v>75</v>
      </c>
      <c r="AM317">
        <v>2.5</v>
      </c>
      <c r="AN317" t="s">
        <v>996</v>
      </c>
      <c r="AO317" t="s">
        <v>67</v>
      </c>
      <c r="AP317" t="s">
        <v>997</v>
      </c>
      <c r="AQ317">
        <v>15</v>
      </c>
      <c r="AR317">
        <v>7</v>
      </c>
      <c r="AS317">
        <v>15</v>
      </c>
      <c r="AT317">
        <v>4.2</v>
      </c>
      <c r="AU317">
        <v>8.4</v>
      </c>
      <c r="AV317" t="s">
        <v>1102</v>
      </c>
      <c r="AW317" t="s">
        <v>1103</v>
      </c>
      <c r="AX317" t="s">
        <v>1104</v>
      </c>
    </row>
    <row r="318" spans="1:50" x14ac:dyDescent="0.25">
      <c r="A318" t="s">
        <v>1105</v>
      </c>
      <c r="B318" t="s">
        <v>994</v>
      </c>
      <c r="C318">
        <v>0</v>
      </c>
      <c r="H318">
        <v>0</v>
      </c>
      <c r="J318">
        <v>1806</v>
      </c>
      <c r="K318">
        <v>0</v>
      </c>
      <c r="M318">
        <v>0</v>
      </c>
      <c r="N318">
        <v>0</v>
      </c>
      <c r="O318">
        <v>0</v>
      </c>
      <c r="P318">
        <v>0</v>
      </c>
      <c r="Q318">
        <v>0</v>
      </c>
      <c r="U318" t="s">
        <v>65</v>
      </c>
      <c r="V318">
        <v>51</v>
      </c>
      <c r="X318" t="s">
        <v>80</v>
      </c>
      <c r="Y318">
        <v>0</v>
      </c>
      <c r="Z318">
        <v>73.936000000000007</v>
      </c>
      <c r="AB318" t="s">
        <v>94</v>
      </c>
      <c r="AD318" t="s">
        <v>995</v>
      </c>
      <c r="AE318">
        <v>0</v>
      </c>
      <c r="AF318">
        <v>4</v>
      </c>
      <c r="AG318">
        <v>1</v>
      </c>
      <c r="AH318">
        <v>1.5</v>
      </c>
      <c r="AI318">
        <v>256</v>
      </c>
      <c r="AJ318">
        <v>256</v>
      </c>
      <c r="AK318">
        <v>56</v>
      </c>
      <c r="AL318" t="s">
        <v>1034</v>
      </c>
      <c r="AM318">
        <v>2.5</v>
      </c>
      <c r="AN318" t="s">
        <v>1072</v>
      </c>
      <c r="AO318" t="s">
        <v>67</v>
      </c>
      <c r="AP318" t="s">
        <v>997</v>
      </c>
      <c r="AQ318">
        <v>15</v>
      </c>
      <c r="AR318">
        <v>30</v>
      </c>
      <c r="AS318">
        <v>61</v>
      </c>
      <c r="AT318">
        <v>4.2</v>
      </c>
      <c r="AU318">
        <v>8.9</v>
      </c>
      <c r="AV318" t="s">
        <v>1106</v>
      </c>
      <c r="AW318" t="s">
        <v>1107</v>
      </c>
      <c r="AX318" t="s">
        <v>1108</v>
      </c>
    </row>
    <row r="319" spans="1:50" x14ac:dyDescent="0.25">
      <c r="A319" t="s">
        <v>1109</v>
      </c>
      <c r="B319" t="s">
        <v>994</v>
      </c>
      <c r="C319">
        <v>0</v>
      </c>
      <c r="H319">
        <v>0</v>
      </c>
      <c r="J319">
        <v>1843</v>
      </c>
      <c r="K319">
        <v>0</v>
      </c>
      <c r="M319">
        <v>0</v>
      </c>
      <c r="N319">
        <v>0</v>
      </c>
      <c r="O319">
        <v>0</v>
      </c>
      <c r="P319">
        <v>0</v>
      </c>
      <c r="Q319">
        <v>0</v>
      </c>
      <c r="U319" t="s">
        <v>65</v>
      </c>
      <c r="V319">
        <v>37</v>
      </c>
      <c r="X319" t="s">
        <v>55</v>
      </c>
      <c r="Y319">
        <v>0</v>
      </c>
      <c r="Z319">
        <v>88.903999999999996</v>
      </c>
      <c r="AB319" t="s">
        <v>118</v>
      </c>
      <c r="AD319" t="s">
        <v>995</v>
      </c>
      <c r="AE319">
        <v>0</v>
      </c>
      <c r="AF319">
        <v>4</v>
      </c>
      <c r="AG319">
        <v>1</v>
      </c>
      <c r="AH319">
        <v>1.5</v>
      </c>
      <c r="AI319">
        <v>256</v>
      </c>
      <c r="AJ319">
        <v>256</v>
      </c>
      <c r="AK319">
        <v>60</v>
      </c>
      <c r="AL319" t="s">
        <v>1034</v>
      </c>
      <c r="AM319">
        <v>2.5</v>
      </c>
      <c r="AN319" t="s">
        <v>1072</v>
      </c>
      <c r="AO319" t="s">
        <v>67</v>
      </c>
      <c r="AP319" t="s">
        <v>997</v>
      </c>
      <c r="AQ319">
        <v>15</v>
      </c>
      <c r="AR319">
        <v>37</v>
      </c>
      <c r="AS319">
        <v>75</v>
      </c>
      <c r="AT319">
        <v>4.2</v>
      </c>
      <c r="AU319">
        <v>8.9</v>
      </c>
      <c r="AV319" t="s">
        <v>1110</v>
      </c>
      <c r="AW319" t="s">
        <v>1111</v>
      </c>
      <c r="AX319" t="s">
        <v>1112</v>
      </c>
    </row>
    <row r="320" spans="1:50" x14ac:dyDescent="0.25">
      <c r="A320" t="s">
        <v>1113</v>
      </c>
      <c r="B320" t="s">
        <v>994</v>
      </c>
      <c r="C320">
        <v>0</v>
      </c>
      <c r="D320">
        <v>1</v>
      </c>
      <c r="H320">
        <v>0</v>
      </c>
      <c r="J320">
        <v>455</v>
      </c>
      <c r="K320">
        <v>413</v>
      </c>
      <c r="M320">
        <v>455</v>
      </c>
      <c r="N320">
        <v>0</v>
      </c>
      <c r="O320">
        <v>0</v>
      </c>
      <c r="P320">
        <v>0</v>
      </c>
      <c r="Q320">
        <v>0</v>
      </c>
      <c r="U320" t="s">
        <v>65</v>
      </c>
      <c r="V320">
        <v>56</v>
      </c>
      <c r="X320" t="s">
        <v>80</v>
      </c>
      <c r="Y320">
        <v>0</v>
      </c>
      <c r="Z320">
        <v>113</v>
      </c>
      <c r="AB320" t="s">
        <v>269</v>
      </c>
      <c r="AD320" t="s">
        <v>995</v>
      </c>
      <c r="AE320">
        <v>0</v>
      </c>
      <c r="AF320">
        <v>3</v>
      </c>
      <c r="AG320">
        <v>1</v>
      </c>
      <c r="AH320">
        <v>1.5</v>
      </c>
      <c r="AI320">
        <v>256</v>
      </c>
      <c r="AJ320">
        <v>256</v>
      </c>
      <c r="AK320">
        <v>64</v>
      </c>
      <c r="AL320" t="s">
        <v>196</v>
      </c>
      <c r="AM320">
        <v>2.03125</v>
      </c>
      <c r="AN320" t="s">
        <v>1114</v>
      </c>
      <c r="AO320" t="s">
        <v>59</v>
      </c>
      <c r="AP320" t="s">
        <v>1021</v>
      </c>
      <c r="AQ320">
        <v>11</v>
      </c>
      <c r="AR320">
        <v>45</v>
      </c>
      <c r="AS320">
        <v>98</v>
      </c>
      <c r="AT320">
        <v>5</v>
      </c>
      <c r="AU320">
        <v>14</v>
      </c>
      <c r="AV320" t="s">
        <v>1115</v>
      </c>
      <c r="AW320" t="s">
        <v>1116</v>
      </c>
      <c r="AX320" t="s">
        <v>1117</v>
      </c>
    </row>
    <row r="321" spans="1:50" x14ac:dyDescent="0.25">
      <c r="A321" t="s">
        <v>1118</v>
      </c>
      <c r="B321" t="s">
        <v>994</v>
      </c>
      <c r="C321">
        <v>0</v>
      </c>
      <c r="H321">
        <v>0</v>
      </c>
      <c r="J321">
        <v>1679</v>
      </c>
      <c r="K321">
        <v>1679</v>
      </c>
      <c r="M321">
        <v>1679</v>
      </c>
      <c r="N321">
        <v>1</v>
      </c>
      <c r="O321">
        <v>1</v>
      </c>
      <c r="P321">
        <v>1</v>
      </c>
      <c r="Q321">
        <v>1</v>
      </c>
      <c r="U321" t="s">
        <v>72</v>
      </c>
      <c r="V321">
        <v>46</v>
      </c>
      <c r="X321" t="s">
        <v>80</v>
      </c>
      <c r="Y321">
        <v>0</v>
      </c>
      <c r="Z321">
        <v>81.647000000000006</v>
      </c>
      <c r="AB321" t="s">
        <v>94</v>
      </c>
      <c r="AD321" t="s">
        <v>995</v>
      </c>
      <c r="AE321">
        <v>0</v>
      </c>
      <c r="AF321">
        <v>3</v>
      </c>
      <c r="AG321">
        <v>1</v>
      </c>
      <c r="AH321">
        <v>1.5</v>
      </c>
      <c r="AI321">
        <v>256</v>
      </c>
      <c r="AJ321">
        <v>256</v>
      </c>
      <c r="AK321">
        <v>60</v>
      </c>
      <c r="AL321" t="s">
        <v>75</v>
      </c>
      <c r="AM321">
        <v>2.2999999999999998</v>
      </c>
      <c r="AN321" t="s">
        <v>996</v>
      </c>
      <c r="AO321" t="s">
        <v>67</v>
      </c>
      <c r="AP321" t="s">
        <v>997</v>
      </c>
      <c r="AQ321">
        <v>15</v>
      </c>
      <c r="AR321">
        <v>27</v>
      </c>
      <c r="AS321">
        <v>54</v>
      </c>
      <c r="AT321">
        <v>4.2</v>
      </c>
      <c r="AU321">
        <v>8.4</v>
      </c>
      <c r="AV321" t="s">
        <v>1119</v>
      </c>
      <c r="AW321" t="s">
        <v>1120</v>
      </c>
      <c r="AX321" t="s">
        <v>1121</v>
      </c>
    </row>
    <row r="322" spans="1:50" x14ac:dyDescent="0.25">
      <c r="A322" t="s">
        <v>1122</v>
      </c>
      <c r="B322" t="s">
        <v>994</v>
      </c>
      <c r="C322">
        <v>0</v>
      </c>
      <c r="H322">
        <v>0</v>
      </c>
      <c r="J322">
        <v>1928</v>
      </c>
      <c r="K322">
        <v>0</v>
      </c>
      <c r="M322">
        <v>0</v>
      </c>
      <c r="N322">
        <v>1</v>
      </c>
      <c r="O322">
        <v>1</v>
      </c>
      <c r="P322">
        <v>1</v>
      </c>
      <c r="Q322">
        <v>0</v>
      </c>
      <c r="U322" t="s">
        <v>93</v>
      </c>
      <c r="V322">
        <v>58</v>
      </c>
      <c r="X322" t="s">
        <v>80</v>
      </c>
      <c r="Y322">
        <v>0</v>
      </c>
      <c r="Z322">
        <v>59.02</v>
      </c>
      <c r="AB322" t="s">
        <v>74</v>
      </c>
      <c r="AD322" t="s">
        <v>995</v>
      </c>
      <c r="AE322">
        <v>0</v>
      </c>
      <c r="AF322">
        <v>4</v>
      </c>
      <c r="AG322">
        <v>1</v>
      </c>
      <c r="AH322">
        <v>1.5</v>
      </c>
      <c r="AI322">
        <v>256</v>
      </c>
      <c r="AJ322">
        <v>256</v>
      </c>
      <c r="AK322">
        <v>64</v>
      </c>
      <c r="AL322" t="s">
        <v>1010</v>
      </c>
      <c r="AM322">
        <v>2</v>
      </c>
      <c r="AN322" t="s">
        <v>1011</v>
      </c>
      <c r="AO322" t="s">
        <v>59</v>
      </c>
      <c r="AP322" t="s">
        <v>1123</v>
      </c>
      <c r="AQ322">
        <v>11</v>
      </c>
      <c r="AR322">
        <v>116</v>
      </c>
      <c r="AS322">
        <v>309</v>
      </c>
      <c r="AT322">
        <v>4.76</v>
      </c>
      <c r="AU322">
        <v>26</v>
      </c>
      <c r="AV322" t="s">
        <v>1124</v>
      </c>
      <c r="AW322" t="s">
        <v>1120</v>
      </c>
      <c r="AX322" t="s">
        <v>1125</v>
      </c>
    </row>
    <row r="323" spans="1:50" x14ac:dyDescent="0.25">
      <c r="A323" t="s">
        <v>1126</v>
      </c>
      <c r="B323" t="s">
        <v>994</v>
      </c>
      <c r="C323">
        <v>0</v>
      </c>
      <c r="H323">
        <v>0</v>
      </c>
      <c r="J323">
        <v>344</v>
      </c>
      <c r="K323">
        <v>179</v>
      </c>
      <c r="M323">
        <v>344</v>
      </c>
      <c r="N323">
        <v>0</v>
      </c>
      <c r="O323">
        <v>0</v>
      </c>
      <c r="P323">
        <v>0</v>
      </c>
      <c r="Q323">
        <v>0</v>
      </c>
      <c r="U323" t="s">
        <v>65</v>
      </c>
      <c r="V323">
        <v>50</v>
      </c>
      <c r="X323" t="s">
        <v>80</v>
      </c>
      <c r="Y323">
        <v>0</v>
      </c>
      <c r="Z323">
        <v>58.966999999999999</v>
      </c>
      <c r="AB323" t="s">
        <v>74</v>
      </c>
      <c r="AD323" t="s">
        <v>995</v>
      </c>
      <c r="AE323">
        <v>0</v>
      </c>
      <c r="AF323">
        <v>3</v>
      </c>
      <c r="AG323">
        <v>1</v>
      </c>
      <c r="AH323">
        <v>1.5</v>
      </c>
      <c r="AI323">
        <v>256</v>
      </c>
      <c r="AJ323">
        <v>256</v>
      </c>
      <c r="AK323">
        <v>64</v>
      </c>
      <c r="AL323" t="s">
        <v>1127</v>
      </c>
      <c r="AM323">
        <v>2.5</v>
      </c>
      <c r="AN323" t="s">
        <v>1072</v>
      </c>
      <c r="AO323" t="s">
        <v>67</v>
      </c>
      <c r="AP323" t="s">
        <v>997</v>
      </c>
      <c r="AQ323">
        <v>15</v>
      </c>
      <c r="AR323">
        <v>17</v>
      </c>
      <c r="AS323">
        <v>35</v>
      </c>
      <c r="AT323">
        <v>4.2</v>
      </c>
      <c r="AU323">
        <v>9</v>
      </c>
      <c r="AV323" t="s">
        <v>1128</v>
      </c>
      <c r="AW323" t="s">
        <v>1129</v>
      </c>
      <c r="AX323" t="s">
        <v>1130</v>
      </c>
    </row>
    <row r="324" spans="1:50" x14ac:dyDescent="0.25">
      <c r="A324" t="s">
        <v>1131</v>
      </c>
      <c r="B324" t="s">
        <v>994</v>
      </c>
      <c r="C324">
        <v>0</v>
      </c>
      <c r="H324">
        <v>1</v>
      </c>
      <c r="J324">
        <v>912</v>
      </c>
      <c r="N324">
        <v>1</v>
      </c>
      <c r="O324">
        <v>1</v>
      </c>
      <c r="P324">
        <v>1</v>
      </c>
      <c r="Q324">
        <v>0</v>
      </c>
      <c r="U324" t="s">
        <v>93</v>
      </c>
      <c r="V324">
        <v>48</v>
      </c>
      <c r="X324" t="s">
        <v>80</v>
      </c>
      <c r="Y324">
        <v>0</v>
      </c>
      <c r="Z324">
        <v>79.379000000000005</v>
      </c>
      <c r="AB324" t="s">
        <v>94</v>
      </c>
      <c r="AD324" t="s">
        <v>995</v>
      </c>
      <c r="AE324">
        <v>0</v>
      </c>
      <c r="AF324">
        <v>3</v>
      </c>
      <c r="AG324">
        <v>1</v>
      </c>
      <c r="AH324">
        <v>1.5</v>
      </c>
      <c r="AI324">
        <v>256</v>
      </c>
      <c r="AJ324">
        <v>256</v>
      </c>
      <c r="AK324">
        <v>60</v>
      </c>
      <c r="AL324" t="s">
        <v>75</v>
      </c>
      <c r="AM324">
        <v>2</v>
      </c>
      <c r="AN324" t="s">
        <v>996</v>
      </c>
      <c r="AO324" t="s">
        <v>67</v>
      </c>
      <c r="AP324" t="s">
        <v>997</v>
      </c>
      <c r="AQ324">
        <v>15</v>
      </c>
      <c r="AR324">
        <v>14</v>
      </c>
      <c r="AS324">
        <v>29</v>
      </c>
      <c r="AT324">
        <v>4.2</v>
      </c>
      <c r="AU324">
        <v>8.4</v>
      </c>
      <c r="AV324" t="s">
        <v>1132</v>
      </c>
      <c r="AW324" t="s">
        <v>1133</v>
      </c>
      <c r="AX324" t="s">
        <v>1134</v>
      </c>
    </row>
    <row r="325" spans="1:50" x14ac:dyDescent="0.25">
      <c r="A325" t="s">
        <v>1135</v>
      </c>
      <c r="B325" t="s">
        <v>994</v>
      </c>
      <c r="C325">
        <v>0</v>
      </c>
      <c r="H325">
        <v>0</v>
      </c>
      <c r="J325">
        <v>1978</v>
      </c>
      <c r="K325">
        <v>0</v>
      </c>
      <c r="M325">
        <v>0</v>
      </c>
      <c r="N325">
        <v>1</v>
      </c>
      <c r="O325">
        <v>1</v>
      </c>
      <c r="P325">
        <v>1</v>
      </c>
      <c r="Q325">
        <v>0</v>
      </c>
      <c r="U325" t="s">
        <v>93</v>
      </c>
      <c r="V325">
        <v>62</v>
      </c>
      <c r="X325" t="s">
        <v>80</v>
      </c>
      <c r="Y325">
        <v>0</v>
      </c>
      <c r="Z325">
        <v>136</v>
      </c>
      <c r="AB325" t="s">
        <v>269</v>
      </c>
      <c r="AD325" t="s">
        <v>995</v>
      </c>
      <c r="AE325">
        <v>0</v>
      </c>
      <c r="AF325">
        <v>3</v>
      </c>
      <c r="AG325">
        <v>1</v>
      </c>
      <c r="AH325">
        <v>1.5</v>
      </c>
      <c r="AI325">
        <v>256</v>
      </c>
      <c r="AJ325">
        <v>256</v>
      </c>
      <c r="AK325">
        <v>64</v>
      </c>
      <c r="AL325" t="s">
        <v>75</v>
      </c>
      <c r="AM325">
        <v>2.0625</v>
      </c>
      <c r="AN325" t="s">
        <v>1020</v>
      </c>
      <c r="AO325" t="s">
        <v>59</v>
      </c>
      <c r="AP325" t="s">
        <v>1136</v>
      </c>
      <c r="AQ325">
        <v>11</v>
      </c>
      <c r="AR325">
        <v>82</v>
      </c>
      <c r="AS325">
        <v>22</v>
      </c>
      <c r="AT325">
        <v>4.5</v>
      </c>
      <c r="AU325">
        <v>11</v>
      </c>
      <c r="AV325" t="s">
        <v>1137</v>
      </c>
      <c r="AW325" t="s">
        <v>1138</v>
      </c>
      <c r="AX325" t="s">
        <v>1139</v>
      </c>
    </row>
    <row r="326" spans="1:50" x14ac:dyDescent="0.25">
      <c r="A326" t="s">
        <v>1140</v>
      </c>
      <c r="B326" t="s">
        <v>994</v>
      </c>
      <c r="C326">
        <v>0</v>
      </c>
      <c r="D326">
        <v>0</v>
      </c>
      <c r="H326">
        <v>0</v>
      </c>
      <c r="J326">
        <v>615</v>
      </c>
      <c r="K326">
        <v>303</v>
      </c>
      <c r="M326">
        <v>615</v>
      </c>
      <c r="N326">
        <v>0</v>
      </c>
      <c r="O326">
        <v>0</v>
      </c>
      <c r="P326">
        <v>0</v>
      </c>
      <c r="Q326">
        <v>0</v>
      </c>
      <c r="U326" t="s">
        <v>65</v>
      </c>
      <c r="V326">
        <v>42</v>
      </c>
      <c r="X326" t="s">
        <v>55</v>
      </c>
      <c r="Y326">
        <v>0</v>
      </c>
      <c r="Z326">
        <v>121.10899999999999</v>
      </c>
      <c r="AB326" t="s">
        <v>269</v>
      </c>
      <c r="AD326" t="s">
        <v>995</v>
      </c>
      <c r="AE326">
        <v>0</v>
      </c>
      <c r="AF326">
        <v>3</v>
      </c>
      <c r="AG326">
        <v>1</v>
      </c>
      <c r="AH326">
        <v>1.5</v>
      </c>
      <c r="AI326">
        <v>256</v>
      </c>
      <c r="AJ326">
        <v>256</v>
      </c>
      <c r="AK326">
        <v>60</v>
      </c>
      <c r="AL326" t="s">
        <v>1010</v>
      </c>
      <c r="AM326">
        <v>2.5</v>
      </c>
      <c r="AN326" t="s">
        <v>1072</v>
      </c>
      <c r="AO326" t="s">
        <v>67</v>
      </c>
      <c r="AP326" t="s">
        <v>997</v>
      </c>
      <c r="AQ326">
        <v>15</v>
      </c>
      <c r="AR326">
        <v>48</v>
      </c>
      <c r="AS326">
        <v>97</v>
      </c>
      <c r="AT326">
        <v>4.2</v>
      </c>
      <c r="AU326">
        <v>9</v>
      </c>
      <c r="AV326" t="s">
        <v>1141</v>
      </c>
      <c r="AW326" t="s">
        <v>1142</v>
      </c>
      <c r="AX326" t="s">
        <v>1143</v>
      </c>
    </row>
    <row r="327" spans="1:50" x14ac:dyDescent="0.25">
      <c r="A327" t="s">
        <v>1144</v>
      </c>
      <c r="B327" t="s">
        <v>994</v>
      </c>
      <c r="C327">
        <v>0</v>
      </c>
      <c r="H327">
        <v>0</v>
      </c>
      <c r="J327">
        <v>210</v>
      </c>
      <c r="K327">
        <v>197</v>
      </c>
      <c r="M327">
        <v>210</v>
      </c>
      <c r="N327">
        <v>0</v>
      </c>
      <c r="O327">
        <v>0</v>
      </c>
      <c r="P327">
        <v>0</v>
      </c>
      <c r="Q327">
        <v>1</v>
      </c>
      <c r="U327" t="s">
        <v>53</v>
      </c>
      <c r="V327">
        <v>35</v>
      </c>
      <c r="X327" t="s">
        <v>80</v>
      </c>
      <c r="Y327">
        <v>0</v>
      </c>
      <c r="Z327">
        <v>81.647000000000006</v>
      </c>
      <c r="AB327" t="s">
        <v>94</v>
      </c>
      <c r="AD327" t="s">
        <v>995</v>
      </c>
      <c r="AE327">
        <v>0</v>
      </c>
      <c r="AF327">
        <v>3</v>
      </c>
      <c r="AG327">
        <v>1</v>
      </c>
      <c r="AH327">
        <v>1.5</v>
      </c>
      <c r="AI327">
        <v>256</v>
      </c>
      <c r="AJ327">
        <v>256</v>
      </c>
      <c r="AK327">
        <v>60</v>
      </c>
      <c r="AL327" t="s">
        <v>75</v>
      </c>
      <c r="AM327">
        <v>2.2000000000000002</v>
      </c>
      <c r="AN327" t="s">
        <v>996</v>
      </c>
      <c r="AO327" t="s">
        <v>67</v>
      </c>
      <c r="AP327" t="s">
        <v>997</v>
      </c>
      <c r="AQ327">
        <v>15</v>
      </c>
      <c r="AR327">
        <v>35</v>
      </c>
      <c r="AS327">
        <v>71</v>
      </c>
      <c r="AT327">
        <v>4.2</v>
      </c>
      <c r="AU327">
        <v>8.4</v>
      </c>
      <c r="AV327" t="s">
        <v>1145</v>
      </c>
      <c r="AW327" t="s">
        <v>1146</v>
      </c>
      <c r="AX327" t="s">
        <v>1147</v>
      </c>
    </row>
    <row r="328" spans="1:50" x14ac:dyDescent="0.25">
      <c r="A328" t="s">
        <v>1148</v>
      </c>
      <c r="B328" t="s">
        <v>994</v>
      </c>
      <c r="C328">
        <v>0</v>
      </c>
      <c r="H328">
        <v>1</v>
      </c>
      <c r="J328">
        <v>1655</v>
      </c>
      <c r="K328">
        <v>0</v>
      </c>
      <c r="M328">
        <v>0</v>
      </c>
      <c r="N328">
        <v>0</v>
      </c>
      <c r="O328">
        <v>0</v>
      </c>
      <c r="P328">
        <v>0</v>
      </c>
      <c r="Q328">
        <v>0</v>
      </c>
      <c r="U328" t="s">
        <v>65</v>
      </c>
      <c r="V328">
        <v>54</v>
      </c>
      <c r="X328" t="s">
        <v>80</v>
      </c>
      <c r="Y328">
        <v>0</v>
      </c>
      <c r="Z328">
        <v>77.111000000000004</v>
      </c>
      <c r="AB328" t="s">
        <v>94</v>
      </c>
      <c r="AD328" t="s">
        <v>995</v>
      </c>
      <c r="AE328">
        <v>0</v>
      </c>
      <c r="AF328">
        <v>3</v>
      </c>
      <c r="AG328">
        <v>1</v>
      </c>
      <c r="AH328">
        <v>1.5</v>
      </c>
      <c r="AI328">
        <v>256</v>
      </c>
      <c r="AJ328">
        <v>256</v>
      </c>
      <c r="AK328">
        <v>56</v>
      </c>
      <c r="AL328" t="s">
        <v>1149</v>
      </c>
      <c r="AM328">
        <v>2.5</v>
      </c>
      <c r="AN328" t="s">
        <v>1072</v>
      </c>
      <c r="AO328" t="s">
        <v>67</v>
      </c>
      <c r="AP328" t="s">
        <v>997</v>
      </c>
      <c r="AQ328">
        <v>15</v>
      </c>
      <c r="AR328">
        <v>38</v>
      </c>
      <c r="AS328">
        <v>77</v>
      </c>
      <c r="AT328">
        <v>4.2</v>
      </c>
      <c r="AU328">
        <v>9</v>
      </c>
      <c r="AV328" t="s">
        <v>1150</v>
      </c>
      <c r="AW328" t="s">
        <v>1151</v>
      </c>
      <c r="AX328" t="s">
        <v>1152</v>
      </c>
    </row>
    <row r="329" spans="1:50" x14ac:dyDescent="0.25">
      <c r="A329" t="s">
        <v>1153</v>
      </c>
      <c r="B329" t="s">
        <v>994</v>
      </c>
      <c r="C329">
        <v>0</v>
      </c>
      <c r="H329">
        <v>0</v>
      </c>
      <c r="J329">
        <v>1622</v>
      </c>
      <c r="K329">
        <v>0</v>
      </c>
      <c r="M329">
        <v>0</v>
      </c>
      <c r="N329">
        <v>1</v>
      </c>
      <c r="O329">
        <v>1</v>
      </c>
      <c r="P329">
        <v>1</v>
      </c>
      <c r="Q329">
        <v>0</v>
      </c>
      <c r="U329" t="s">
        <v>93</v>
      </c>
      <c r="V329">
        <v>67</v>
      </c>
      <c r="X329" t="s">
        <v>55</v>
      </c>
      <c r="Y329">
        <v>0</v>
      </c>
      <c r="Z329">
        <v>83</v>
      </c>
      <c r="AB329" t="s">
        <v>118</v>
      </c>
      <c r="AD329" t="s">
        <v>995</v>
      </c>
      <c r="AE329">
        <v>0</v>
      </c>
      <c r="AF329">
        <v>6</v>
      </c>
      <c r="AG329">
        <v>1</v>
      </c>
      <c r="AH329">
        <v>1.5</v>
      </c>
      <c r="AI329">
        <v>256</v>
      </c>
      <c r="AJ329">
        <v>256</v>
      </c>
      <c r="AK329">
        <v>70</v>
      </c>
      <c r="AL329" t="s">
        <v>1010</v>
      </c>
      <c r="AM329">
        <v>3</v>
      </c>
      <c r="AN329" t="s">
        <v>1154</v>
      </c>
      <c r="AO329" t="s">
        <v>1155</v>
      </c>
      <c r="AP329" t="s">
        <v>1156</v>
      </c>
      <c r="AQ329">
        <v>11</v>
      </c>
      <c r="AR329">
        <v>1000</v>
      </c>
      <c r="AS329">
        <v>1800</v>
      </c>
      <c r="AT329">
        <v>4.5141</v>
      </c>
      <c r="AU329">
        <v>32.411200000000001</v>
      </c>
      <c r="AW329" t="s">
        <v>1157</v>
      </c>
      <c r="AX329" t="s">
        <v>1158</v>
      </c>
    </row>
    <row r="330" spans="1:50" x14ac:dyDescent="0.25">
      <c r="A330" t="s">
        <v>1159</v>
      </c>
      <c r="B330" t="s">
        <v>994</v>
      </c>
      <c r="C330">
        <v>0</v>
      </c>
      <c r="H330">
        <v>0</v>
      </c>
      <c r="J330">
        <v>658</v>
      </c>
      <c r="K330">
        <v>524</v>
      </c>
      <c r="M330">
        <v>658</v>
      </c>
      <c r="N330">
        <v>0</v>
      </c>
      <c r="O330">
        <v>0</v>
      </c>
      <c r="P330">
        <v>0</v>
      </c>
      <c r="Q330">
        <v>1</v>
      </c>
      <c r="U330" t="s">
        <v>53</v>
      </c>
      <c r="V330">
        <v>54</v>
      </c>
      <c r="X330" t="s">
        <v>80</v>
      </c>
      <c r="Y330">
        <v>0</v>
      </c>
      <c r="Z330">
        <v>68.039000000000001</v>
      </c>
      <c r="AB330" t="s">
        <v>74</v>
      </c>
      <c r="AD330" t="s">
        <v>995</v>
      </c>
      <c r="AE330">
        <v>0</v>
      </c>
      <c r="AF330">
        <v>3</v>
      </c>
      <c r="AG330">
        <v>1</v>
      </c>
      <c r="AH330">
        <v>1.5</v>
      </c>
      <c r="AI330">
        <v>256</v>
      </c>
      <c r="AJ330">
        <v>256</v>
      </c>
      <c r="AK330">
        <v>60</v>
      </c>
      <c r="AL330" t="s">
        <v>1039</v>
      </c>
      <c r="AM330">
        <v>2</v>
      </c>
      <c r="AN330" t="s">
        <v>996</v>
      </c>
      <c r="AO330" t="s">
        <v>67</v>
      </c>
      <c r="AP330" t="s">
        <v>997</v>
      </c>
      <c r="AQ330">
        <v>15</v>
      </c>
      <c r="AR330">
        <v>14</v>
      </c>
      <c r="AS330">
        <v>29</v>
      </c>
      <c r="AT330">
        <v>4.2</v>
      </c>
      <c r="AU330">
        <v>8.4</v>
      </c>
      <c r="AV330" t="s">
        <v>1160</v>
      </c>
      <c r="AW330" t="s">
        <v>1161</v>
      </c>
      <c r="AX330" t="s">
        <v>1162</v>
      </c>
    </row>
    <row r="331" spans="1:50" x14ac:dyDescent="0.25">
      <c r="A331" t="s">
        <v>1163</v>
      </c>
      <c r="B331" t="s">
        <v>994</v>
      </c>
      <c r="C331">
        <v>0</v>
      </c>
      <c r="H331">
        <v>0</v>
      </c>
      <c r="J331">
        <v>869</v>
      </c>
      <c r="K331">
        <v>216</v>
      </c>
      <c r="M331">
        <v>869</v>
      </c>
      <c r="N331">
        <v>1</v>
      </c>
      <c r="O331">
        <v>1</v>
      </c>
      <c r="P331">
        <v>1</v>
      </c>
      <c r="Q331">
        <v>0</v>
      </c>
      <c r="U331" t="s">
        <v>93</v>
      </c>
      <c r="V331">
        <v>34</v>
      </c>
      <c r="X331" t="s">
        <v>80</v>
      </c>
      <c r="Y331">
        <v>0</v>
      </c>
      <c r="Z331">
        <v>65.771000000000001</v>
      </c>
      <c r="AB331" t="s">
        <v>74</v>
      </c>
      <c r="AD331" t="s">
        <v>995</v>
      </c>
      <c r="AE331">
        <v>0</v>
      </c>
      <c r="AF331">
        <v>3</v>
      </c>
      <c r="AG331">
        <v>1</v>
      </c>
      <c r="AH331">
        <v>1.5</v>
      </c>
      <c r="AI331">
        <v>256</v>
      </c>
      <c r="AJ331">
        <v>256</v>
      </c>
      <c r="AK331">
        <v>60</v>
      </c>
      <c r="AL331" t="s">
        <v>75</v>
      </c>
      <c r="AM331">
        <v>2</v>
      </c>
      <c r="AN331" t="s">
        <v>996</v>
      </c>
      <c r="AO331" t="s">
        <v>67</v>
      </c>
      <c r="AP331" t="s">
        <v>997</v>
      </c>
      <c r="AQ331">
        <v>15</v>
      </c>
      <c r="AR331">
        <v>22</v>
      </c>
      <c r="AS331">
        <v>44</v>
      </c>
      <c r="AT331">
        <v>4.2</v>
      </c>
      <c r="AU331">
        <v>8.4</v>
      </c>
      <c r="AV331" t="s">
        <v>1164</v>
      </c>
      <c r="AW331" t="s">
        <v>1161</v>
      </c>
      <c r="AX331" t="s">
        <v>1165</v>
      </c>
    </row>
    <row r="332" spans="1:50" x14ac:dyDescent="0.25">
      <c r="A332" t="s">
        <v>1166</v>
      </c>
      <c r="B332" t="s">
        <v>994</v>
      </c>
      <c r="C332">
        <v>0</v>
      </c>
      <c r="J332">
        <v>2063</v>
      </c>
      <c r="K332">
        <v>369</v>
      </c>
      <c r="M332">
        <v>0</v>
      </c>
      <c r="N332">
        <v>0</v>
      </c>
      <c r="O332">
        <v>0</v>
      </c>
      <c r="P332">
        <v>0</v>
      </c>
      <c r="Q332">
        <v>0</v>
      </c>
      <c r="U332" t="s">
        <v>65</v>
      </c>
      <c r="V332">
        <v>60</v>
      </c>
      <c r="X332" t="s">
        <v>80</v>
      </c>
      <c r="Y332">
        <v>0</v>
      </c>
      <c r="Z332">
        <v>86.183000000000007</v>
      </c>
      <c r="AB332" t="s">
        <v>118</v>
      </c>
      <c r="AD332" t="s">
        <v>995</v>
      </c>
      <c r="AE332">
        <v>0</v>
      </c>
      <c r="AF332">
        <v>3</v>
      </c>
      <c r="AG332">
        <v>1</v>
      </c>
      <c r="AH332">
        <v>1.5</v>
      </c>
      <c r="AI332">
        <v>256</v>
      </c>
      <c r="AJ332">
        <v>256</v>
      </c>
      <c r="AK332">
        <v>60</v>
      </c>
      <c r="AL332" t="s">
        <v>75</v>
      </c>
      <c r="AM332">
        <v>2.2000000000000002</v>
      </c>
      <c r="AN332" t="s">
        <v>996</v>
      </c>
      <c r="AO332" t="s">
        <v>67</v>
      </c>
      <c r="AP332" t="s">
        <v>997</v>
      </c>
      <c r="AQ332">
        <v>15</v>
      </c>
      <c r="AR332">
        <v>16</v>
      </c>
      <c r="AS332">
        <v>32</v>
      </c>
      <c r="AT332">
        <v>4.2</v>
      </c>
      <c r="AU332">
        <v>8.4</v>
      </c>
      <c r="AV332" t="s">
        <v>1167</v>
      </c>
      <c r="AW332" t="s">
        <v>1168</v>
      </c>
      <c r="AX332" t="s">
        <v>1169</v>
      </c>
    </row>
    <row r="333" spans="1:50" x14ac:dyDescent="0.25">
      <c r="A333" t="s">
        <v>1170</v>
      </c>
      <c r="B333" t="s">
        <v>994</v>
      </c>
      <c r="C333">
        <v>0</v>
      </c>
      <c r="H333">
        <v>0</v>
      </c>
      <c r="J333">
        <v>1273</v>
      </c>
      <c r="K333">
        <v>0</v>
      </c>
      <c r="M333">
        <v>0</v>
      </c>
      <c r="N333">
        <v>1</v>
      </c>
      <c r="O333">
        <v>1</v>
      </c>
      <c r="P333">
        <v>1</v>
      </c>
      <c r="Q333">
        <v>1</v>
      </c>
      <c r="U333" t="s">
        <v>72</v>
      </c>
      <c r="V333">
        <v>55</v>
      </c>
      <c r="X333" t="s">
        <v>55</v>
      </c>
      <c r="Y333">
        <v>0</v>
      </c>
      <c r="Z333">
        <v>118</v>
      </c>
      <c r="AB333" t="s">
        <v>269</v>
      </c>
      <c r="AD333" t="s">
        <v>995</v>
      </c>
      <c r="AE333">
        <v>0</v>
      </c>
      <c r="AF333">
        <v>6</v>
      </c>
      <c r="AG333">
        <v>1</v>
      </c>
      <c r="AH333">
        <v>1.5</v>
      </c>
      <c r="AI333">
        <v>256</v>
      </c>
      <c r="AJ333">
        <v>256</v>
      </c>
      <c r="AK333">
        <v>55</v>
      </c>
      <c r="AL333" t="s">
        <v>1010</v>
      </c>
      <c r="AM333">
        <v>3</v>
      </c>
      <c r="AN333" t="s">
        <v>1154</v>
      </c>
      <c r="AO333" t="s">
        <v>1155</v>
      </c>
      <c r="AP333" t="s">
        <v>1156</v>
      </c>
      <c r="AQ333">
        <v>11</v>
      </c>
      <c r="AR333">
        <v>571</v>
      </c>
      <c r="AS333">
        <v>1173</v>
      </c>
      <c r="AT333">
        <v>4.5471000000000004</v>
      </c>
      <c r="AU333">
        <v>32.411200000000001</v>
      </c>
      <c r="AV333" t="s">
        <v>1171</v>
      </c>
      <c r="AW333" t="s">
        <v>1172</v>
      </c>
      <c r="AX333" t="s">
        <v>1173</v>
      </c>
    </row>
    <row r="334" spans="1:50" x14ac:dyDescent="0.25">
      <c r="A334" t="s">
        <v>1174</v>
      </c>
      <c r="B334" t="s">
        <v>994</v>
      </c>
      <c r="C334">
        <v>0</v>
      </c>
      <c r="H334">
        <v>0</v>
      </c>
      <c r="J334">
        <v>1670</v>
      </c>
      <c r="K334">
        <v>0</v>
      </c>
      <c r="M334">
        <v>0</v>
      </c>
      <c r="N334">
        <v>0</v>
      </c>
      <c r="O334">
        <v>0</v>
      </c>
      <c r="P334">
        <v>0</v>
      </c>
      <c r="Q334">
        <v>0</v>
      </c>
      <c r="U334" t="s">
        <v>65</v>
      </c>
      <c r="V334">
        <v>57</v>
      </c>
      <c r="X334" t="s">
        <v>80</v>
      </c>
      <c r="Y334">
        <v>0</v>
      </c>
      <c r="Z334">
        <v>71.668000000000006</v>
      </c>
      <c r="AB334" t="s">
        <v>94</v>
      </c>
      <c r="AD334" t="s">
        <v>995</v>
      </c>
      <c r="AE334">
        <v>0</v>
      </c>
      <c r="AF334">
        <v>3</v>
      </c>
      <c r="AG334">
        <v>1</v>
      </c>
      <c r="AH334">
        <v>1.5</v>
      </c>
      <c r="AI334">
        <v>256</v>
      </c>
      <c r="AJ334">
        <v>256</v>
      </c>
      <c r="AK334">
        <v>60</v>
      </c>
      <c r="AL334" t="s">
        <v>1149</v>
      </c>
      <c r="AM334">
        <v>2.5</v>
      </c>
      <c r="AN334" t="s">
        <v>1072</v>
      </c>
      <c r="AO334" t="s">
        <v>67</v>
      </c>
      <c r="AP334" t="s">
        <v>997</v>
      </c>
      <c r="AQ334">
        <v>15</v>
      </c>
      <c r="AR334">
        <v>41</v>
      </c>
      <c r="AS334">
        <v>83</v>
      </c>
      <c r="AT334">
        <v>4.2</v>
      </c>
      <c r="AU334">
        <v>9</v>
      </c>
      <c r="AV334" t="s">
        <v>1175</v>
      </c>
      <c r="AW334" t="s">
        <v>1176</v>
      </c>
      <c r="AX334" t="s">
        <v>1177</v>
      </c>
    </row>
    <row r="335" spans="1:50" x14ac:dyDescent="0.25">
      <c r="A335" t="s">
        <v>1178</v>
      </c>
      <c r="B335" t="s">
        <v>994</v>
      </c>
      <c r="C335">
        <v>0</v>
      </c>
      <c r="D335">
        <v>1</v>
      </c>
      <c r="J335">
        <v>1044</v>
      </c>
      <c r="K335">
        <v>469</v>
      </c>
      <c r="M335">
        <v>1044</v>
      </c>
      <c r="N335">
        <v>0</v>
      </c>
      <c r="O335">
        <v>0</v>
      </c>
      <c r="P335">
        <v>0</v>
      </c>
      <c r="Q335">
        <v>0</v>
      </c>
      <c r="U335" t="s">
        <v>65</v>
      </c>
      <c r="V335">
        <v>58</v>
      </c>
      <c r="X335" t="s">
        <v>80</v>
      </c>
      <c r="Y335">
        <v>0</v>
      </c>
      <c r="Z335">
        <v>58.966999999999999</v>
      </c>
      <c r="AB335" t="s">
        <v>74</v>
      </c>
      <c r="AD335" t="s">
        <v>995</v>
      </c>
      <c r="AE335">
        <v>0</v>
      </c>
      <c r="AF335">
        <v>3</v>
      </c>
      <c r="AG335">
        <v>1</v>
      </c>
      <c r="AH335">
        <v>1.5</v>
      </c>
      <c r="AI335">
        <v>256</v>
      </c>
      <c r="AJ335">
        <v>256</v>
      </c>
      <c r="AK335">
        <v>56</v>
      </c>
      <c r="AL335" t="s">
        <v>1127</v>
      </c>
      <c r="AM335">
        <v>2.5</v>
      </c>
      <c r="AN335" t="s">
        <v>1072</v>
      </c>
      <c r="AO335" t="s">
        <v>67</v>
      </c>
      <c r="AP335" t="s">
        <v>997</v>
      </c>
      <c r="AQ335">
        <v>15</v>
      </c>
      <c r="AR335">
        <v>54</v>
      </c>
      <c r="AS335">
        <v>108</v>
      </c>
      <c r="AT335">
        <v>4.2</v>
      </c>
      <c r="AU335">
        <v>9</v>
      </c>
      <c r="AV335" t="s">
        <v>1179</v>
      </c>
      <c r="AW335" t="s">
        <v>1176</v>
      </c>
      <c r="AX335" t="s">
        <v>1180</v>
      </c>
    </row>
    <row r="336" spans="1:50" x14ac:dyDescent="0.25">
      <c r="A336" t="s">
        <v>1181</v>
      </c>
      <c r="B336" t="s">
        <v>994</v>
      </c>
      <c r="C336">
        <v>0</v>
      </c>
      <c r="H336">
        <v>0</v>
      </c>
      <c r="J336">
        <v>1947</v>
      </c>
      <c r="K336">
        <v>0</v>
      </c>
      <c r="M336">
        <v>0</v>
      </c>
      <c r="N336">
        <v>1</v>
      </c>
      <c r="O336">
        <v>1</v>
      </c>
      <c r="P336">
        <v>1</v>
      </c>
      <c r="Q336">
        <v>0</v>
      </c>
      <c r="U336" t="s">
        <v>93</v>
      </c>
      <c r="V336">
        <v>57</v>
      </c>
      <c r="X336" t="s">
        <v>80</v>
      </c>
      <c r="Y336">
        <v>0</v>
      </c>
      <c r="Z336">
        <v>71.668000000000006</v>
      </c>
      <c r="AB336" t="s">
        <v>94</v>
      </c>
      <c r="AD336" t="s">
        <v>995</v>
      </c>
      <c r="AE336">
        <v>0</v>
      </c>
      <c r="AF336">
        <v>3</v>
      </c>
      <c r="AG336">
        <v>1</v>
      </c>
      <c r="AH336">
        <v>1.5</v>
      </c>
      <c r="AI336">
        <v>256</v>
      </c>
      <c r="AJ336">
        <v>256</v>
      </c>
      <c r="AK336">
        <v>60</v>
      </c>
      <c r="AL336" t="s">
        <v>75</v>
      </c>
      <c r="AM336">
        <v>2</v>
      </c>
      <c r="AN336" t="s">
        <v>996</v>
      </c>
      <c r="AO336" t="s">
        <v>67</v>
      </c>
      <c r="AP336" t="s">
        <v>997</v>
      </c>
      <c r="AQ336">
        <v>15</v>
      </c>
      <c r="AR336">
        <v>23</v>
      </c>
      <c r="AS336">
        <v>46</v>
      </c>
      <c r="AT336">
        <v>4.2</v>
      </c>
      <c r="AU336">
        <v>8.4</v>
      </c>
      <c r="AV336" t="s">
        <v>1182</v>
      </c>
      <c r="AW336" t="s">
        <v>1183</v>
      </c>
      <c r="AX336" t="s">
        <v>1184</v>
      </c>
    </row>
    <row r="337" spans="1:50" x14ac:dyDescent="0.25">
      <c r="A337" t="s">
        <v>1185</v>
      </c>
      <c r="B337" t="s">
        <v>994</v>
      </c>
      <c r="C337">
        <v>0</v>
      </c>
      <c r="H337">
        <v>1</v>
      </c>
      <c r="J337">
        <v>1596</v>
      </c>
      <c r="K337">
        <v>0</v>
      </c>
      <c r="M337">
        <v>0</v>
      </c>
      <c r="N337">
        <v>1</v>
      </c>
      <c r="O337">
        <v>1</v>
      </c>
      <c r="P337">
        <v>0</v>
      </c>
      <c r="Q337">
        <v>0</v>
      </c>
      <c r="U337" t="s">
        <v>93</v>
      </c>
      <c r="V337">
        <v>36</v>
      </c>
      <c r="Y337">
        <v>0</v>
      </c>
      <c r="Z337">
        <v>91.171999999999997</v>
      </c>
      <c r="AB337" t="s">
        <v>118</v>
      </c>
      <c r="AD337" t="s">
        <v>995</v>
      </c>
      <c r="AE337">
        <v>0</v>
      </c>
      <c r="AF337">
        <v>3</v>
      </c>
      <c r="AG337">
        <v>1</v>
      </c>
      <c r="AH337">
        <v>1.5</v>
      </c>
      <c r="AI337">
        <v>256</v>
      </c>
      <c r="AJ337">
        <v>256</v>
      </c>
      <c r="AK337">
        <v>60</v>
      </c>
      <c r="AL337" t="s">
        <v>75</v>
      </c>
      <c r="AM337">
        <v>2</v>
      </c>
      <c r="AN337" t="s">
        <v>996</v>
      </c>
      <c r="AO337" t="s">
        <v>67</v>
      </c>
      <c r="AP337" t="s">
        <v>997</v>
      </c>
      <c r="AQ337">
        <v>15</v>
      </c>
      <c r="AR337">
        <v>15</v>
      </c>
      <c r="AS337">
        <v>31</v>
      </c>
      <c r="AT337">
        <v>4.2</v>
      </c>
      <c r="AU337">
        <v>8.4</v>
      </c>
      <c r="AV337" t="s">
        <v>1186</v>
      </c>
      <c r="AW337" t="s">
        <v>1187</v>
      </c>
      <c r="AX337" t="s">
        <v>1188</v>
      </c>
    </row>
    <row r="338" spans="1:50" x14ac:dyDescent="0.25">
      <c r="A338" t="s">
        <v>1189</v>
      </c>
      <c r="B338" t="s">
        <v>994</v>
      </c>
      <c r="C338">
        <v>0</v>
      </c>
      <c r="H338">
        <v>0</v>
      </c>
      <c r="J338">
        <v>1841</v>
      </c>
      <c r="K338">
        <v>0</v>
      </c>
      <c r="M338">
        <v>0</v>
      </c>
      <c r="N338">
        <v>0</v>
      </c>
      <c r="O338">
        <v>0</v>
      </c>
      <c r="P338">
        <v>0</v>
      </c>
      <c r="Q338">
        <v>0</v>
      </c>
      <c r="U338" t="s">
        <v>65</v>
      </c>
      <c r="V338">
        <v>55</v>
      </c>
      <c r="X338" t="s">
        <v>80</v>
      </c>
      <c r="Y338">
        <v>0</v>
      </c>
      <c r="Z338">
        <v>136</v>
      </c>
      <c r="AB338" t="s">
        <v>269</v>
      </c>
      <c r="AD338" t="s">
        <v>995</v>
      </c>
      <c r="AE338">
        <v>0</v>
      </c>
      <c r="AF338">
        <v>3</v>
      </c>
      <c r="AG338">
        <v>0</v>
      </c>
      <c r="AH338">
        <v>1.5</v>
      </c>
      <c r="AI338">
        <v>256</v>
      </c>
      <c r="AJ338">
        <v>256</v>
      </c>
      <c r="AK338">
        <v>64</v>
      </c>
      <c r="AL338" t="s">
        <v>75</v>
      </c>
      <c r="AM338">
        <v>2.0625</v>
      </c>
      <c r="AN338" t="s">
        <v>1020</v>
      </c>
      <c r="AO338" t="s">
        <v>59</v>
      </c>
      <c r="AP338" t="s">
        <v>1136</v>
      </c>
      <c r="AQ338">
        <v>11</v>
      </c>
      <c r="AR338">
        <v>57</v>
      </c>
      <c r="AS338">
        <v>15</v>
      </c>
      <c r="AT338">
        <v>4.5</v>
      </c>
      <c r="AU338">
        <v>11</v>
      </c>
      <c r="AV338" t="s">
        <v>1190</v>
      </c>
      <c r="AW338" t="s">
        <v>1191</v>
      </c>
      <c r="AX338" t="s">
        <v>1192</v>
      </c>
    </row>
    <row r="339" spans="1:50" x14ac:dyDescent="0.25">
      <c r="A339" t="s">
        <v>1193</v>
      </c>
      <c r="B339" t="s">
        <v>994</v>
      </c>
      <c r="C339">
        <v>0</v>
      </c>
      <c r="H339">
        <v>1</v>
      </c>
      <c r="J339">
        <v>1725</v>
      </c>
      <c r="K339">
        <v>0</v>
      </c>
      <c r="M339">
        <v>0</v>
      </c>
      <c r="N339">
        <v>0</v>
      </c>
      <c r="O339">
        <v>0</v>
      </c>
      <c r="P339">
        <v>0</v>
      </c>
      <c r="Q339">
        <v>1</v>
      </c>
      <c r="U339" t="s">
        <v>53</v>
      </c>
      <c r="V339">
        <v>49</v>
      </c>
      <c r="X339" t="s">
        <v>80</v>
      </c>
      <c r="Y339">
        <v>0</v>
      </c>
      <c r="Z339">
        <v>63.503</v>
      </c>
      <c r="AB339" t="s">
        <v>74</v>
      </c>
      <c r="AD339" t="s">
        <v>995</v>
      </c>
      <c r="AE339">
        <v>0</v>
      </c>
      <c r="AF339">
        <v>3</v>
      </c>
      <c r="AG339">
        <v>1</v>
      </c>
      <c r="AH339">
        <v>1.5</v>
      </c>
      <c r="AI339">
        <v>256</v>
      </c>
      <c r="AJ339">
        <v>256</v>
      </c>
      <c r="AK339">
        <v>56</v>
      </c>
      <c r="AL339" t="s">
        <v>1194</v>
      </c>
      <c r="AM339">
        <v>2.5</v>
      </c>
      <c r="AN339" t="s">
        <v>1072</v>
      </c>
      <c r="AO339" t="s">
        <v>67</v>
      </c>
      <c r="AP339" t="s">
        <v>997</v>
      </c>
      <c r="AQ339">
        <v>15</v>
      </c>
      <c r="AR339">
        <v>39</v>
      </c>
      <c r="AS339">
        <v>79</v>
      </c>
      <c r="AT339">
        <v>4.2</v>
      </c>
      <c r="AU339">
        <v>9</v>
      </c>
      <c r="AV339" t="s">
        <v>1195</v>
      </c>
      <c r="AW339" t="s">
        <v>1196</v>
      </c>
      <c r="AX339" t="s">
        <v>1197</v>
      </c>
    </row>
    <row r="340" spans="1:50" x14ac:dyDescent="0.25">
      <c r="A340" t="s">
        <v>1198</v>
      </c>
      <c r="B340" t="s">
        <v>994</v>
      </c>
      <c r="C340">
        <v>0</v>
      </c>
      <c r="H340">
        <v>0</v>
      </c>
      <c r="J340">
        <v>1981</v>
      </c>
      <c r="K340">
        <v>0</v>
      </c>
      <c r="M340">
        <v>0</v>
      </c>
      <c r="N340">
        <v>1</v>
      </c>
      <c r="O340">
        <v>1</v>
      </c>
      <c r="P340">
        <v>0</v>
      </c>
      <c r="Q340">
        <v>0</v>
      </c>
      <c r="U340" t="s">
        <v>93</v>
      </c>
      <c r="V340">
        <v>36</v>
      </c>
      <c r="X340" t="s">
        <v>80</v>
      </c>
      <c r="Y340">
        <v>0</v>
      </c>
      <c r="Z340">
        <v>49.031999999999996</v>
      </c>
      <c r="AB340" t="s">
        <v>247</v>
      </c>
      <c r="AD340" t="s">
        <v>995</v>
      </c>
      <c r="AE340">
        <v>0</v>
      </c>
      <c r="AF340">
        <v>3</v>
      </c>
      <c r="AG340">
        <v>1</v>
      </c>
      <c r="AH340">
        <v>1.5</v>
      </c>
      <c r="AI340">
        <v>256</v>
      </c>
      <c r="AJ340">
        <v>256</v>
      </c>
      <c r="AK340">
        <v>64</v>
      </c>
      <c r="AL340" t="s">
        <v>1010</v>
      </c>
      <c r="AM340">
        <v>2</v>
      </c>
      <c r="AN340" t="s">
        <v>1011</v>
      </c>
      <c r="AO340" t="s">
        <v>59</v>
      </c>
      <c r="AP340" t="s">
        <v>1123</v>
      </c>
      <c r="AQ340">
        <v>11</v>
      </c>
      <c r="AR340">
        <v>40</v>
      </c>
      <c r="AS340">
        <v>104</v>
      </c>
      <c r="AT340">
        <v>4.76</v>
      </c>
      <c r="AU340">
        <v>27</v>
      </c>
      <c r="AV340" t="s">
        <v>1199</v>
      </c>
      <c r="AW340" t="s">
        <v>1200</v>
      </c>
      <c r="AX340" t="s">
        <v>1201</v>
      </c>
    </row>
    <row r="341" spans="1:50" x14ac:dyDescent="0.25">
      <c r="A341" t="s">
        <v>1202</v>
      </c>
      <c r="B341" t="s">
        <v>994</v>
      </c>
      <c r="C341">
        <v>0</v>
      </c>
      <c r="H341">
        <v>1</v>
      </c>
      <c r="J341">
        <v>1891</v>
      </c>
      <c r="K341">
        <v>0</v>
      </c>
      <c r="M341">
        <v>0</v>
      </c>
      <c r="N341">
        <v>0</v>
      </c>
      <c r="O341">
        <v>0</v>
      </c>
      <c r="P341">
        <v>0</v>
      </c>
      <c r="Q341">
        <v>0</v>
      </c>
      <c r="U341" t="s">
        <v>65</v>
      </c>
      <c r="V341">
        <v>33</v>
      </c>
      <c r="X341" t="s">
        <v>80</v>
      </c>
      <c r="Y341">
        <v>0</v>
      </c>
      <c r="Z341">
        <v>74.843000000000004</v>
      </c>
      <c r="AB341" t="s">
        <v>94</v>
      </c>
      <c r="AD341" t="s">
        <v>995</v>
      </c>
      <c r="AE341">
        <v>0</v>
      </c>
      <c r="AF341">
        <v>3</v>
      </c>
      <c r="AG341">
        <v>1</v>
      </c>
      <c r="AH341">
        <v>1.5</v>
      </c>
      <c r="AI341">
        <v>256</v>
      </c>
      <c r="AJ341">
        <v>256</v>
      </c>
      <c r="AK341">
        <v>60</v>
      </c>
      <c r="AL341" t="s">
        <v>1039</v>
      </c>
      <c r="AM341">
        <v>2</v>
      </c>
      <c r="AN341" t="s">
        <v>996</v>
      </c>
      <c r="AO341" t="s">
        <v>67</v>
      </c>
      <c r="AP341" t="s">
        <v>997</v>
      </c>
      <c r="AQ341">
        <v>15</v>
      </c>
      <c r="AR341">
        <v>18</v>
      </c>
      <c r="AS341">
        <v>37</v>
      </c>
      <c r="AT341">
        <v>4.2</v>
      </c>
      <c r="AU341">
        <v>8.4</v>
      </c>
      <c r="AV341" t="s">
        <v>1203</v>
      </c>
      <c r="AW341" t="s">
        <v>1204</v>
      </c>
      <c r="AX341" t="s">
        <v>1205</v>
      </c>
    </row>
    <row r="342" spans="1:50" x14ac:dyDescent="0.25">
      <c r="A342" t="s">
        <v>1206</v>
      </c>
      <c r="B342" t="s">
        <v>994</v>
      </c>
      <c r="C342">
        <v>0</v>
      </c>
      <c r="H342">
        <v>1</v>
      </c>
      <c r="J342">
        <v>1926</v>
      </c>
      <c r="K342">
        <v>0</v>
      </c>
      <c r="M342">
        <v>0</v>
      </c>
      <c r="N342">
        <v>1</v>
      </c>
      <c r="O342">
        <v>1</v>
      </c>
      <c r="P342">
        <v>1</v>
      </c>
      <c r="Q342">
        <v>1</v>
      </c>
      <c r="U342" t="s">
        <v>72</v>
      </c>
      <c r="V342">
        <v>41</v>
      </c>
      <c r="X342" t="s">
        <v>80</v>
      </c>
      <c r="Y342">
        <v>0</v>
      </c>
      <c r="Z342">
        <v>90.718000000000004</v>
      </c>
      <c r="AB342" t="s">
        <v>118</v>
      </c>
      <c r="AD342" t="s">
        <v>995</v>
      </c>
      <c r="AE342">
        <v>0</v>
      </c>
      <c r="AF342">
        <v>3</v>
      </c>
      <c r="AG342">
        <v>1</v>
      </c>
      <c r="AH342">
        <v>1.5</v>
      </c>
      <c r="AI342">
        <v>256</v>
      </c>
      <c r="AJ342">
        <v>256</v>
      </c>
      <c r="AK342">
        <v>60</v>
      </c>
      <c r="AL342" t="s">
        <v>1034</v>
      </c>
      <c r="AM342">
        <v>2.2000000000000002</v>
      </c>
      <c r="AN342" t="s">
        <v>996</v>
      </c>
      <c r="AO342" t="s">
        <v>67</v>
      </c>
      <c r="AP342" t="s">
        <v>997</v>
      </c>
      <c r="AQ342">
        <v>15</v>
      </c>
      <c r="AR342">
        <v>25</v>
      </c>
      <c r="AS342">
        <v>50</v>
      </c>
      <c r="AT342">
        <v>4.2</v>
      </c>
      <c r="AU342">
        <v>8.4</v>
      </c>
      <c r="AV342" t="s">
        <v>1207</v>
      </c>
      <c r="AW342" t="s">
        <v>1208</v>
      </c>
      <c r="AX342" t="s">
        <v>1209</v>
      </c>
    </row>
    <row r="343" spans="1:50" x14ac:dyDescent="0.25">
      <c r="A343" t="s">
        <v>1210</v>
      </c>
      <c r="B343" t="s">
        <v>994</v>
      </c>
      <c r="C343">
        <v>0</v>
      </c>
      <c r="H343">
        <v>1</v>
      </c>
      <c r="J343">
        <v>1939</v>
      </c>
      <c r="K343">
        <v>0</v>
      </c>
      <c r="M343">
        <v>0</v>
      </c>
      <c r="N343">
        <v>1</v>
      </c>
      <c r="O343">
        <v>1</v>
      </c>
      <c r="P343">
        <v>1</v>
      </c>
      <c r="Q343">
        <v>0</v>
      </c>
      <c r="U343" t="s">
        <v>93</v>
      </c>
      <c r="V343">
        <v>31</v>
      </c>
      <c r="X343" t="s">
        <v>1211</v>
      </c>
      <c r="Y343">
        <v>0</v>
      </c>
      <c r="Z343">
        <v>68.039000000000001</v>
      </c>
      <c r="AB343" t="s">
        <v>74</v>
      </c>
      <c r="AD343" t="s">
        <v>995</v>
      </c>
      <c r="AE343">
        <v>0</v>
      </c>
      <c r="AF343">
        <v>3</v>
      </c>
      <c r="AG343">
        <v>1</v>
      </c>
      <c r="AH343">
        <v>1.5</v>
      </c>
      <c r="AI343">
        <v>256</v>
      </c>
      <c r="AJ343">
        <v>256</v>
      </c>
      <c r="AK343">
        <v>60</v>
      </c>
      <c r="AL343" t="s">
        <v>1039</v>
      </c>
      <c r="AM343">
        <v>2.1</v>
      </c>
      <c r="AN343" t="s">
        <v>996</v>
      </c>
      <c r="AO343" t="s">
        <v>67</v>
      </c>
      <c r="AP343" t="s">
        <v>997</v>
      </c>
      <c r="AQ343">
        <v>15</v>
      </c>
      <c r="AR343">
        <v>25</v>
      </c>
      <c r="AS343">
        <v>51</v>
      </c>
      <c r="AT343">
        <v>4.2</v>
      </c>
      <c r="AU343">
        <v>8.4</v>
      </c>
      <c r="AV343" t="s">
        <v>1212</v>
      </c>
      <c r="AW343" t="s">
        <v>1213</v>
      </c>
      <c r="AX343" t="s">
        <v>1214</v>
      </c>
    </row>
    <row r="344" spans="1:50" x14ac:dyDescent="0.25">
      <c r="A344" t="s">
        <v>1215</v>
      </c>
      <c r="B344" t="s">
        <v>994</v>
      </c>
      <c r="C344">
        <v>0</v>
      </c>
      <c r="H344">
        <v>0</v>
      </c>
      <c r="J344">
        <v>1812</v>
      </c>
      <c r="K344">
        <v>0</v>
      </c>
      <c r="M344">
        <v>0</v>
      </c>
      <c r="N344">
        <v>1</v>
      </c>
      <c r="O344">
        <v>1</v>
      </c>
      <c r="P344">
        <v>1</v>
      </c>
      <c r="Q344">
        <v>1</v>
      </c>
      <c r="U344" t="s">
        <v>72</v>
      </c>
      <c r="V344">
        <v>46</v>
      </c>
      <c r="X344" t="s">
        <v>80</v>
      </c>
      <c r="Y344">
        <v>0</v>
      </c>
      <c r="Z344">
        <v>82</v>
      </c>
      <c r="AB344" t="s">
        <v>118</v>
      </c>
      <c r="AD344" t="s">
        <v>995</v>
      </c>
      <c r="AE344">
        <v>0</v>
      </c>
      <c r="AF344">
        <v>3</v>
      </c>
      <c r="AG344">
        <v>1</v>
      </c>
      <c r="AH344">
        <v>1.5</v>
      </c>
      <c r="AI344">
        <v>256</v>
      </c>
      <c r="AJ344">
        <v>256</v>
      </c>
      <c r="AK344">
        <v>64</v>
      </c>
      <c r="AL344" t="s">
        <v>75</v>
      </c>
      <c r="AM344">
        <v>2.0625</v>
      </c>
      <c r="AN344" t="s">
        <v>1020</v>
      </c>
      <c r="AO344" t="s">
        <v>59</v>
      </c>
      <c r="AP344" t="s">
        <v>1136</v>
      </c>
      <c r="AQ344">
        <v>11</v>
      </c>
      <c r="AR344">
        <v>51</v>
      </c>
      <c r="AS344">
        <v>14</v>
      </c>
      <c r="AT344">
        <v>4.5</v>
      </c>
      <c r="AU344">
        <v>11</v>
      </c>
      <c r="AV344" t="s">
        <v>1216</v>
      </c>
      <c r="AW344" t="s">
        <v>1217</v>
      </c>
      <c r="AX344" t="s">
        <v>1218</v>
      </c>
    </row>
    <row r="345" spans="1:50" x14ac:dyDescent="0.25">
      <c r="A345" t="s">
        <v>1219</v>
      </c>
      <c r="B345" t="s">
        <v>994</v>
      </c>
      <c r="C345">
        <v>0</v>
      </c>
      <c r="H345">
        <v>0</v>
      </c>
      <c r="J345">
        <v>1560</v>
      </c>
      <c r="K345">
        <v>0</v>
      </c>
      <c r="M345">
        <v>0</v>
      </c>
      <c r="N345">
        <v>1</v>
      </c>
      <c r="O345">
        <v>1</v>
      </c>
      <c r="P345">
        <v>0</v>
      </c>
      <c r="Q345">
        <v>1</v>
      </c>
      <c r="U345" t="s">
        <v>72</v>
      </c>
      <c r="V345">
        <v>51</v>
      </c>
      <c r="X345" t="s">
        <v>80</v>
      </c>
      <c r="Y345">
        <v>0</v>
      </c>
      <c r="Z345">
        <v>61.234999999999999</v>
      </c>
      <c r="AB345" t="s">
        <v>74</v>
      </c>
      <c r="AD345" t="s">
        <v>995</v>
      </c>
      <c r="AE345">
        <v>0</v>
      </c>
      <c r="AF345">
        <v>3</v>
      </c>
      <c r="AG345">
        <v>1</v>
      </c>
      <c r="AH345">
        <v>1.5</v>
      </c>
      <c r="AI345">
        <v>256</v>
      </c>
      <c r="AJ345">
        <v>256</v>
      </c>
      <c r="AK345">
        <v>56</v>
      </c>
      <c r="AL345" t="s">
        <v>1010</v>
      </c>
      <c r="AM345">
        <v>2.5</v>
      </c>
      <c r="AN345" t="s">
        <v>1072</v>
      </c>
      <c r="AO345" t="s">
        <v>67</v>
      </c>
      <c r="AP345" t="s">
        <v>997</v>
      </c>
      <c r="AQ345">
        <v>15</v>
      </c>
      <c r="AR345">
        <v>27</v>
      </c>
      <c r="AS345">
        <v>55</v>
      </c>
      <c r="AT345">
        <v>4.2</v>
      </c>
      <c r="AU345">
        <v>9</v>
      </c>
      <c r="AV345" t="s">
        <v>1220</v>
      </c>
      <c r="AW345" t="s">
        <v>1221</v>
      </c>
      <c r="AX345" t="s">
        <v>1222</v>
      </c>
    </row>
    <row r="346" spans="1:50" x14ac:dyDescent="0.25">
      <c r="A346" t="s">
        <v>1223</v>
      </c>
      <c r="B346" t="s">
        <v>994</v>
      </c>
      <c r="C346">
        <v>0</v>
      </c>
      <c r="H346">
        <v>0</v>
      </c>
      <c r="J346">
        <v>1766</v>
      </c>
      <c r="K346">
        <v>0</v>
      </c>
      <c r="M346">
        <v>0</v>
      </c>
      <c r="N346">
        <v>1</v>
      </c>
      <c r="O346">
        <v>1</v>
      </c>
      <c r="P346">
        <v>0</v>
      </c>
      <c r="Q346">
        <v>1</v>
      </c>
      <c r="U346" t="s">
        <v>72</v>
      </c>
      <c r="V346">
        <v>34</v>
      </c>
      <c r="X346" t="s">
        <v>80</v>
      </c>
      <c r="Y346">
        <v>0</v>
      </c>
      <c r="Z346">
        <v>63.503</v>
      </c>
      <c r="AB346" t="s">
        <v>74</v>
      </c>
      <c r="AD346" t="s">
        <v>995</v>
      </c>
      <c r="AE346">
        <v>0</v>
      </c>
      <c r="AF346">
        <v>4</v>
      </c>
      <c r="AG346">
        <v>1</v>
      </c>
      <c r="AH346">
        <v>1.5</v>
      </c>
      <c r="AI346">
        <v>256</v>
      </c>
      <c r="AJ346">
        <v>256</v>
      </c>
      <c r="AK346">
        <v>54</v>
      </c>
      <c r="AL346" t="s">
        <v>75</v>
      </c>
      <c r="AM346">
        <v>3</v>
      </c>
      <c r="AN346" t="s">
        <v>1097</v>
      </c>
      <c r="AO346" t="s">
        <v>67</v>
      </c>
      <c r="AP346" t="s">
        <v>659</v>
      </c>
      <c r="AQ346">
        <v>15</v>
      </c>
      <c r="AR346">
        <v>48</v>
      </c>
      <c r="AS346">
        <v>97</v>
      </c>
      <c r="AT346">
        <v>2.1520000000000001</v>
      </c>
      <c r="AU346">
        <v>15.552</v>
      </c>
      <c r="AV346" t="s">
        <v>1224</v>
      </c>
      <c r="AW346" t="s">
        <v>1225</v>
      </c>
      <c r="AX346" t="s">
        <v>1226</v>
      </c>
    </row>
    <row r="347" spans="1:50" x14ac:dyDescent="0.25">
      <c r="A347" t="s">
        <v>1227</v>
      </c>
      <c r="B347" t="s">
        <v>994</v>
      </c>
      <c r="C347">
        <v>0</v>
      </c>
      <c r="H347">
        <v>1</v>
      </c>
      <c r="J347">
        <v>1513</v>
      </c>
      <c r="K347">
        <v>0</v>
      </c>
      <c r="M347">
        <v>0</v>
      </c>
      <c r="N347">
        <v>0</v>
      </c>
      <c r="O347">
        <v>0</v>
      </c>
      <c r="P347">
        <v>0</v>
      </c>
      <c r="Q347">
        <v>1</v>
      </c>
      <c r="U347" t="s">
        <v>53</v>
      </c>
      <c r="V347">
        <v>43</v>
      </c>
      <c r="X347" t="s">
        <v>80</v>
      </c>
      <c r="Y347">
        <v>0</v>
      </c>
      <c r="Z347">
        <v>108.86199999999999</v>
      </c>
      <c r="AB347" t="s">
        <v>56</v>
      </c>
      <c r="AD347" t="s">
        <v>995</v>
      </c>
      <c r="AE347">
        <v>0</v>
      </c>
      <c r="AF347">
        <v>3</v>
      </c>
      <c r="AG347">
        <v>1</v>
      </c>
      <c r="AH347">
        <v>1.5</v>
      </c>
      <c r="AI347">
        <v>256</v>
      </c>
      <c r="AJ347">
        <v>256</v>
      </c>
      <c r="AK347">
        <v>62</v>
      </c>
      <c r="AL347" t="s">
        <v>1010</v>
      </c>
      <c r="AM347">
        <v>2.5</v>
      </c>
      <c r="AN347" t="s">
        <v>1072</v>
      </c>
      <c r="AO347" t="s">
        <v>67</v>
      </c>
      <c r="AP347" t="s">
        <v>997</v>
      </c>
      <c r="AQ347">
        <v>15</v>
      </c>
      <c r="AR347">
        <v>24</v>
      </c>
      <c r="AS347">
        <v>48</v>
      </c>
      <c r="AT347">
        <v>4.2</v>
      </c>
      <c r="AU347">
        <v>9</v>
      </c>
      <c r="AV347" t="s">
        <v>1228</v>
      </c>
      <c r="AW347" t="s">
        <v>1229</v>
      </c>
      <c r="AX347" t="s">
        <v>1230</v>
      </c>
    </row>
    <row r="348" spans="1:50" x14ac:dyDescent="0.25">
      <c r="A348" t="s">
        <v>1231</v>
      </c>
      <c r="B348" t="s">
        <v>994</v>
      </c>
      <c r="C348">
        <v>0</v>
      </c>
      <c r="H348">
        <v>1</v>
      </c>
      <c r="J348">
        <v>1967</v>
      </c>
      <c r="K348">
        <v>0</v>
      </c>
      <c r="M348">
        <v>0</v>
      </c>
      <c r="N348">
        <v>1</v>
      </c>
      <c r="O348">
        <v>1</v>
      </c>
      <c r="P348">
        <v>1</v>
      </c>
      <c r="Q348">
        <v>0</v>
      </c>
      <c r="U348" t="s">
        <v>93</v>
      </c>
      <c r="V348">
        <v>53</v>
      </c>
      <c r="X348" t="s">
        <v>80</v>
      </c>
      <c r="Y348">
        <v>0</v>
      </c>
      <c r="Z348">
        <v>68.945999999999998</v>
      </c>
      <c r="AB348" t="s">
        <v>94</v>
      </c>
      <c r="AD348" t="s">
        <v>995</v>
      </c>
      <c r="AE348">
        <v>0</v>
      </c>
      <c r="AF348">
        <v>3</v>
      </c>
      <c r="AG348">
        <v>1</v>
      </c>
      <c r="AH348">
        <v>1.5</v>
      </c>
      <c r="AI348">
        <v>256</v>
      </c>
      <c r="AJ348">
        <v>256</v>
      </c>
      <c r="AK348">
        <v>60</v>
      </c>
      <c r="AL348" t="s">
        <v>75</v>
      </c>
      <c r="AM348">
        <v>2</v>
      </c>
      <c r="AN348" t="s">
        <v>996</v>
      </c>
      <c r="AO348" t="s">
        <v>67</v>
      </c>
      <c r="AP348" t="s">
        <v>997</v>
      </c>
      <c r="AQ348">
        <v>15</v>
      </c>
      <c r="AR348">
        <v>12</v>
      </c>
      <c r="AS348">
        <v>25</v>
      </c>
      <c r="AT348">
        <v>4.2</v>
      </c>
      <c r="AU348">
        <v>8.9</v>
      </c>
      <c r="AV348" t="s">
        <v>1232</v>
      </c>
      <c r="AW348" t="s">
        <v>1233</v>
      </c>
      <c r="AX348" t="s">
        <v>1234</v>
      </c>
    </row>
    <row r="349" spans="1:50" x14ac:dyDescent="0.25">
      <c r="A349" t="s">
        <v>1235</v>
      </c>
      <c r="B349" t="s">
        <v>994</v>
      </c>
      <c r="C349">
        <v>0</v>
      </c>
      <c r="H349">
        <v>0</v>
      </c>
      <c r="J349">
        <v>1485</v>
      </c>
      <c r="K349">
        <v>0</v>
      </c>
      <c r="M349">
        <v>0</v>
      </c>
      <c r="N349">
        <v>1</v>
      </c>
      <c r="O349">
        <v>1</v>
      </c>
      <c r="P349">
        <v>1</v>
      </c>
      <c r="Q349">
        <v>0</v>
      </c>
      <c r="U349" t="s">
        <v>93</v>
      </c>
      <c r="V349">
        <v>60</v>
      </c>
      <c r="X349" t="s">
        <v>55</v>
      </c>
      <c r="Y349">
        <v>0</v>
      </c>
      <c r="Z349">
        <v>114</v>
      </c>
      <c r="AB349" t="s">
        <v>269</v>
      </c>
      <c r="AD349" t="s">
        <v>995</v>
      </c>
      <c r="AE349">
        <v>0</v>
      </c>
      <c r="AF349">
        <v>6</v>
      </c>
      <c r="AG349">
        <v>1</v>
      </c>
      <c r="AH349">
        <v>1.5</v>
      </c>
      <c r="AI349">
        <v>256</v>
      </c>
      <c r="AJ349">
        <v>256</v>
      </c>
      <c r="AK349">
        <v>60</v>
      </c>
      <c r="AL349" t="s">
        <v>75</v>
      </c>
      <c r="AM349">
        <v>4</v>
      </c>
      <c r="AN349" t="s">
        <v>1154</v>
      </c>
      <c r="AO349" t="s">
        <v>1155</v>
      </c>
      <c r="AP349" t="s">
        <v>1156</v>
      </c>
      <c r="AQ349">
        <v>11</v>
      </c>
      <c r="AR349">
        <v>822</v>
      </c>
      <c r="AS349">
        <v>1644</v>
      </c>
      <c r="AT349">
        <v>6.3457999999999997</v>
      </c>
      <c r="AU349">
        <v>32.857599999999998</v>
      </c>
      <c r="AW349" t="s">
        <v>1236</v>
      </c>
      <c r="AX349" t="s">
        <v>1237</v>
      </c>
    </row>
    <row r="350" spans="1:50" x14ac:dyDescent="0.25">
      <c r="A350" t="s">
        <v>1238</v>
      </c>
      <c r="B350" t="s">
        <v>994</v>
      </c>
      <c r="C350">
        <v>0</v>
      </c>
      <c r="H350">
        <v>1</v>
      </c>
      <c r="J350">
        <v>1646</v>
      </c>
      <c r="K350">
        <v>843</v>
      </c>
      <c r="M350">
        <v>0</v>
      </c>
      <c r="N350">
        <v>1</v>
      </c>
      <c r="O350">
        <v>1</v>
      </c>
      <c r="P350">
        <v>1</v>
      </c>
      <c r="Q350">
        <v>1</v>
      </c>
      <c r="U350" t="s">
        <v>72</v>
      </c>
      <c r="V350">
        <v>51</v>
      </c>
      <c r="X350" t="s">
        <v>80</v>
      </c>
      <c r="Y350">
        <v>0</v>
      </c>
      <c r="Z350">
        <v>136</v>
      </c>
      <c r="AB350" t="s">
        <v>269</v>
      </c>
      <c r="AD350" t="s">
        <v>995</v>
      </c>
      <c r="AE350">
        <v>0</v>
      </c>
      <c r="AF350">
        <v>3</v>
      </c>
      <c r="AG350">
        <v>1</v>
      </c>
      <c r="AH350">
        <v>1.5</v>
      </c>
      <c r="AI350">
        <v>256</v>
      </c>
      <c r="AJ350">
        <v>256</v>
      </c>
      <c r="AK350">
        <v>64</v>
      </c>
      <c r="AL350" t="s">
        <v>75</v>
      </c>
      <c r="AM350">
        <v>2.0625</v>
      </c>
      <c r="AN350" t="s">
        <v>1020</v>
      </c>
      <c r="AO350" t="s">
        <v>59</v>
      </c>
      <c r="AP350" t="s">
        <v>1136</v>
      </c>
      <c r="AQ350">
        <v>11</v>
      </c>
      <c r="AR350">
        <v>49</v>
      </c>
      <c r="AS350">
        <v>13</v>
      </c>
      <c r="AT350">
        <v>4.5</v>
      </c>
      <c r="AU350">
        <v>11</v>
      </c>
      <c r="AV350" t="s">
        <v>1239</v>
      </c>
      <c r="AW350" t="s">
        <v>1240</v>
      </c>
      <c r="AX350" t="s">
        <v>1241</v>
      </c>
    </row>
    <row r="351" spans="1:50" x14ac:dyDescent="0.25">
      <c r="A351" t="s">
        <v>1242</v>
      </c>
      <c r="B351" t="s">
        <v>994</v>
      </c>
      <c r="C351">
        <v>0</v>
      </c>
      <c r="H351">
        <v>0</v>
      </c>
      <c r="J351">
        <v>1793</v>
      </c>
      <c r="K351">
        <v>0</v>
      </c>
      <c r="M351">
        <v>0</v>
      </c>
      <c r="N351">
        <v>1</v>
      </c>
      <c r="O351">
        <v>1</v>
      </c>
      <c r="P351">
        <v>1</v>
      </c>
      <c r="Q351">
        <v>0</v>
      </c>
      <c r="U351" t="s">
        <v>93</v>
      </c>
      <c r="V351">
        <v>49</v>
      </c>
      <c r="X351" t="s">
        <v>80</v>
      </c>
      <c r="Y351">
        <v>0</v>
      </c>
      <c r="Z351">
        <v>56.698999999999998</v>
      </c>
      <c r="AB351" t="s">
        <v>74</v>
      </c>
      <c r="AD351" t="s">
        <v>995</v>
      </c>
      <c r="AE351">
        <v>0</v>
      </c>
      <c r="AF351">
        <v>3</v>
      </c>
      <c r="AG351">
        <v>1</v>
      </c>
      <c r="AH351">
        <v>1.5</v>
      </c>
      <c r="AI351">
        <v>256</v>
      </c>
      <c r="AJ351">
        <v>256</v>
      </c>
      <c r="AK351">
        <v>60</v>
      </c>
      <c r="AL351" t="s">
        <v>75</v>
      </c>
      <c r="AM351">
        <v>2</v>
      </c>
      <c r="AN351" t="s">
        <v>996</v>
      </c>
      <c r="AO351" t="s">
        <v>67</v>
      </c>
      <c r="AP351" t="s">
        <v>997</v>
      </c>
      <c r="AQ351">
        <v>15</v>
      </c>
      <c r="AR351">
        <v>24</v>
      </c>
      <c r="AS351">
        <v>48</v>
      </c>
      <c r="AT351">
        <v>4.2</v>
      </c>
      <c r="AU351">
        <v>8.9</v>
      </c>
      <c r="AV351" t="s">
        <v>1243</v>
      </c>
      <c r="AW351" t="s">
        <v>1244</v>
      </c>
      <c r="AX351" t="s">
        <v>1245</v>
      </c>
    </row>
    <row r="352" spans="1:50" x14ac:dyDescent="0.25">
      <c r="A352" t="s">
        <v>1246</v>
      </c>
      <c r="B352" t="s">
        <v>994</v>
      </c>
      <c r="C352">
        <v>0</v>
      </c>
      <c r="H352">
        <v>0</v>
      </c>
      <c r="J352">
        <v>1125</v>
      </c>
      <c r="K352">
        <v>873</v>
      </c>
      <c r="M352">
        <v>1125</v>
      </c>
      <c r="N352">
        <v>0</v>
      </c>
      <c r="O352">
        <v>0</v>
      </c>
      <c r="P352">
        <v>0</v>
      </c>
      <c r="Q352">
        <v>1</v>
      </c>
      <c r="U352" t="s">
        <v>53</v>
      </c>
      <c r="V352">
        <v>42</v>
      </c>
      <c r="X352" t="s">
        <v>80</v>
      </c>
      <c r="Y352">
        <v>0</v>
      </c>
      <c r="Z352">
        <v>127.006</v>
      </c>
      <c r="AB352" t="s">
        <v>269</v>
      </c>
      <c r="AD352" t="s">
        <v>995</v>
      </c>
      <c r="AE352">
        <v>0</v>
      </c>
      <c r="AF352">
        <v>3</v>
      </c>
      <c r="AG352">
        <v>1</v>
      </c>
      <c r="AH352">
        <v>1.5</v>
      </c>
      <c r="AI352">
        <v>256</v>
      </c>
      <c r="AJ352">
        <v>256</v>
      </c>
      <c r="AK352">
        <v>60</v>
      </c>
      <c r="AL352" t="s">
        <v>1010</v>
      </c>
      <c r="AM352">
        <v>1.5</v>
      </c>
      <c r="AN352" t="s">
        <v>1011</v>
      </c>
      <c r="AO352" t="s">
        <v>67</v>
      </c>
      <c r="AP352" t="s">
        <v>997</v>
      </c>
      <c r="AQ352">
        <v>15</v>
      </c>
      <c r="AR352">
        <v>88</v>
      </c>
      <c r="AS352">
        <v>176</v>
      </c>
      <c r="AT352">
        <v>4.2</v>
      </c>
      <c r="AU352">
        <v>21.3</v>
      </c>
      <c r="AV352" t="s">
        <v>1247</v>
      </c>
      <c r="AW352" t="s">
        <v>1248</v>
      </c>
      <c r="AX352" t="s">
        <v>1249</v>
      </c>
    </row>
    <row r="353" spans="1:50" x14ac:dyDescent="0.25">
      <c r="A353" t="s">
        <v>1250</v>
      </c>
      <c r="B353" t="s">
        <v>994</v>
      </c>
      <c r="C353">
        <v>0</v>
      </c>
      <c r="H353">
        <v>0</v>
      </c>
      <c r="J353">
        <v>1785</v>
      </c>
      <c r="K353">
        <v>0</v>
      </c>
      <c r="M353">
        <v>0</v>
      </c>
      <c r="N353">
        <v>0</v>
      </c>
      <c r="O353">
        <v>0</v>
      </c>
      <c r="P353">
        <v>0</v>
      </c>
      <c r="Q353">
        <v>0</v>
      </c>
      <c r="U353" t="s">
        <v>65</v>
      </c>
      <c r="V353">
        <v>44</v>
      </c>
      <c r="X353" t="s">
        <v>80</v>
      </c>
      <c r="Y353">
        <v>0</v>
      </c>
      <c r="Z353">
        <v>113.5</v>
      </c>
      <c r="AB353" t="s">
        <v>269</v>
      </c>
      <c r="AD353" t="s">
        <v>995</v>
      </c>
      <c r="AE353">
        <v>0</v>
      </c>
      <c r="AF353">
        <v>3</v>
      </c>
      <c r="AG353">
        <v>1</v>
      </c>
      <c r="AH353">
        <v>1.5</v>
      </c>
      <c r="AI353">
        <v>256</v>
      </c>
      <c r="AJ353">
        <v>256</v>
      </c>
      <c r="AK353">
        <v>64</v>
      </c>
      <c r="AL353" t="s">
        <v>75</v>
      </c>
      <c r="AM353">
        <v>2.2999999999999998</v>
      </c>
      <c r="AN353" t="s">
        <v>1011</v>
      </c>
      <c r="AO353" t="s">
        <v>59</v>
      </c>
      <c r="AP353" t="s">
        <v>1123</v>
      </c>
      <c r="AQ353">
        <v>11</v>
      </c>
      <c r="AR353">
        <v>32</v>
      </c>
      <c r="AS353">
        <v>86</v>
      </c>
      <c r="AT353">
        <v>4.76</v>
      </c>
      <c r="AU353">
        <v>27</v>
      </c>
      <c r="AV353" t="s">
        <v>1251</v>
      </c>
      <c r="AW353" t="s">
        <v>1248</v>
      </c>
      <c r="AX353" t="s">
        <v>1252</v>
      </c>
    </row>
    <row r="354" spans="1:50" x14ac:dyDescent="0.25">
      <c r="A354" t="s">
        <v>1253</v>
      </c>
      <c r="B354" t="s">
        <v>994</v>
      </c>
      <c r="C354">
        <v>0</v>
      </c>
      <c r="H354">
        <v>1</v>
      </c>
      <c r="J354">
        <v>1395</v>
      </c>
      <c r="K354">
        <v>1095</v>
      </c>
      <c r="M354">
        <v>1395</v>
      </c>
      <c r="N354">
        <v>1</v>
      </c>
      <c r="O354">
        <v>1</v>
      </c>
      <c r="P354">
        <v>0</v>
      </c>
      <c r="Q354">
        <v>1</v>
      </c>
      <c r="U354" t="s">
        <v>72</v>
      </c>
      <c r="V354">
        <v>62</v>
      </c>
      <c r="X354" t="s">
        <v>80</v>
      </c>
      <c r="Y354">
        <v>0</v>
      </c>
      <c r="Z354">
        <v>77</v>
      </c>
      <c r="AB354" t="s">
        <v>94</v>
      </c>
      <c r="AD354" t="s">
        <v>995</v>
      </c>
      <c r="AE354">
        <v>0</v>
      </c>
      <c r="AF354">
        <v>6</v>
      </c>
      <c r="AG354">
        <v>1</v>
      </c>
      <c r="AH354">
        <v>1.5</v>
      </c>
      <c r="AI354">
        <v>256</v>
      </c>
      <c r="AJ354">
        <v>256</v>
      </c>
      <c r="AK354">
        <v>60</v>
      </c>
      <c r="AL354" t="s">
        <v>75</v>
      </c>
      <c r="AM354">
        <v>4</v>
      </c>
      <c r="AN354" t="s">
        <v>1154</v>
      </c>
      <c r="AO354" t="s">
        <v>1155</v>
      </c>
      <c r="AP354" t="s">
        <v>1156</v>
      </c>
      <c r="AQ354">
        <v>11</v>
      </c>
      <c r="AR354">
        <v>816</v>
      </c>
      <c r="AS354">
        <v>1633</v>
      </c>
      <c r="AT354">
        <v>6.3868</v>
      </c>
      <c r="AU354">
        <v>32.857599999999998</v>
      </c>
      <c r="AW354" t="s">
        <v>1254</v>
      </c>
      <c r="AX354" t="s">
        <v>1255</v>
      </c>
    </row>
    <row r="355" spans="1:50" x14ac:dyDescent="0.25">
      <c r="A355" t="s">
        <v>1256</v>
      </c>
      <c r="B355" t="s">
        <v>994</v>
      </c>
      <c r="C355">
        <v>0</v>
      </c>
      <c r="H355">
        <v>1</v>
      </c>
      <c r="J355">
        <v>1769</v>
      </c>
      <c r="K355">
        <v>0</v>
      </c>
      <c r="M355">
        <v>0</v>
      </c>
      <c r="N355">
        <v>0</v>
      </c>
      <c r="O355">
        <v>0</v>
      </c>
      <c r="P355">
        <v>0</v>
      </c>
      <c r="Q355">
        <v>0</v>
      </c>
      <c r="U355" t="s">
        <v>65</v>
      </c>
      <c r="V355">
        <v>50</v>
      </c>
      <c r="X355" t="s">
        <v>80</v>
      </c>
      <c r="Y355">
        <v>0</v>
      </c>
      <c r="Z355">
        <v>62.595999999999997</v>
      </c>
      <c r="AB355" t="s">
        <v>74</v>
      </c>
      <c r="AD355" t="s">
        <v>995</v>
      </c>
      <c r="AE355">
        <v>0</v>
      </c>
      <c r="AF355">
        <v>3</v>
      </c>
      <c r="AG355">
        <v>1</v>
      </c>
      <c r="AH355">
        <v>1.5</v>
      </c>
      <c r="AI355">
        <v>256</v>
      </c>
      <c r="AJ355">
        <v>256</v>
      </c>
      <c r="AK355">
        <v>60</v>
      </c>
      <c r="AL355" t="s">
        <v>75</v>
      </c>
      <c r="AM355">
        <v>2</v>
      </c>
      <c r="AN355" t="s">
        <v>996</v>
      </c>
      <c r="AO355" t="s">
        <v>67</v>
      </c>
      <c r="AP355" t="s">
        <v>997</v>
      </c>
      <c r="AQ355">
        <v>15</v>
      </c>
      <c r="AR355">
        <v>8</v>
      </c>
      <c r="AS355">
        <v>17</v>
      </c>
      <c r="AT355">
        <v>4.2</v>
      </c>
      <c r="AU355">
        <v>8.9</v>
      </c>
      <c r="AV355" t="s">
        <v>1257</v>
      </c>
      <c r="AW355" t="s">
        <v>1258</v>
      </c>
      <c r="AX355" t="s">
        <v>1259</v>
      </c>
    </row>
    <row r="356" spans="1:50" x14ac:dyDescent="0.25">
      <c r="A356" t="s">
        <v>1260</v>
      </c>
      <c r="B356" t="s">
        <v>994</v>
      </c>
      <c r="C356">
        <v>0</v>
      </c>
      <c r="H356">
        <v>0</v>
      </c>
      <c r="J356">
        <v>1906</v>
      </c>
      <c r="K356">
        <v>0</v>
      </c>
      <c r="M356">
        <v>0</v>
      </c>
      <c r="N356">
        <v>1</v>
      </c>
      <c r="O356">
        <v>1</v>
      </c>
      <c r="P356">
        <v>0</v>
      </c>
      <c r="Q356">
        <v>0</v>
      </c>
      <c r="U356" t="s">
        <v>93</v>
      </c>
      <c r="V356">
        <v>63</v>
      </c>
      <c r="X356" t="s">
        <v>80</v>
      </c>
      <c r="Y356">
        <v>0</v>
      </c>
      <c r="Z356">
        <v>81.647000000000006</v>
      </c>
      <c r="AB356" t="s">
        <v>94</v>
      </c>
      <c r="AD356" t="s">
        <v>995</v>
      </c>
      <c r="AE356">
        <v>0</v>
      </c>
      <c r="AF356">
        <v>3</v>
      </c>
      <c r="AG356">
        <v>1</v>
      </c>
      <c r="AH356">
        <v>1.5</v>
      </c>
      <c r="AI356">
        <v>256</v>
      </c>
      <c r="AJ356">
        <v>256</v>
      </c>
      <c r="AK356">
        <v>60</v>
      </c>
      <c r="AL356" t="s">
        <v>75</v>
      </c>
      <c r="AM356">
        <v>2</v>
      </c>
      <c r="AN356" t="s">
        <v>996</v>
      </c>
      <c r="AO356" t="s">
        <v>67</v>
      </c>
      <c r="AP356" t="s">
        <v>997</v>
      </c>
      <c r="AQ356">
        <v>15</v>
      </c>
      <c r="AR356">
        <v>21</v>
      </c>
      <c r="AS356">
        <v>43</v>
      </c>
      <c r="AT356">
        <v>4.2</v>
      </c>
      <c r="AU356">
        <v>8.9</v>
      </c>
      <c r="AV356" t="s">
        <v>1261</v>
      </c>
      <c r="AW356" t="s">
        <v>1254</v>
      </c>
      <c r="AX356" t="s">
        <v>1262</v>
      </c>
    </row>
    <row r="357" spans="1:50" x14ac:dyDescent="0.25">
      <c r="A357" t="s">
        <v>1263</v>
      </c>
      <c r="B357" t="s">
        <v>994</v>
      </c>
      <c r="C357">
        <v>0</v>
      </c>
      <c r="H357">
        <v>0</v>
      </c>
      <c r="J357">
        <v>944</v>
      </c>
      <c r="K357">
        <v>483</v>
      </c>
      <c r="M357">
        <v>944</v>
      </c>
      <c r="N357">
        <v>0</v>
      </c>
      <c r="O357">
        <v>0</v>
      </c>
      <c r="P357">
        <v>0</v>
      </c>
      <c r="Q357">
        <v>1</v>
      </c>
      <c r="U357" t="s">
        <v>53</v>
      </c>
      <c r="V357">
        <v>42</v>
      </c>
      <c r="X357" t="s">
        <v>55</v>
      </c>
      <c r="Y357">
        <v>0</v>
      </c>
      <c r="Z357">
        <v>79.831999999999994</v>
      </c>
      <c r="AB357" t="s">
        <v>94</v>
      </c>
      <c r="AD357" t="s">
        <v>995</v>
      </c>
      <c r="AE357">
        <v>0</v>
      </c>
      <c r="AF357">
        <v>3</v>
      </c>
      <c r="AG357">
        <v>1</v>
      </c>
      <c r="AH357">
        <v>1.5</v>
      </c>
      <c r="AI357">
        <v>256</v>
      </c>
      <c r="AJ357">
        <v>256</v>
      </c>
      <c r="AK357">
        <v>60</v>
      </c>
      <c r="AL357" t="s">
        <v>75</v>
      </c>
      <c r="AM357">
        <v>2.1</v>
      </c>
      <c r="AN357" t="s">
        <v>996</v>
      </c>
      <c r="AO357" t="s">
        <v>67</v>
      </c>
      <c r="AP357" t="s">
        <v>997</v>
      </c>
      <c r="AQ357">
        <v>15</v>
      </c>
      <c r="AR357">
        <v>16</v>
      </c>
      <c r="AS357">
        <v>33</v>
      </c>
      <c r="AT357">
        <v>4.2</v>
      </c>
      <c r="AU357">
        <v>8.9</v>
      </c>
      <c r="AV357" t="s">
        <v>1264</v>
      </c>
      <c r="AW357" t="s">
        <v>1265</v>
      </c>
      <c r="AX357" t="s">
        <v>1266</v>
      </c>
    </row>
    <row r="358" spans="1:50" x14ac:dyDescent="0.25">
      <c r="A358" t="s">
        <v>1267</v>
      </c>
      <c r="B358" t="s">
        <v>994</v>
      </c>
      <c r="C358">
        <v>0</v>
      </c>
      <c r="H358">
        <v>0</v>
      </c>
      <c r="J358">
        <v>317</v>
      </c>
      <c r="K358">
        <v>298</v>
      </c>
      <c r="M358">
        <v>317</v>
      </c>
      <c r="N358">
        <v>1</v>
      </c>
      <c r="O358">
        <v>1</v>
      </c>
      <c r="P358">
        <v>0</v>
      </c>
      <c r="Q358">
        <v>1</v>
      </c>
      <c r="U358" t="s">
        <v>72</v>
      </c>
      <c r="V358">
        <v>57</v>
      </c>
      <c r="X358" t="s">
        <v>55</v>
      </c>
      <c r="Y358">
        <v>0</v>
      </c>
      <c r="Z358">
        <v>107.501</v>
      </c>
      <c r="AB358" t="s">
        <v>56</v>
      </c>
      <c r="AD358" t="s">
        <v>995</v>
      </c>
      <c r="AE358">
        <v>0</v>
      </c>
      <c r="AF358">
        <v>3</v>
      </c>
      <c r="AG358">
        <v>1</v>
      </c>
      <c r="AH358">
        <v>1.5</v>
      </c>
      <c r="AI358">
        <v>256</v>
      </c>
      <c r="AJ358">
        <v>256</v>
      </c>
      <c r="AK358">
        <v>74</v>
      </c>
      <c r="AL358" t="s">
        <v>75</v>
      </c>
      <c r="AM358">
        <v>2.5</v>
      </c>
      <c r="AN358" t="s">
        <v>1072</v>
      </c>
      <c r="AO358" t="s">
        <v>67</v>
      </c>
      <c r="AP358" t="s">
        <v>997</v>
      </c>
      <c r="AQ358">
        <v>15</v>
      </c>
      <c r="AR358">
        <v>25</v>
      </c>
      <c r="AS358">
        <v>50</v>
      </c>
      <c r="AT358">
        <v>4.2</v>
      </c>
      <c r="AU358">
        <v>8.9</v>
      </c>
      <c r="AV358" t="s">
        <v>1268</v>
      </c>
      <c r="AW358" t="s">
        <v>1269</v>
      </c>
      <c r="AX358" t="s">
        <v>1270</v>
      </c>
    </row>
    <row r="359" spans="1:50" x14ac:dyDescent="0.25">
      <c r="A359" t="s">
        <v>1271</v>
      </c>
      <c r="B359" t="s">
        <v>994</v>
      </c>
      <c r="C359">
        <v>0</v>
      </c>
      <c r="D359">
        <v>1</v>
      </c>
      <c r="H359">
        <v>1</v>
      </c>
      <c r="J359">
        <v>1886</v>
      </c>
      <c r="K359">
        <v>0</v>
      </c>
      <c r="M359">
        <v>0</v>
      </c>
      <c r="N359">
        <v>0</v>
      </c>
      <c r="O359">
        <v>0</v>
      </c>
      <c r="P359">
        <v>0</v>
      </c>
      <c r="Q359">
        <v>1</v>
      </c>
      <c r="U359" t="s">
        <v>53</v>
      </c>
      <c r="V359">
        <v>50</v>
      </c>
      <c r="X359" t="s">
        <v>80</v>
      </c>
      <c r="Y359">
        <v>0</v>
      </c>
      <c r="Z359">
        <v>113</v>
      </c>
      <c r="AB359" t="s">
        <v>269</v>
      </c>
      <c r="AD359" t="s">
        <v>995</v>
      </c>
      <c r="AE359">
        <v>0</v>
      </c>
      <c r="AF359">
        <v>3</v>
      </c>
      <c r="AG359">
        <v>1</v>
      </c>
      <c r="AH359">
        <v>1.5</v>
      </c>
      <c r="AI359">
        <v>512</v>
      </c>
      <c r="AJ359">
        <v>512</v>
      </c>
      <c r="AK359">
        <v>44</v>
      </c>
      <c r="AL359" t="s">
        <v>1272</v>
      </c>
      <c r="AM359">
        <v>3</v>
      </c>
      <c r="AN359" t="s">
        <v>1020</v>
      </c>
      <c r="AO359" t="s">
        <v>59</v>
      </c>
      <c r="AP359" t="s">
        <v>1021</v>
      </c>
      <c r="AQ359">
        <v>11</v>
      </c>
      <c r="AR359">
        <v>55</v>
      </c>
      <c r="AS359">
        <v>14</v>
      </c>
      <c r="AT359">
        <v>4.5</v>
      </c>
      <c r="AU359">
        <v>11</v>
      </c>
      <c r="AV359" t="s">
        <v>1273</v>
      </c>
      <c r="AW359" t="s">
        <v>1274</v>
      </c>
      <c r="AX359" t="s">
        <v>1275</v>
      </c>
    </row>
    <row r="360" spans="1:50" x14ac:dyDescent="0.25">
      <c r="A360" t="s">
        <v>1276</v>
      </c>
      <c r="B360" t="s">
        <v>994</v>
      </c>
      <c r="C360">
        <v>0</v>
      </c>
      <c r="H360">
        <v>1</v>
      </c>
      <c r="J360">
        <v>1472</v>
      </c>
      <c r="K360">
        <v>0</v>
      </c>
      <c r="M360">
        <v>0</v>
      </c>
      <c r="N360">
        <v>0</v>
      </c>
      <c r="O360">
        <v>0</v>
      </c>
      <c r="P360">
        <v>0</v>
      </c>
      <c r="Q360">
        <v>1</v>
      </c>
      <c r="U360" t="s">
        <v>53</v>
      </c>
      <c r="V360">
        <v>51</v>
      </c>
      <c r="X360" t="s">
        <v>55</v>
      </c>
      <c r="Y360">
        <v>0</v>
      </c>
      <c r="Z360">
        <v>95</v>
      </c>
      <c r="AB360" t="s">
        <v>118</v>
      </c>
      <c r="AD360" t="s">
        <v>995</v>
      </c>
      <c r="AE360">
        <v>0</v>
      </c>
      <c r="AF360">
        <v>6</v>
      </c>
      <c r="AG360">
        <v>1</v>
      </c>
      <c r="AH360">
        <v>1.5</v>
      </c>
      <c r="AI360">
        <v>256</v>
      </c>
      <c r="AJ360">
        <v>256</v>
      </c>
      <c r="AK360">
        <v>60</v>
      </c>
      <c r="AL360" t="s">
        <v>1034</v>
      </c>
      <c r="AM360">
        <v>4</v>
      </c>
      <c r="AN360" t="s">
        <v>1154</v>
      </c>
      <c r="AO360" t="s">
        <v>1155</v>
      </c>
      <c r="AP360" t="s">
        <v>1156</v>
      </c>
      <c r="AQ360">
        <v>11</v>
      </c>
      <c r="AR360">
        <v>1068</v>
      </c>
      <c r="AS360">
        <v>2136</v>
      </c>
      <c r="AT360">
        <v>6.0571000000000002</v>
      </c>
      <c r="AU360">
        <v>32.857599999999998</v>
      </c>
      <c r="AW360" t="s">
        <v>1277</v>
      </c>
      <c r="AX360" t="s">
        <v>1278</v>
      </c>
    </row>
    <row r="361" spans="1:50" x14ac:dyDescent="0.25">
      <c r="A361" t="s">
        <v>1279</v>
      </c>
      <c r="B361" t="s">
        <v>994</v>
      </c>
      <c r="C361">
        <v>0</v>
      </c>
      <c r="H361">
        <v>0</v>
      </c>
      <c r="J361">
        <v>1176</v>
      </c>
      <c r="K361">
        <v>677</v>
      </c>
      <c r="M361">
        <v>1176</v>
      </c>
      <c r="N361">
        <v>1</v>
      </c>
      <c r="O361">
        <v>1</v>
      </c>
      <c r="P361">
        <v>1</v>
      </c>
      <c r="Q361">
        <v>0</v>
      </c>
      <c r="U361" t="s">
        <v>93</v>
      </c>
      <c r="V361">
        <v>50</v>
      </c>
      <c r="Y361">
        <v>0</v>
      </c>
      <c r="Z361">
        <v>60</v>
      </c>
      <c r="AB361" t="s">
        <v>74</v>
      </c>
      <c r="AD361" t="s">
        <v>995</v>
      </c>
      <c r="AE361">
        <v>0</v>
      </c>
      <c r="AF361">
        <v>6</v>
      </c>
      <c r="AG361">
        <v>1</v>
      </c>
      <c r="AH361">
        <v>1.5</v>
      </c>
      <c r="AI361">
        <v>256</v>
      </c>
      <c r="AJ361">
        <v>256</v>
      </c>
      <c r="AK361">
        <v>60</v>
      </c>
      <c r="AL361" t="s">
        <v>75</v>
      </c>
      <c r="AM361">
        <v>4</v>
      </c>
      <c r="AN361" t="s">
        <v>1154</v>
      </c>
      <c r="AO361" t="s">
        <v>1155</v>
      </c>
      <c r="AP361" t="s">
        <v>1156</v>
      </c>
      <c r="AQ361">
        <v>11</v>
      </c>
      <c r="AR361">
        <v>873</v>
      </c>
      <c r="AS361">
        <v>1746</v>
      </c>
      <c r="AT361">
        <v>6.3057999999999996</v>
      </c>
      <c r="AU361">
        <v>32.857599999999998</v>
      </c>
      <c r="AW361" t="s">
        <v>1269</v>
      </c>
      <c r="AX361" t="s">
        <v>1280</v>
      </c>
    </row>
    <row r="362" spans="1:50" x14ac:dyDescent="0.25">
      <c r="A362" t="s">
        <v>1281</v>
      </c>
      <c r="B362" t="s">
        <v>994</v>
      </c>
      <c r="C362">
        <v>0</v>
      </c>
      <c r="H362">
        <v>0</v>
      </c>
      <c r="J362">
        <v>1420</v>
      </c>
      <c r="K362">
        <v>0</v>
      </c>
      <c r="M362">
        <v>0</v>
      </c>
      <c r="N362">
        <v>1</v>
      </c>
      <c r="O362">
        <v>1</v>
      </c>
      <c r="P362">
        <v>1</v>
      </c>
      <c r="Q362">
        <v>0</v>
      </c>
      <c r="U362" t="s">
        <v>93</v>
      </c>
      <c r="V362">
        <v>58</v>
      </c>
      <c r="X362" t="s">
        <v>80</v>
      </c>
      <c r="Y362">
        <v>0</v>
      </c>
      <c r="Z362">
        <v>95.707999999999998</v>
      </c>
      <c r="AB362" t="s">
        <v>56</v>
      </c>
      <c r="AD362" t="s">
        <v>995</v>
      </c>
      <c r="AE362">
        <v>0</v>
      </c>
      <c r="AF362">
        <v>3</v>
      </c>
      <c r="AG362">
        <v>1</v>
      </c>
      <c r="AH362">
        <v>1.5</v>
      </c>
      <c r="AI362">
        <v>256</v>
      </c>
      <c r="AJ362">
        <v>256</v>
      </c>
      <c r="AK362">
        <v>58</v>
      </c>
      <c r="AL362" t="s">
        <v>1010</v>
      </c>
      <c r="AM362">
        <v>2.5</v>
      </c>
      <c r="AN362" t="s">
        <v>1072</v>
      </c>
      <c r="AO362" t="s">
        <v>67</v>
      </c>
      <c r="AP362" t="s">
        <v>997</v>
      </c>
      <c r="AQ362">
        <v>15</v>
      </c>
      <c r="AR362">
        <v>41</v>
      </c>
      <c r="AS362">
        <v>82</v>
      </c>
      <c r="AT362">
        <v>4.2</v>
      </c>
      <c r="AU362">
        <v>9</v>
      </c>
      <c r="AV362" t="s">
        <v>1282</v>
      </c>
      <c r="AW362" t="s">
        <v>1283</v>
      </c>
      <c r="AX362" t="s">
        <v>1284</v>
      </c>
    </row>
    <row r="363" spans="1:50" x14ac:dyDescent="0.25">
      <c r="A363" t="s">
        <v>1285</v>
      </c>
      <c r="B363" t="s">
        <v>994</v>
      </c>
      <c r="C363">
        <v>0</v>
      </c>
      <c r="H363">
        <v>1</v>
      </c>
      <c r="J363">
        <v>1510</v>
      </c>
      <c r="K363">
        <v>0</v>
      </c>
      <c r="M363">
        <v>0</v>
      </c>
      <c r="N363">
        <v>0</v>
      </c>
      <c r="O363">
        <v>0</v>
      </c>
      <c r="P363">
        <v>0</v>
      </c>
      <c r="Q363">
        <v>1</v>
      </c>
      <c r="U363" t="s">
        <v>53</v>
      </c>
      <c r="V363">
        <v>46</v>
      </c>
      <c r="X363" t="s">
        <v>80</v>
      </c>
      <c r="Y363">
        <v>0</v>
      </c>
      <c r="Z363">
        <v>72.575000000000003</v>
      </c>
      <c r="AB363" t="s">
        <v>94</v>
      </c>
      <c r="AD363" t="s">
        <v>995</v>
      </c>
      <c r="AE363">
        <v>0</v>
      </c>
      <c r="AF363">
        <v>3</v>
      </c>
      <c r="AG363">
        <v>1</v>
      </c>
      <c r="AH363">
        <v>1.5</v>
      </c>
      <c r="AI363">
        <v>256</v>
      </c>
      <c r="AJ363">
        <v>256</v>
      </c>
      <c r="AK363">
        <v>56</v>
      </c>
      <c r="AL363" t="s">
        <v>1127</v>
      </c>
      <c r="AM363">
        <v>2.5</v>
      </c>
      <c r="AN363" t="s">
        <v>1072</v>
      </c>
      <c r="AO363" t="s">
        <v>67</v>
      </c>
      <c r="AP363" t="s">
        <v>997</v>
      </c>
      <c r="AQ363">
        <v>15</v>
      </c>
      <c r="AR363">
        <v>34</v>
      </c>
      <c r="AS363">
        <v>68</v>
      </c>
      <c r="AT363">
        <v>4.2</v>
      </c>
      <c r="AU363">
        <v>9</v>
      </c>
      <c r="AV363" t="s">
        <v>1286</v>
      </c>
      <c r="AW363" t="s">
        <v>1287</v>
      </c>
      <c r="AX363" t="s">
        <v>1288</v>
      </c>
    </row>
    <row r="364" spans="1:50" x14ac:dyDescent="0.25">
      <c r="A364" t="s">
        <v>1289</v>
      </c>
      <c r="B364" t="s">
        <v>994</v>
      </c>
      <c r="C364">
        <v>0</v>
      </c>
      <c r="H364">
        <v>0</v>
      </c>
      <c r="J364">
        <v>1466</v>
      </c>
      <c r="K364">
        <v>0</v>
      </c>
      <c r="M364">
        <v>0</v>
      </c>
      <c r="N364">
        <v>1</v>
      </c>
      <c r="O364">
        <v>1</v>
      </c>
      <c r="P364">
        <v>1</v>
      </c>
      <c r="Q364">
        <v>0</v>
      </c>
      <c r="U364" t="s">
        <v>93</v>
      </c>
      <c r="V364">
        <v>44</v>
      </c>
      <c r="X364" t="s">
        <v>55</v>
      </c>
      <c r="Y364">
        <v>0</v>
      </c>
      <c r="Z364">
        <v>113</v>
      </c>
      <c r="AB364" t="s">
        <v>269</v>
      </c>
      <c r="AD364" t="s">
        <v>995</v>
      </c>
      <c r="AE364">
        <v>0</v>
      </c>
      <c r="AF364">
        <v>3</v>
      </c>
      <c r="AG364">
        <v>1</v>
      </c>
      <c r="AH364">
        <v>1.5</v>
      </c>
      <c r="AI364">
        <v>512</v>
      </c>
      <c r="AJ364">
        <v>512</v>
      </c>
      <c r="AK364">
        <v>44</v>
      </c>
      <c r="AL364" t="s">
        <v>1272</v>
      </c>
      <c r="AM364">
        <v>3</v>
      </c>
      <c r="AN364" t="s">
        <v>1020</v>
      </c>
      <c r="AO364" t="s">
        <v>59</v>
      </c>
      <c r="AP364" t="s">
        <v>1021</v>
      </c>
      <c r="AQ364">
        <v>11</v>
      </c>
      <c r="AR364">
        <v>45</v>
      </c>
      <c r="AS364">
        <v>11</v>
      </c>
      <c r="AT364">
        <v>4.5</v>
      </c>
      <c r="AU364">
        <v>11</v>
      </c>
      <c r="AV364" t="s">
        <v>1290</v>
      </c>
      <c r="AW364" t="s">
        <v>1287</v>
      </c>
      <c r="AX364" t="s">
        <v>1291</v>
      </c>
    </row>
    <row r="365" spans="1:50" x14ac:dyDescent="0.25">
      <c r="A365" t="s">
        <v>1292</v>
      </c>
      <c r="B365" t="s">
        <v>994</v>
      </c>
      <c r="C365">
        <v>0</v>
      </c>
      <c r="H365">
        <v>0</v>
      </c>
      <c r="J365">
        <v>1834</v>
      </c>
      <c r="K365">
        <v>0</v>
      </c>
      <c r="M365">
        <v>0</v>
      </c>
      <c r="N365">
        <v>1</v>
      </c>
      <c r="O365">
        <v>1</v>
      </c>
      <c r="P365">
        <v>1</v>
      </c>
      <c r="Q365">
        <v>0</v>
      </c>
      <c r="U365" t="s">
        <v>93</v>
      </c>
      <c r="V365">
        <v>49</v>
      </c>
      <c r="X365" t="s">
        <v>55</v>
      </c>
      <c r="Y365">
        <v>0</v>
      </c>
      <c r="Z365">
        <v>90.718000000000004</v>
      </c>
      <c r="AB365" t="s">
        <v>118</v>
      </c>
      <c r="AD365" t="s">
        <v>995</v>
      </c>
      <c r="AE365">
        <v>0</v>
      </c>
      <c r="AF365">
        <v>3</v>
      </c>
      <c r="AG365">
        <v>1</v>
      </c>
      <c r="AH365">
        <v>1.5</v>
      </c>
      <c r="AI365">
        <v>256</v>
      </c>
      <c r="AJ365">
        <v>256</v>
      </c>
      <c r="AK365">
        <v>60</v>
      </c>
      <c r="AL365" t="s">
        <v>1034</v>
      </c>
      <c r="AM365">
        <v>2.6</v>
      </c>
      <c r="AN365" t="s">
        <v>996</v>
      </c>
      <c r="AO365" t="s">
        <v>67</v>
      </c>
      <c r="AP365" t="s">
        <v>997</v>
      </c>
      <c r="AQ365">
        <v>15</v>
      </c>
      <c r="AR365">
        <v>12</v>
      </c>
      <c r="AS365">
        <v>25</v>
      </c>
      <c r="AT365">
        <v>4.2</v>
      </c>
      <c r="AU365">
        <v>8.9</v>
      </c>
      <c r="AV365" t="s">
        <v>1293</v>
      </c>
      <c r="AW365" t="s">
        <v>1294</v>
      </c>
      <c r="AX365" t="s">
        <v>1295</v>
      </c>
    </row>
    <row r="366" spans="1:50" x14ac:dyDescent="0.25">
      <c r="A366" t="s">
        <v>1296</v>
      </c>
      <c r="B366" t="s">
        <v>994</v>
      </c>
      <c r="C366">
        <v>0</v>
      </c>
      <c r="H366">
        <v>0</v>
      </c>
      <c r="J366">
        <v>1481</v>
      </c>
      <c r="K366">
        <v>0</v>
      </c>
      <c r="M366">
        <v>0</v>
      </c>
      <c r="N366">
        <v>0</v>
      </c>
      <c r="O366">
        <v>0</v>
      </c>
      <c r="P366">
        <v>0</v>
      </c>
      <c r="Q366">
        <v>1</v>
      </c>
      <c r="U366" t="s">
        <v>53</v>
      </c>
      <c r="V366">
        <v>59</v>
      </c>
      <c r="X366" t="s">
        <v>80</v>
      </c>
      <c r="Y366">
        <v>0</v>
      </c>
      <c r="Z366">
        <v>60.780999999999999</v>
      </c>
      <c r="AB366" t="s">
        <v>74</v>
      </c>
      <c r="AD366" t="s">
        <v>995</v>
      </c>
      <c r="AE366">
        <v>0</v>
      </c>
      <c r="AF366">
        <v>3</v>
      </c>
      <c r="AG366">
        <v>1</v>
      </c>
      <c r="AH366">
        <v>1.5</v>
      </c>
      <c r="AI366">
        <v>256</v>
      </c>
      <c r="AJ366">
        <v>256</v>
      </c>
      <c r="AK366">
        <v>64</v>
      </c>
      <c r="AL366" t="s">
        <v>1127</v>
      </c>
      <c r="AM366">
        <v>2.5</v>
      </c>
      <c r="AN366" t="s">
        <v>1072</v>
      </c>
      <c r="AO366" t="s">
        <v>67</v>
      </c>
      <c r="AP366" t="s">
        <v>997</v>
      </c>
      <c r="AQ366">
        <v>15</v>
      </c>
      <c r="AR366">
        <v>20</v>
      </c>
      <c r="AS366">
        <v>40</v>
      </c>
      <c r="AT366">
        <v>4.2</v>
      </c>
      <c r="AU366">
        <v>9</v>
      </c>
      <c r="AV366" t="s">
        <v>1297</v>
      </c>
      <c r="AW366" t="s">
        <v>1298</v>
      </c>
      <c r="AX366" t="s">
        <v>1299</v>
      </c>
    </row>
    <row r="367" spans="1:50" x14ac:dyDescent="0.25">
      <c r="A367" t="s">
        <v>1300</v>
      </c>
      <c r="B367" t="s">
        <v>994</v>
      </c>
      <c r="C367">
        <v>0</v>
      </c>
      <c r="H367">
        <v>0</v>
      </c>
      <c r="J367">
        <v>1415</v>
      </c>
      <c r="K367">
        <v>0</v>
      </c>
      <c r="M367">
        <v>0</v>
      </c>
      <c r="N367">
        <v>1</v>
      </c>
      <c r="O367">
        <v>1</v>
      </c>
      <c r="P367">
        <v>1</v>
      </c>
      <c r="Q367">
        <v>0</v>
      </c>
      <c r="U367" t="s">
        <v>93</v>
      </c>
      <c r="V367">
        <v>61</v>
      </c>
      <c r="X367" t="s">
        <v>80</v>
      </c>
      <c r="Y367">
        <v>0</v>
      </c>
      <c r="Z367">
        <v>87.997</v>
      </c>
      <c r="AB367" t="s">
        <v>118</v>
      </c>
      <c r="AD367" t="s">
        <v>995</v>
      </c>
      <c r="AE367">
        <v>0</v>
      </c>
      <c r="AF367">
        <v>3</v>
      </c>
      <c r="AG367">
        <v>1</v>
      </c>
      <c r="AH367">
        <v>1.5</v>
      </c>
      <c r="AI367">
        <v>256</v>
      </c>
      <c r="AJ367">
        <v>256</v>
      </c>
      <c r="AK367">
        <v>56</v>
      </c>
      <c r="AL367" t="s">
        <v>1010</v>
      </c>
      <c r="AM367">
        <v>2.5</v>
      </c>
      <c r="AN367" t="s">
        <v>1072</v>
      </c>
      <c r="AO367" t="s">
        <v>67</v>
      </c>
      <c r="AP367" t="s">
        <v>997</v>
      </c>
      <c r="AQ367">
        <v>15</v>
      </c>
      <c r="AR367">
        <v>34</v>
      </c>
      <c r="AS367">
        <v>69</v>
      </c>
      <c r="AT367">
        <v>4.2</v>
      </c>
      <c r="AU367">
        <v>9</v>
      </c>
      <c r="AV367" t="s">
        <v>1301</v>
      </c>
      <c r="AW367" t="s">
        <v>1302</v>
      </c>
      <c r="AX367" t="s">
        <v>1303</v>
      </c>
    </row>
    <row r="368" spans="1:50" x14ac:dyDescent="0.25">
      <c r="A368" t="s">
        <v>1304</v>
      </c>
      <c r="B368" t="s">
        <v>994</v>
      </c>
      <c r="C368">
        <v>0</v>
      </c>
      <c r="H368">
        <v>0</v>
      </c>
      <c r="J368">
        <v>1567</v>
      </c>
      <c r="K368">
        <v>805</v>
      </c>
      <c r="M368">
        <v>0</v>
      </c>
      <c r="N368">
        <v>0</v>
      </c>
      <c r="O368">
        <v>0</v>
      </c>
      <c r="P368">
        <v>0</v>
      </c>
      <c r="Q368">
        <v>1</v>
      </c>
      <c r="U368" t="s">
        <v>53</v>
      </c>
      <c r="V368">
        <v>47</v>
      </c>
      <c r="X368" t="s">
        <v>80</v>
      </c>
      <c r="Y368">
        <v>0</v>
      </c>
      <c r="Z368">
        <v>84</v>
      </c>
      <c r="AB368" t="s">
        <v>118</v>
      </c>
      <c r="AD368" t="s">
        <v>995</v>
      </c>
      <c r="AE368">
        <v>0</v>
      </c>
      <c r="AF368">
        <v>6</v>
      </c>
      <c r="AG368">
        <v>1</v>
      </c>
      <c r="AH368">
        <v>1.5</v>
      </c>
      <c r="AI368">
        <v>256</v>
      </c>
      <c r="AJ368">
        <v>256</v>
      </c>
      <c r="AK368">
        <v>60</v>
      </c>
      <c r="AL368" t="s">
        <v>75</v>
      </c>
      <c r="AM368">
        <v>4</v>
      </c>
      <c r="AN368" t="s">
        <v>1154</v>
      </c>
      <c r="AO368" t="s">
        <v>1155</v>
      </c>
      <c r="AP368" t="s">
        <v>1305</v>
      </c>
      <c r="AQ368">
        <v>11</v>
      </c>
      <c r="AR368">
        <v>1521</v>
      </c>
      <c r="AS368">
        <v>3281</v>
      </c>
      <c r="AT368">
        <v>6.2527999999999997</v>
      </c>
      <c r="AU368">
        <v>32.857599999999998</v>
      </c>
      <c r="AW368" t="s">
        <v>1306</v>
      </c>
      <c r="AX368" t="s">
        <v>1307</v>
      </c>
    </row>
    <row r="369" spans="1:50" x14ac:dyDescent="0.25">
      <c r="A369" t="s">
        <v>1308</v>
      </c>
      <c r="B369" t="s">
        <v>994</v>
      </c>
      <c r="C369">
        <v>0</v>
      </c>
      <c r="H369">
        <v>1</v>
      </c>
      <c r="J369">
        <v>1615</v>
      </c>
      <c r="K369">
        <v>0</v>
      </c>
      <c r="M369">
        <v>0</v>
      </c>
      <c r="N369">
        <v>1</v>
      </c>
      <c r="O369">
        <v>1</v>
      </c>
      <c r="P369">
        <v>1</v>
      </c>
      <c r="Q369">
        <v>0</v>
      </c>
      <c r="U369" t="s">
        <v>93</v>
      </c>
      <c r="V369">
        <v>44</v>
      </c>
      <c r="X369" t="s">
        <v>321</v>
      </c>
      <c r="Y369">
        <v>0</v>
      </c>
      <c r="Z369">
        <v>49</v>
      </c>
      <c r="AB369" t="s">
        <v>247</v>
      </c>
      <c r="AD369" t="s">
        <v>995</v>
      </c>
      <c r="AE369">
        <v>0</v>
      </c>
      <c r="AF369">
        <v>6</v>
      </c>
      <c r="AG369">
        <v>1</v>
      </c>
      <c r="AH369">
        <v>1.5</v>
      </c>
      <c r="AI369">
        <v>256</v>
      </c>
      <c r="AJ369">
        <v>256</v>
      </c>
      <c r="AK369">
        <v>60</v>
      </c>
      <c r="AL369" t="s">
        <v>75</v>
      </c>
      <c r="AM369">
        <v>4</v>
      </c>
      <c r="AN369" t="s">
        <v>1154</v>
      </c>
      <c r="AO369" t="s">
        <v>1155</v>
      </c>
      <c r="AP369" t="s">
        <v>1305</v>
      </c>
      <c r="AQ369">
        <v>11</v>
      </c>
      <c r="AR369">
        <v>1413</v>
      </c>
      <c r="AS369">
        <v>2822</v>
      </c>
      <c r="AT369">
        <v>6.2858000000000001</v>
      </c>
      <c r="AU369">
        <v>32.857599999999998</v>
      </c>
      <c r="AW369" t="s">
        <v>1309</v>
      </c>
      <c r="AX369" t="s">
        <v>1310</v>
      </c>
    </row>
    <row r="370" spans="1:50" x14ac:dyDescent="0.25">
      <c r="A370" t="s">
        <v>1311</v>
      </c>
      <c r="B370" t="s">
        <v>994</v>
      </c>
      <c r="C370">
        <v>0</v>
      </c>
      <c r="H370">
        <v>0</v>
      </c>
      <c r="J370">
        <v>571</v>
      </c>
      <c r="N370">
        <v>1</v>
      </c>
      <c r="O370">
        <v>1</v>
      </c>
      <c r="P370">
        <v>1</v>
      </c>
      <c r="Q370">
        <v>0</v>
      </c>
      <c r="U370" t="s">
        <v>93</v>
      </c>
      <c r="V370">
        <v>47</v>
      </c>
      <c r="X370" t="s">
        <v>111</v>
      </c>
      <c r="Y370">
        <v>0</v>
      </c>
      <c r="Z370">
        <v>61.689</v>
      </c>
      <c r="AB370" t="s">
        <v>74</v>
      </c>
      <c r="AD370" t="s">
        <v>995</v>
      </c>
      <c r="AE370">
        <v>0</v>
      </c>
      <c r="AF370">
        <v>3</v>
      </c>
      <c r="AG370">
        <v>1</v>
      </c>
      <c r="AH370">
        <v>1.5</v>
      </c>
      <c r="AI370">
        <v>256</v>
      </c>
      <c r="AJ370">
        <v>256</v>
      </c>
      <c r="AK370">
        <v>60</v>
      </c>
      <c r="AL370" t="s">
        <v>75</v>
      </c>
      <c r="AM370">
        <v>2</v>
      </c>
      <c r="AN370" t="s">
        <v>996</v>
      </c>
      <c r="AO370" t="s">
        <v>67</v>
      </c>
      <c r="AP370" t="s">
        <v>997</v>
      </c>
      <c r="AQ370">
        <v>15</v>
      </c>
      <c r="AR370">
        <v>70</v>
      </c>
      <c r="AS370">
        <v>141</v>
      </c>
      <c r="AT370">
        <v>4.2</v>
      </c>
      <c r="AU370">
        <v>8.9</v>
      </c>
      <c r="AV370" t="s">
        <v>1312</v>
      </c>
      <c r="AW370" t="s">
        <v>1313</v>
      </c>
      <c r="AX370" t="s">
        <v>1314</v>
      </c>
    </row>
    <row r="371" spans="1:50" x14ac:dyDescent="0.25">
      <c r="A371" t="s">
        <v>1315</v>
      </c>
      <c r="B371" t="s">
        <v>994</v>
      </c>
      <c r="C371">
        <v>0</v>
      </c>
      <c r="H371">
        <v>0</v>
      </c>
      <c r="J371">
        <v>1684</v>
      </c>
      <c r="K371">
        <v>0</v>
      </c>
      <c r="M371">
        <v>0</v>
      </c>
      <c r="N371">
        <v>1</v>
      </c>
      <c r="O371">
        <v>1</v>
      </c>
      <c r="P371">
        <v>0</v>
      </c>
      <c r="Q371">
        <v>1</v>
      </c>
      <c r="U371" t="s">
        <v>72</v>
      </c>
      <c r="V371">
        <v>33</v>
      </c>
      <c r="X371" t="s">
        <v>80</v>
      </c>
      <c r="Y371">
        <v>0</v>
      </c>
      <c r="Z371">
        <v>56.698999999999998</v>
      </c>
      <c r="AB371" t="s">
        <v>74</v>
      </c>
      <c r="AD371" t="s">
        <v>995</v>
      </c>
      <c r="AE371">
        <v>0</v>
      </c>
      <c r="AF371">
        <v>3</v>
      </c>
      <c r="AG371">
        <v>1</v>
      </c>
      <c r="AH371">
        <v>1.5</v>
      </c>
      <c r="AI371">
        <v>256</v>
      </c>
      <c r="AJ371">
        <v>256</v>
      </c>
      <c r="AK371">
        <v>60</v>
      </c>
      <c r="AL371" t="s">
        <v>75</v>
      </c>
      <c r="AM371">
        <v>2</v>
      </c>
      <c r="AN371" t="s">
        <v>996</v>
      </c>
      <c r="AO371" t="s">
        <v>67</v>
      </c>
      <c r="AP371" t="s">
        <v>997</v>
      </c>
      <c r="AQ371">
        <v>15</v>
      </c>
      <c r="AR371">
        <v>52</v>
      </c>
      <c r="AS371">
        <v>104</v>
      </c>
      <c r="AT371">
        <v>4.2</v>
      </c>
      <c r="AU371">
        <v>8.9</v>
      </c>
      <c r="AV371" t="s">
        <v>1316</v>
      </c>
      <c r="AW371" t="s">
        <v>1313</v>
      </c>
      <c r="AX371" t="s">
        <v>1317</v>
      </c>
    </row>
    <row r="372" spans="1:50" x14ac:dyDescent="0.25">
      <c r="A372" t="s">
        <v>1318</v>
      </c>
      <c r="B372" t="s">
        <v>994</v>
      </c>
      <c r="C372">
        <v>0</v>
      </c>
      <c r="H372">
        <v>1</v>
      </c>
      <c r="J372">
        <v>612</v>
      </c>
      <c r="K372">
        <v>499</v>
      </c>
      <c r="M372">
        <v>612</v>
      </c>
      <c r="N372">
        <v>0</v>
      </c>
      <c r="O372">
        <v>0</v>
      </c>
      <c r="P372">
        <v>0</v>
      </c>
      <c r="Q372">
        <v>1</v>
      </c>
      <c r="U372" t="s">
        <v>53</v>
      </c>
      <c r="V372">
        <v>52</v>
      </c>
      <c r="X372" t="s">
        <v>55</v>
      </c>
      <c r="Y372">
        <v>0</v>
      </c>
      <c r="Z372">
        <v>68.039000000000001</v>
      </c>
      <c r="AB372" t="s">
        <v>74</v>
      </c>
      <c r="AD372" t="s">
        <v>995</v>
      </c>
      <c r="AE372">
        <v>0</v>
      </c>
      <c r="AF372">
        <v>3</v>
      </c>
      <c r="AG372">
        <v>1</v>
      </c>
      <c r="AH372">
        <v>1.5</v>
      </c>
      <c r="AI372">
        <v>256</v>
      </c>
      <c r="AJ372">
        <v>256</v>
      </c>
      <c r="AK372">
        <v>66</v>
      </c>
      <c r="AL372" t="s">
        <v>75</v>
      </c>
      <c r="AM372">
        <v>2</v>
      </c>
      <c r="AN372" t="s">
        <v>1097</v>
      </c>
      <c r="AO372" t="s">
        <v>67</v>
      </c>
      <c r="AP372" t="s">
        <v>659</v>
      </c>
      <c r="AQ372">
        <v>15</v>
      </c>
      <c r="AR372">
        <v>259</v>
      </c>
      <c r="AS372">
        <v>519</v>
      </c>
      <c r="AT372">
        <v>4.2</v>
      </c>
      <c r="AU372">
        <v>17.568000000000001</v>
      </c>
      <c r="AW372" t="s">
        <v>1319</v>
      </c>
      <c r="AX372" t="s">
        <v>1320</v>
      </c>
    </row>
    <row r="373" spans="1:50" x14ac:dyDescent="0.25">
      <c r="A373" t="s">
        <v>1321</v>
      </c>
      <c r="B373" t="s">
        <v>994</v>
      </c>
      <c r="C373">
        <v>0</v>
      </c>
      <c r="H373">
        <v>1</v>
      </c>
      <c r="J373">
        <v>1375</v>
      </c>
      <c r="K373">
        <v>0</v>
      </c>
      <c r="M373">
        <v>0</v>
      </c>
      <c r="N373">
        <v>1</v>
      </c>
      <c r="O373">
        <v>1</v>
      </c>
      <c r="P373">
        <v>0</v>
      </c>
      <c r="Q373">
        <v>0</v>
      </c>
      <c r="U373" t="s">
        <v>93</v>
      </c>
      <c r="V373">
        <v>39</v>
      </c>
      <c r="X373" t="s">
        <v>80</v>
      </c>
      <c r="Y373">
        <v>0</v>
      </c>
      <c r="Z373">
        <v>68.039000000000001</v>
      </c>
      <c r="AB373" t="s">
        <v>74</v>
      </c>
      <c r="AD373" t="s">
        <v>995</v>
      </c>
      <c r="AE373">
        <v>0</v>
      </c>
      <c r="AF373">
        <v>3</v>
      </c>
      <c r="AG373">
        <v>1</v>
      </c>
      <c r="AH373">
        <v>1.5</v>
      </c>
      <c r="AI373">
        <v>256</v>
      </c>
      <c r="AJ373">
        <v>256</v>
      </c>
      <c r="AK373">
        <v>58</v>
      </c>
      <c r="AL373" t="s">
        <v>1149</v>
      </c>
      <c r="AM373">
        <v>2.5</v>
      </c>
      <c r="AN373" t="s">
        <v>1072</v>
      </c>
      <c r="AO373" t="s">
        <v>67</v>
      </c>
      <c r="AP373" t="s">
        <v>997</v>
      </c>
      <c r="AQ373">
        <v>15</v>
      </c>
      <c r="AR373">
        <v>37</v>
      </c>
      <c r="AS373">
        <v>75</v>
      </c>
      <c r="AT373">
        <v>4.2</v>
      </c>
      <c r="AU373">
        <v>9</v>
      </c>
      <c r="AV373" t="s">
        <v>1322</v>
      </c>
      <c r="AW373" t="s">
        <v>1323</v>
      </c>
      <c r="AX373" t="s">
        <v>1324</v>
      </c>
    </row>
    <row r="374" spans="1:50" x14ac:dyDescent="0.25">
      <c r="A374" t="s">
        <v>1325</v>
      </c>
      <c r="B374" t="s">
        <v>994</v>
      </c>
      <c r="C374">
        <v>0</v>
      </c>
      <c r="H374">
        <v>0</v>
      </c>
      <c r="J374">
        <v>1719</v>
      </c>
      <c r="K374">
        <v>0</v>
      </c>
      <c r="M374">
        <v>0</v>
      </c>
      <c r="N374">
        <v>1</v>
      </c>
      <c r="O374">
        <v>1</v>
      </c>
      <c r="P374">
        <v>1</v>
      </c>
      <c r="Q374">
        <v>0</v>
      </c>
      <c r="U374" t="s">
        <v>93</v>
      </c>
      <c r="V374">
        <v>51</v>
      </c>
      <c r="X374" t="s">
        <v>80</v>
      </c>
      <c r="Y374">
        <v>0</v>
      </c>
      <c r="Z374">
        <v>95.254000000000005</v>
      </c>
      <c r="AB374" t="s">
        <v>118</v>
      </c>
      <c r="AD374" t="s">
        <v>995</v>
      </c>
      <c r="AE374">
        <v>0</v>
      </c>
      <c r="AF374">
        <v>3</v>
      </c>
      <c r="AG374">
        <v>1</v>
      </c>
      <c r="AH374">
        <v>1.5</v>
      </c>
      <c r="AI374">
        <v>256</v>
      </c>
      <c r="AJ374">
        <v>256</v>
      </c>
      <c r="AK374">
        <v>60</v>
      </c>
      <c r="AL374" t="s">
        <v>1034</v>
      </c>
      <c r="AM374">
        <v>2.2000000000000002</v>
      </c>
      <c r="AN374" t="s">
        <v>996</v>
      </c>
      <c r="AO374" t="s">
        <v>67</v>
      </c>
      <c r="AP374" t="s">
        <v>997</v>
      </c>
      <c r="AQ374">
        <v>15</v>
      </c>
      <c r="AR374">
        <v>21</v>
      </c>
      <c r="AS374">
        <v>42</v>
      </c>
      <c r="AT374">
        <v>4.2</v>
      </c>
      <c r="AU374">
        <v>8.9</v>
      </c>
      <c r="AV374" t="s">
        <v>1326</v>
      </c>
      <c r="AW374" t="s">
        <v>1327</v>
      </c>
      <c r="AX374" t="s">
        <v>1328</v>
      </c>
    </row>
    <row r="375" spans="1:50" x14ac:dyDescent="0.25">
      <c r="A375" t="s">
        <v>1329</v>
      </c>
      <c r="B375" t="s">
        <v>994</v>
      </c>
      <c r="C375">
        <v>0</v>
      </c>
      <c r="H375">
        <v>0</v>
      </c>
      <c r="J375">
        <v>1599</v>
      </c>
      <c r="K375">
        <v>0</v>
      </c>
      <c r="M375">
        <v>0</v>
      </c>
      <c r="N375">
        <v>1</v>
      </c>
      <c r="O375">
        <v>1</v>
      </c>
      <c r="P375">
        <v>1</v>
      </c>
      <c r="Q375">
        <v>0</v>
      </c>
      <c r="U375" t="s">
        <v>93</v>
      </c>
      <c r="V375">
        <v>43</v>
      </c>
      <c r="X375" t="s">
        <v>80</v>
      </c>
      <c r="Y375">
        <v>0</v>
      </c>
      <c r="Z375">
        <v>77.111000000000004</v>
      </c>
      <c r="AB375" t="s">
        <v>94</v>
      </c>
      <c r="AD375" t="s">
        <v>995</v>
      </c>
      <c r="AE375">
        <v>0</v>
      </c>
      <c r="AF375">
        <v>3</v>
      </c>
      <c r="AG375">
        <v>1</v>
      </c>
      <c r="AH375">
        <v>1.5</v>
      </c>
      <c r="AI375">
        <v>256</v>
      </c>
      <c r="AJ375">
        <v>256</v>
      </c>
      <c r="AK375">
        <v>60</v>
      </c>
      <c r="AL375" t="s">
        <v>75</v>
      </c>
      <c r="AM375">
        <v>2</v>
      </c>
      <c r="AN375" t="s">
        <v>996</v>
      </c>
      <c r="AO375" t="s">
        <v>67</v>
      </c>
      <c r="AP375" t="s">
        <v>997</v>
      </c>
      <c r="AQ375">
        <v>15</v>
      </c>
      <c r="AR375">
        <v>20</v>
      </c>
      <c r="AS375">
        <v>41</v>
      </c>
      <c r="AT375">
        <v>4.2</v>
      </c>
      <c r="AU375">
        <v>8.9</v>
      </c>
      <c r="AV375" t="s">
        <v>1330</v>
      </c>
      <c r="AW375" t="s">
        <v>1331</v>
      </c>
      <c r="AX375" t="s">
        <v>1332</v>
      </c>
    </row>
    <row r="376" spans="1:50" x14ac:dyDescent="0.25">
      <c r="A376" t="s">
        <v>1333</v>
      </c>
      <c r="B376" t="s">
        <v>994</v>
      </c>
      <c r="C376">
        <v>0</v>
      </c>
      <c r="H376">
        <v>0</v>
      </c>
      <c r="J376">
        <v>1596</v>
      </c>
      <c r="K376">
        <v>0</v>
      </c>
      <c r="M376">
        <v>0</v>
      </c>
      <c r="N376">
        <v>0</v>
      </c>
      <c r="O376">
        <v>0</v>
      </c>
      <c r="P376">
        <v>0</v>
      </c>
      <c r="Q376">
        <v>0</v>
      </c>
      <c r="U376" t="s">
        <v>65</v>
      </c>
      <c r="V376">
        <v>58</v>
      </c>
      <c r="X376" t="s">
        <v>80</v>
      </c>
      <c r="Y376">
        <v>0</v>
      </c>
      <c r="Z376">
        <v>69.852999999999994</v>
      </c>
      <c r="AB376" t="s">
        <v>94</v>
      </c>
      <c r="AD376" t="s">
        <v>995</v>
      </c>
      <c r="AE376">
        <v>0</v>
      </c>
      <c r="AF376">
        <v>3</v>
      </c>
      <c r="AG376">
        <v>1</v>
      </c>
      <c r="AH376">
        <v>1.5</v>
      </c>
      <c r="AI376">
        <v>256</v>
      </c>
      <c r="AJ376">
        <v>256</v>
      </c>
      <c r="AK376">
        <v>60</v>
      </c>
      <c r="AL376" t="s">
        <v>75</v>
      </c>
      <c r="AM376">
        <v>2</v>
      </c>
      <c r="AN376" t="s">
        <v>996</v>
      </c>
      <c r="AO376" t="s">
        <v>67</v>
      </c>
      <c r="AP376" t="s">
        <v>997</v>
      </c>
      <c r="AQ376">
        <v>15</v>
      </c>
      <c r="AR376">
        <v>17</v>
      </c>
      <c r="AS376">
        <v>35</v>
      </c>
      <c r="AT376">
        <v>4.2</v>
      </c>
      <c r="AU376">
        <v>8.9</v>
      </c>
      <c r="AV376" t="s">
        <v>1334</v>
      </c>
      <c r="AW376" t="s">
        <v>1335</v>
      </c>
      <c r="AX376" t="s">
        <v>1336</v>
      </c>
    </row>
    <row r="377" spans="1:50" x14ac:dyDescent="0.25">
      <c r="A377" t="s">
        <v>1337</v>
      </c>
      <c r="B377" t="s">
        <v>994</v>
      </c>
      <c r="C377">
        <v>0</v>
      </c>
      <c r="H377">
        <v>0</v>
      </c>
      <c r="J377">
        <v>491</v>
      </c>
      <c r="K377">
        <v>360</v>
      </c>
      <c r="M377">
        <v>491</v>
      </c>
      <c r="N377">
        <v>0</v>
      </c>
      <c r="O377">
        <v>0</v>
      </c>
      <c r="P377">
        <v>0</v>
      </c>
      <c r="Q377">
        <v>0</v>
      </c>
      <c r="U377" t="s">
        <v>65</v>
      </c>
      <c r="V377">
        <v>60</v>
      </c>
      <c r="X377" t="s">
        <v>55</v>
      </c>
      <c r="Y377">
        <v>0</v>
      </c>
      <c r="Z377">
        <v>66.224000000000004</v>
      </c>
      <c r="AB377" t="s">
        <v>74</v>
      </c>
      <c r="AD377" t="s">
        <v>995</v>
      </c>
      <c r="AE377">
        <v>0</v>
      </c>
      <c r="AF377">
        <v>3</v>
      </c>
      <c r="AG377">
        <v>1</v>
      </c>
      <c r="AH377">
        <v>1.5</v>
      </c>
      <c r="AI377">
        <v>256</v>
      </c>
      <c r="AJ377">
        <v>256</v>
      </c>
      <c r="AK377">
        <v>56</v>
      </c>
      <c r="AL377" t="s">
        <v>1010</v>
      </c>
      <c r="AM377">
        <v>2.5</v>
      </c>
      <c r="AN377" t="s">
        <v>1072</v>
      </c>
      <c r="AO377" t="s">
        <v>67</v>
      </c>
      <c r="AP377" t="s">
        <v>997</v>
      </c>
      <c r="AQ377">
        <v>15</v>
      </c>
      <c r="AR377">
        <v>52</v>
      </c>
      <c r="AS377">
        <v>104</v>
      </c>
      <c r="AT377">
        <v>4.2</v>
      </c>
      <c r="AU377">
        <v>9</v>
      </c>
      <c r="AV377" t="s">
        <v>1338</v>
      </c>
      <c r="AW377" t="s">
        <v>1339</v>
      </c>
      <c r="AX377" t="s">
        <v>1340</v>
      </c>
    </row>
    <row r="378" spans="1:50" x14ac:dyDescent="0.25">
      <c r="A378" t="s">
        <v>1341</v>
      </c>
      <c r="B378" t="s">
        <v>994</v>
      </c>
      <c r="C378">
        <v>0</v>
      </c>
      <c r="H378">
        <v>0</v>
      </c>
      <c r="J378">
        <v>1708</v>
      </c>
      <c r="K378">
        <v>1393</v>
      </c>
      <c r="M378">
        <v>0</v>
      </c>
      <c r="N378">
        <v>1</v>
      </c>
      <c r="O378">
        <v>1</v>
      </c>
      <c r="P378">
        <v>1</v>
      </c>
      <c r="Q378">
        <v>1</v>
      </c>
      <c r="U378" t="s">
        <v>72</v>
      </c>
      <c r="V378">
        <v>29</v>
      </c>
      <c r="X378" t="s">
        <v>80</v>
      </c>
      <c r="Y378">
        <v>0</v>
      </c>
      <c r="Z378">
        <v>65.771000000000001</v>
      </c>
      <c r="AB378" t="s">
        <v>74</v>
      </c>
      <c r="AD378" t="s">
        <v>995</v>
      </c>
      <c r="AE378">
        <v>0</v>
      </c>
      <c r="AF378">
        <v>3</v>
      </c>
      <c r="AG378">
        <v>1</v>
      </c>
      <c r="AH378">
        <v>1.5</v>
      </c>
      <c r="AI378">
        <v>256</v>
      </c>
      <c r="AJ378">
        <v>256</v>
      </c>
      <c r="AK378">
        <v>60</v>
      </c>
      <c r="AL378" t="s">
        <v>1034</v>
      </c>
      <c r="AM378">
        <v>2</v>
      </c>
      <c r="AN378" t="s">
        <v>996</v>
      </c>
      <c r="AO378" t="s">
        <v>67</v>
      </c>
      <c r="AP378" t="s">
        <v>997</v>
      </c>
      <c r="AQ378">
        <v>15</v>
      </c>
      <c r="AR378">
        <v>141</v>
      </c>
      <c r="AS378">
        <v>282</v>
      </c>
      <c r="AT378">
        <v>4.2</v>
      </c>
      <c r="AU378">
        <v>8.9</v>
      </c>
      <c r="AV378" t="s">
        <v>1342</v>
      </c>
      <c r="AW378" t="s">
        <v>1343</v>
      </c>
      <c r="AX378" t="s">
        <v>1344</v>
      </c>
    </row>
    <row r="379" spans="1:50" x14ac:dyDescent="0.25">
      <c r="A379" t="s">
        <v>1345</v>
      </c>
      <c r="B379" t="s">
        <v>994</v>
      </c>
      <c r="C379">
        <v>0</v>
      </c>
      <c r="D379">
        <v>1</v>
      </c>
      <c r="H379">
        <v>1</v>
      </c>
      <c r="J379">
        <v>1679</v>
      </c>
      <c r="K379">
        <v>0</v>
      </c>
      <c r="M379">
        <v>0</v>
      </c>
      <c r="N379">
        <v>0</v>
      </c>
      <c r="O379">
        <v>0</v>
      </c>
      <c r="P379">
        <v>0</v>
      </c>
      <c r="Q379">
        <v>0</v>
      </c>
      <c r="U379" t="s">
        <v>65</v>
      </c>
      <c r="V379">
        <v>46</v>
      </c>
      <c r="X379" t="s">
        <v>80</v>
      </c>
      <c r="Y379">
        <v>0</v>
      </c>
      <c r="Z379">
        <v>81.72</v>
      </c>
      <c r="AB379" t="s">
        <v>118</v>
      </c>
      <c r="AD379" t="s">
        <v>995</v>
      </c>
      <c r="AE379">
        <v>0</v>
      </c>
      <c r="AF379">
        <v>3</v>
      </c>
      <c r="AG379">
        <v>1</v>
      </c>
      <c r="AH379">
        <v>1.5</v>
      </c>
      <c r="AI379">
        <v>256</v>
      </c>
      <c r="AJ379">
        <v>256</v>
      </c>
      <c r="AK379">
        <v>64</v>
      </c>
      <c r="AL379" t="s">
        <v>75</v>
      </c>
      <c r="AM379">
        <v>2.5</v>
      </c>
      <c r="AN379" t="s">
        <v>1011</v>
      </c>
      <c r="AO379" t="s">
        <v>59</v>
      </c>
      <c r="AP379" t="s">
        <v>1123</v>
      </c>
      <c r="AQ379">
        <v>11</v>
      </c>
      <c r="AR379">
        <v>46</v>
      </c>
      <c r="AS379">
        <v>129</v>
      </c>
      <c r="AT379">
        <v>4.76</v>
      </c>
      <c r="AU379">
        <v>27</v>
      </c>
      <c r="AV379" t="s">
        <v>1346</v>
      </c>
      <c r="AW379" t="s">
        <v>1347</v>
      </c>
      <c r="AX379" t="s">
        <v>1348</v>
      </c>
    </row>
    <row r="380" spans="1:50" x14ac:dyDescent="0.25">
      <c r="A380" t="s">
        <v>1349</v>
      </c>
      <c r="B380" t="s">
        <v>994</v>
      </c>
      <c r="C380">
        <v>0</v>
      </c>
      <c r="H380">
        <v>0</v>
      </c>
      <c r="J380">
        <v>1790</v>
      </c>
      <c r="K380">
        <v>1204</v>
      </c>
      <c r="M380">
        <v>0</v>
      </c>
      <c r="N380">
        <v>1</v>
      </c>
      <c r="O380">
        <v>1</v>
      </c>
      <c r="P380">
        <v>0</v>
      </c>
      <c r="Q380">
        <v>0</v>
      </c>
      <c r="U380" t="s">
        <v>93</v>
      </c>
      <c r="V380">
        <v>35</v>
      </c>
      <c r="X380" t="s">
        <v>80</v>
      </c>
      <c r="Y380">
        <v>0</v>
      </c>
      <c r="Z380">
        <v>67.132000000000005</v>
      </c>
      <c r="AB380" t="s">
        <v>74</v>
      </c>
      <c r="AD380" t="s">
        <v>995</v>
      </c>
      <c r="AE380">
        <v>0</v>
      </c>
      <c r="AF380">
        <v>3</v>
      </c>
      <c r="AG380">
        <v>1</v>
      </c>
      <c r="AH380">
        <v>1.5</v>
      </c>
      <c r="AI380">
        <v>256</v>
      </c>
      <c r="AJ380">
        <v>256</v>
      </c>
      <c r="AK380">
        <v>60</v>
      </c>
      <c r="AL380" t="s">
        <v>1034</v>
      </c>
      <c r="AM380">
        <v>2.6</v>
      </c>
      <c r="AN380" t="s">
        <v>996</v>
      </c>
      <c r="AO380" t="s">
        <v>67</v>
      </c>
      <c r="AP380" t="s">
        <v>997</v>
      </c>
      <c r="AQ380">
        <v>15</v>
      </c>
      <c r="AR380">
        <v>22</v>
      </c>
      <c r="AS380">
        <v>45</v>
      </c>
      <c r="AT380">
        <v>4.2</v>
      </c>
      <c r="AU380">
        <v>8.9</v>
      </c>
      <c r="AV380" t="s">
        <v>1350</v>
      </c>
      <c r="AW380" t="s">
        <v>1351</v>
      </c>
      <c r="AX380" t="s">
        <v>1352</v>
      </c>
    </row>
    <row r="381" spans="1:50" x14ac:dyDescent="0.25">
      <c r="A381" t="s">
        <v>1353</v>
      </c>
      <c r="B381" t="s">
        <v>994</v>
      </c>
      <c r="C381">
        <v>0</v>
      </c>
      <c r="H381">
        <v>0</v>
      </c>
      <c r="J381">
        <v>1662</v>
      </c>
      <c r="K381">
        <v>0</v>
      </c>
      <c r="M381">
        <v>0</v>
      </c>
      <c r="N381">
        <v>0</v>
      </c>
      <c r="O381">
        <v>0</v>
      </c>
      <c r="P381">
        <v>0</v>
      </c>
      <c r="Q381">
        <v>1</v>
      </c>
      <c r="U381" t="s">
        <v>53</v>
      </c>
      <c r="V381">
        <v>49</v>
      </c>
      <c r="X381" t="s">
        <v>55</v>
      </c>
      <c r="Y381">
        <v>0</v>
      </c>
      <c r="Z381">
        <v>72.575000000000003</v>
      </c>
      <c r="AB381" t="s">
        <v>94</v>
      </c>
      <c r="AD381" t="s">
        <v>995</v>
      </c>
      <c r="AE381">
        <v>0</v>
      </c>
      <c r="AF381">
        <v>3</v>
      </c>
      <c r="AG381">
        <v>1</v>
      </c>
      <c r="AH381">
        <v>1.5</v>
      </c>
      <c r="AI381">
        <v>256</v>
      </c>
      <c r="AJ381">
        <v>256</v>
      </c>
      <c r="AK381">
        <v>50</v>
      </c>
      <c r="AL381" t="s">
        <v>75</v>
      </c>
      <c r="AM381">
        <v>3</v>
      </c>
      <c r="AN381" t="s">
        <v>1097</v>
      </c>
      <c r="AO381" t="s">
        <v>67</v>
      </c>
      <c r="AP381" t="s">
        <v>659</v>
      </c>
      <c r="AQ381">
        <v>15</v>
      </c>
      <c r="AR381">
        <v>292</v>
      </c>
      <c r="AS381">
        <v>585</v>
      </c>
      <c r="AT381">
        <v>4.2</v>
      </c>
      <c r="AU381">
        <v>17.547999999999998</v>
      </c>
      <c r="AV381" t="s">
        <v>1354</v>
      </c>
      <c r="AW381" t="s">
        <v>1355</v>
      </c>
      <c r="AX381" t="s">
        <v>1356</v>
      </c>
    </row>
    <row r="382" spans="1:50" x14ac:dyDescent="0.25">
      <c r="A382" t="s">
        <v>1357</v>
      </c>
      <c r="B382" t="s">
        <v>994</v>
      </c>
      <c r="C382">
        <v>0</v>
      </c>
      <c r="H382">
        <v>0</v>
      </c>
      <c r="J382">
        <v>1011</v>
      </c>
      <c r="K382">
        <v>718</v>
      </c>
      <c r="M382">
        <v>1011</v>
      </c>
      <c r="N382">
        <v>1</v>
      </c>
      <c r="O382">
        <v>0</v>
      </c>
      <c r="P382">
        <v>1</v>
      </c>
      <c r="V382">
        <v>28</v>
      </c>
      <c r="X382" t="s">
        <v>80</v>
      </c>
      <c r="Y382">
        <v>0</v>
      </c>
      <c r="Z382">
        <v>70.307000000000002</v>
      </c>
      <c r="AB382" t="s">
        <v>94</v>
      </c>
      <c r="AD382" t="s">
        <v>995</v>
      </c>
      <c r="AE382">
        <v>0</v>
      </c>
      <c r="AF382">
        <v>3</v>
      </c>
      <c r="AG382">
        <v>1</v>
      </c>
      <c r="AH382">
        <v>1.5</v>
      </c>
      <c r="AI382">
        <v>256</v>
      </c>
      <c r="AJ382">
        <v>256</v>
      </c>
      <c r="AK382">
        <v>62</v>
      </c>
      <c r="AL382" t="s">
        <v>1010</v>
      </c>
      <c r="AM382">
        <v>2.5</v>
      </c>
      <c r="AN382" t="s">
        <v>1072</v>
      </c>
      <c r="AO382" t="s">
        <v>67</v>
      </c>
      <c r="AP382" t="s">
        <v>997</v>
      </c>
      <c r="AQ382">
        <v>15</v>
      </c>
      <c r="AR382">
        <v>23</v>
      </c>
      <c r="AS382">
        <v>46</v>
      </c>
      <c r="AT382">
        <v>4.2</v>
      </c>
      <c r="AU382">
        <v>9</v>
      </c>
      <c r="AV382" t="s">
        <v>1358</v>
      </c>
      <c r="AW382" t="s">
        <v>1359</v>
      </c>
      <c r="AX382" t="s">
        <v>1360</v>
      </c>
    </row>
    <row r="383" spans="1:50" x14ac:dyDescent="0.25">
      <c r="A383" t="s">
        <v>1361</v>
      </c>
      <c r="B383" t="s">
        <v>994</v>
      </c>
      <c r="C383">
        <v>0</v>
      </c>
      <c r="H383">
        <v>1</v>
      </c>
      <c r="J383">
        <v>1261</v>
      </c>
      <c r="K383">
        <v>0</v>
      </c>
      <c r="M383">
        <v>0</v>
      </c>
      <c r="N383">
        <v>0</v>
      </c>
      <c r="O383">
        <v>0</v>
      </c>
      <c r="P383">
        <v>0</v>
      </c>
      <c r="V383">
        <v>56</v>
      </c>
      <c r="X383" t="s">
        <v>80</v>
      </c>
      <c r="Y383">
        <v>0</v>
      </c>
      <c r="Z383">
        <v>102.965</v>
      </c>
      <c r="AB383" t="s">
        <v>56</v>
      </c>
      <c r="AD383" t="s">
        <v>995</v>
      </c>
      <c r="AE383">
        <v>0</v>
      </c>
      <c r="AF383">
        <v>3</v>
      </c>
      <c r="AG383">
        <v>1</v>
      </c>
      <c r="AH383">
        <v>1.5</v>
      </c>
      <c r="AI383">
        <v>256</v>
      </c>
      <c r="AJ383">
        <v>256</v>
      </c>
      <c r="AK383">
        <v>66</v>
      </c>
      <c r="AL383" t="s">
        <v>75</v>
      </c>
      <c r="AM383">
        <v>2.5</v>
      </c>
      <c r="AN383" t="s">
        <v>1072</v>
      </c>
      <c r="AO383" t="s">
        <v>67</v>
      </c>
      <c r="AP383" t="s">
        <v>997</v>
      </c>
      <c r="AQ383">
        <v>15</v>
      </c>
      <c r="AR383">
        <v>22</v>
      </c>
      <c r="AS383">
        <v>44</v>
      </c>
      <c r="AT383">
        <v>4.2</v>
      </c>
      <c r="AU383">
        <v>8.9</v>
      </c>
      <c r="AV383" t="s">
        <v>1362</v>
      </c>
      <c r="AW383" t="s">
        <v>1363</v>
      </c>
      <c r="AX383" t="s">
        <v>1364</v>
      </c>
    </row>
    <row r="384" spans="1:50" x14ac:dyDescent="0.25">
      <c r="A384" t="s">
        <v>1365</v>
      </c>
      <c r="B384" t="s">
        <v>994</v>
      </c>
      <c r="C384">
        <v>0</v>
      </c>
      <c r="H384">
        <v>1</v>
      </c>
      <c r="J384">
        <v>371</v>
      </c>
      <c r="K384">
        <v>0</v>
      </c>
      <c r="M384">
        <v>0</v>
      </c>
      <c r="N384">
        <v>0</v>
      </c>
      <c r="O384">
        <v>0</v>
      </c>
      <c r="P384">
        <v>0</v>
      </c>
      <c r="Q384">
        <v>1</v>
      </c>
      <c r="U384" t="s">
        <v>53</v>
      </c>
      <c r="V384">
        <v>39</v>
      </c>
      <c r="X384" t="s">
        <v>55</v>
      </c>
      <c r="Y384">
        <v>0</v>
      </c>
      <c r="Z384">
        <v>117.934</v>
      </c>
      <c r="AB384" t="s">
        <v>269</v>
      </c>
      <c r="AD384" t="s">
        <v>995</v>
      </c>
      <c r="AE384">
        <v>0</v>
      </c>
      <c r="AF384">
        <v>3</v>
      </c>
      <c r="AG384">
        <v>1</v>
      </c>
      <c r="AH384">
        <v>1.5</v>
      </c>
      <c r="AI384">
        <v>256</v>
      </c>
      <c r="AJ384">
        <v>256</v>
      </c>
      <c r="AK384">
        <v>66</v>
      </c>
      <c r="AL384" t="s">
        <v>75</v>
      </c>
      <c r="AM384">
        <v>2.5</v>
      </c>
      <c r="AN384" t="s">
        <v>1072</v>
      </c>
      <c r="AO384" t="s">
        <v>67</v>
      </c>
      <c r="AP384" t="s">
        <v>997</v>
      </c>
      <c r="AQ384">
        <v>15</v>
      </c>
      <c r="AR384">
        <v>33</v>
      </c>
      <c r="AS384">
        <v>66</v>
      </c>
      <c r="AT384">
        <v>4.2</v>
      </c>
      <c r="AU384">
        <v>8.9</v>
      </c>
      <c r="AV384" t="s">
        <v>1366</v>
      </c>
      <c r="AW384" t="s">
        <v>1367</v>
      </c>
      <c r="AX384" t="s">
        <v>1368</v>
      </c>
    </row>
    <row r="385" spans="1:50" x14ac:dyDescent="0.25">
      <c r="A385" t="s">
        <v>1369</v>
      </c>
      <c r="B385" t="s">
        <v>994</v>
      </c>
      <c r="C385">
        <v>0</v>
      </c>
      <c r="H385">
        <v>0</v>
      </c>
      <c r="J385">
        <v>283</v>
      </c>
      <c r="K385">
        <v>0</v>
      </c>
      <c r="M385">
        <v>0</v>
      </c>
      <c r="N385">
        <v>1</v>
      </c>
      <c r="O385">
        <v>1</v>
      </c>
      <c r="P385">
        <v>1</v>
      </c>
      <c r="Q385">
        <v>0</v>
      </c>
      <c r="U385" t="s">
        <v>93</v>
      </c>
      <c r="V385">
        <v>50</v>
      </c>
      <c r="X385" t="s">
        <v>80</v>
      </c>
      <c r="Y385">
        <v>0</v>
      </c>
      <c r="Z385">
        <v>79.379000000000005</v>
      </c>
      <c r="AB385" t="s">
        <v>94</v>
      </c>
      <c r="AD385" t="s">
        <v>995</v>
      </c>
      <c r="AE385">
        <v>0</v>
      </c>
      <c r="AF385">
        <v>3</v>
      </c>
      <c r="AG385">
        <v>1</v>
      </c>
      <c r="AH385">
        <v>1.5</v>
      </c>
      <c r="AI385">
        <v>256</v>
      </c>
      <c r="AJ385">
        <v>256</v>
      </c>
      <c r="AK385">
        <v>62</v>
      </c>
      <c r="AL385" t="s">
        <v>1010</v>
      </c>
      <c r="AM385">
        <v>2.5</v>
      </c>
      <c r="AN385" t="s">
        <v>1072</v>
      </c>
      <c r="AO385" t="s">
        <v>67</v>
      </c>
      <c r="AP385" t="s">
        <v>997</v>
      </c>
      <c r="AQ385">
        <v>15</v>
      </c>
      <c r="AR385">
        <v>25</v>
      </c>
      <c r="AS385">
        <v>51</v>
      </c>
      <c r="AT385">
        <v>4.2</v>
      </c>
      <c r="AU385">
        <v>9</v>
      </c>
      <c r="AV385" t="s">
        <v>1370</v>
      </c>
      <c r="AW385" t="s">
        <v>1371</v>
      </c>
      <c r="AX385" t="s">
        <v>1372</v>
      </c>
    </row>
    <row r="386" spans="1:50" x14ac:dyDescent="0.25">
      <c r="A386" t="s">
        <v>1373</v>
      </c>
      <c r="B386" t="s">
        <v>994</v>
      </c>
      <c r="C386">
        <v>0</v>
      </c>
      <c r="H386">
        <v>0</v>
      </c>
      <c r="J386">
        <v>1568</v>
      </c>
      <c r="K386">
        <v>903</v>
      </c>
      <c r="M386">
        <v>0</v>
      </c>
      <c r="N386">
        <v>0</v>
      </c>
      <c r="O386">
        <v>0</v>
      </c>
      <c r="P386">
        <v>0</v>
      </c>
      <c r="Q386">
        <v>0</v>
      </c>
      <c r="U386" t="s">
        <v>65</v>
      </c>
      <c r="V386">
        <v>59</v>
      </c>
      <c r="X386" t="s">
        <v>80</v>
      </c>
      <c r="Y386">
        <v>0</v>
      </c>
      <c r="Z386">
        <v>63.503</v>
      </c>
      <c r="AB386" t="s">
        <v>74</v>
      </c>
      <c r="AD386" t="s">
        <v>995</v>
      </c>
      <c r="AE386">
        <v>0</v>
      </c>
      <c r="AF386">
        <v>3</v>
      </c>
      <c r="AG386">
        <v>1</v>
      </c>
      <c r="AH386">
        <v>1.5</v>
      </c>
      <c r="AI386">
        <v>256</v>
      </c>
      <c r="AJ386">
        <v>256</v>
      </c>
      <c r="AK386">
        <v>60</v>
      </c>
      <c r="AL386" t="s">
        <v>75</v>
      </c>
      <c r="AM386">
        <v>2</v>
      </c>
      <c r="AN386" t="s">
        <v>996</v>
      </c>
      <c r="AO386" t="s">
        <v>67</v>
      </c>
      <c r="AP386" t="s">
        <v>997</v>
      </c>
      <c r="AQ386">
        <v>15</v>
      </c>
      <c r="AR386">
        <v>13</v>
      </c>
      <c r="AS386">
        <v>27</v>
      </c>
      <c r="AT386">
        <v>4.2</v>
      </c>
      <c r="AU386">
        <v>8.9</v>
      </c>
      <c r="AV386" t="s">
        <v>1374</v>
      </c>
      <c r="AW386" t="s">
        <v>1375</v>
      </c>
      <c r="AX386" t="s">
        <v>1376</v>
      </c>
    </row>
    <row r="387" spans="1:50" x14ac:dyDescent="0.25">
      <c r="A387" t="s">
        <v>1377</v>
      </c>
      <c r="B387" t="s">
        <v>994</v>
      </c>
      <c r="C387">
        <v>0</v>
      </c>
      <c r="H387">
        <v>1</v>
      </c>
      <c r="J387">
        <v>1646</v>
      </c>
      <c r="K387">
        <v>0</v>
      </c>
      <c r="M387">
        <v>0</v>
      </c>
      <c r="N387">
        <v>0</v>
      </c>
      <c r="O387">
        <v>0</v>
      </c>
      <c r="P387">
        <v>0</v>
      </c>
      <c r="Q387">
        <v>1</v>
      </c>
      <c r="U387" t="s">
        <v>53</v>
      </c>
      <c r="V387">
        <v>50</v>
      </c>
      <c r="X387" t="s">
        <v>80</v>
      </c>
      <c r="Y387">
        <v>0</v>
      </c>
      <c r="Z387">
        <v>70.37</v>
      </c>
      <c r="AB387" t="s">
        <v>94</v>
      </c>
      <c r="AD387" t="s">
        <v>995</v>
      </c>
      <c r="AE387">
        <v>0</v>
      </c>
      <c r="AF387">
        <v>4</v>
      </c>
      <c r="AG387">
        <v>1</v>
      </c>
      <c r="AH387">
        <v>1.5</v>
      </c>
      <c r="AI387">
        <v>256</v>
      </c>
      <c r="AJ387">
        <v>256</v>
      </c>
      <c r="AK387">
        <v>64</v>
      </c>
      <c r="AL387" t="s">
        <v>1010</v>
      </c>
      <c r="AM387">
        <v>2</v>
      </c>
      <c r="AN387" t="s">
        <v>1011</v>
      </c>
      <c r="AO387" t="s">
        <v>59</v>
      </c>
      <c r="AP387" t="s">
        <v>1123</v>
      </c>
      <c r="AQ387">
        <v>11</v>
      </c>
      <c r="AR387">
        <v>51</v>
      </c>
      <c r="AS387">
        <v>135</v>
      </c>
      <c r="AT387">
        <v>4.76</v>
      </c>
      <c r="AU387">
        <v>27</v>
      </c>
      <c r="AV387" t="s">
        <v>1378</v>
      </c>
      <c r="AW387" t="s">
        <v>1379</v>
      </c>
      <c r="AX387" t="s">
        <v>1380</v>
      </c>
    </row>
    <row r="388" spans="1:50" x14ac:dyDescent="0.25">
      <c r="A388" t="s">
        <v>1381</v>
      </c>
      <c r="B388" t="s">
        <v>994</v>
      </c>
      <c r="C388">
        <v>0</v>
      </c>
      <c r="H388">
        <v>0</v>
      </c>
      <c r="J388">
        <v>1534</v>
      </c>
      <c r="K388">
        <v>1534</v>
      </c>
      <c r="M388">
        <v>1534</v>
      </c>
      <c r="N388">
        <v>0</v>
      </c>
      <c r="O388">
        <v>0</v>
      </c>
      <c r="P388">
        <v>0</v>
      </c>
      <c r="Q388">
        <v>0</v>
      </c>
      <c r="U388" t="s">
        <v>65</v>
      </c>
      <c r="V388">
        <v>59</v>
      </c>
      <c r="X388" t="s">
        <v>80</v>
      </c>
      <c r="Y388">
        <v>0</v>
      </c>
      <c r="Z388">
        <v>60.381999999999998</v>
      </c>
      <c r="AB388" t="s">
        <v>74</v>
      </c>
      <c r="AD388" t="s">
        <v>995</v>
      </c>
      <c r="AE388">
        <v>0</v>
      </c>
      <c r="AF388">
        <v>3</v>
      </c>
      <c r="AG388">
        <v>1</v>
      </c>
      <c r="AH388">
        <v>1.5</v>
      </c>
      <c r="AI388">
        <v>256</v>
      </c>
      <c r="AJ388">
        <v>256</v>
      </c>
      <c r="AK388">
        <v>64</v>
      </c>
      <c r="AL388" t="s">
        <v>1010</v>
      </c>
      <c r="AM388">
        <v>2</v>
      </c>
      <c r="AN388" t="s">
        <v>1011</v>
      </c>
      <c r="AO388" t="s">
        <v>59</v>
      </c>
      <c r="AP388" t="s">
        <v>1123</v>
      </c>
      <c r="AQ388">
        <v>11</v>
      </c>
      <c r="AR388">
        <v>66</v>
      </c>
      <c r="AS388">
        <v>184</v>
      </c>
      <c r="AT388">
        <v>4.76</v>
      </c>
      <c r="AU388">
        <v>27</v>
      </c>
      <c r="AV388" t="s">
        <v>1382</v>
      </c>
      <c r="AW388" t="s">
        <v>1383</v>
      </c>
      <c r="AX388" t="s">
        <v>1384</v>
      </c>
    </row>
    <row r="389" spans="1:50" x14ac:dyDescent="0.25">
      <c r="A389" t="s">
        <v>1385</v>
      </c>
      <c r="B389" t="s">
        <v>994</v>
      </c>
      <c r="C389">
        <v>0</v>
      </c>
      <c r="H389">
        <v>0</v>
      </c>
      <c r="J389">
        <v>1617</v>
      </c>
      <c r="K389">
        <v>0</v>
      </c>
      <c r="M389">
        <v>0</v>
      </c>
      <c r="N389">
        <v>1</v>
      </c>
      <c r="O389">
        <v>1</v>
      </c>
      <c r="P389">
        <v>1</v>
      </c>
      <c r="Q389">
        <v>0</v>
      </c>
      <c r="U389" t="s">
        <v>93</v>
      </c>
      <c r="V389">
        <v>51</v>
      </c>
      <c r="X389" t="s">
        <v>80</v>
      </c>
      <c r="Y389">
        <v>0</v>
      </c>
      <c r="Z389">
        <v>70.37</v>
      </c>
      <c r="AB389" t="s">
        <v>94</v>
      </c>
      <c r="AD389" t="s">
        <v>995</v>
      </c>
      <c r="AE389">
        <v>0</v>
      </c>
      <c r="AF389">
        <v>3</v>
      </c>
      <c r="AG389">
        <v>1</v>
      </c>
      <c r="AH389">
        <v>1.5</v>
      </c>
      <c r="AI389">
        <v>256</v>
      </c>
      <c r="AJ389">
        <v>256</v>
      </c>
      <c r="AK389">
        <v>64</v>
      </c>
      <c r="AL389" t="s">
        <v>75</v>
      </c>
      <c r="AM389">
        <v>2</v>
      </c>
      <c r="AN389" t="s">
        <v>1011</v>
      </c>
      <c r="AO389" t="s">
        <v>59</v>
      </c>
      <c r="AP389" t="s">
        <v>1123</v>
      </c>
      <c r="AQ389">
        <v>11</v>
      </c>
      <c r="AR389">
        <v>98</v>
      </c>
      <c r="AS389">
        <v>170</v>
      </c>
      <c r="AT389">
        <v>4.76</v>
      </c>
      <c r="AU389">
        <v>27</v>
      </c>
      <c r="AV389" t="s">
        <v>1386</v>
      </c>
      <c r="AW389" t="s">
        <v>1387</v>
      </c>
      <c r="AX389" t="s">
        <v>1388</v>
      </c>
    </row>
    <row r="390" spans="1:50" x14ac:dyDescent="0.25">
      <c r="A390" t="s">
        <v>1389</v>
      </c>
      <c r="B390" t="s">
        <v>994</v>
      </c>
      <c r="C390">
        <v>1</v>
      </c>
      <c r="H390">
        <v>0</v>
      </c>
      <c r="J390">
        <v>1544</v>
      </c>
      <c r="K390">
        <v>0</v>
      </c>
      <c r="M390">
        <v>0</v>
      </c>
      <c r="N390">
        <v>1</v>
      </c>
      <c r="O390">
        <v>1</v>
      </c>
      <c r="P390">
        <v>0</v>
      </c>
      <c r="Q390">
        <v>1</v>
      </c>
      <c r="U390" t="s">
        <v>72</v>
      </c>
      <c r="V390">
        <v>50</v>
      </c>
      <c r="X390" t="s">
        <v>55</v>
      </c>
      <c r="Y390">
        <v>0</v>
      </c>
      <c r="Z390">
        <v>76.272000000000006</v>
      </c>
      <c r="AB390" t="s">
        <v>94</v>
      </c>
      <c r="AD390" t="s">
        <v>995</v>
      </c>
      <c r="AE390">
        <v>0</v>
      </c>
      <c r="AF390">
        <v>3</v>
      </c>
      <c r="AG390">
        <v>1</v>
      </c>
      <c r="AH390">
        <v>1.5</v>
      </c>
      <c r="AI390">
        <v>256</v>
      </c>
      <c r="AJ390">
        <v>256</v>
      </c>
      <c r="AK390">
        <v>64</v>
      </c>
      <c r="AL390" t="s">
        <v>75</v>
      </c>
      <c r="AM390">
        <v>2.2999999999999998</v>
      </c>
      <c r="AN390" t="s">
        <v>1011</v>
      </c>
      <c r="AO390" t="s">
        <v>59</v>
      </c>
      <c r="AP390" t="s">
        <v>1123</v>
      </c>
      <c r="AQ390">
        <v>11</v>
      </c>
      <c r="AR390">
        <v>74</v>
      </c>
      <c r="AS390">
        <v>134</v>
      </c>
      <c r="AT390">
        <v>4.76</v>
      </c>
      <c r="AU390">
        <v>27</v>
      </c>
      <c r="AV390" t="s">
        <v>1390</v>
      </c>
      <c r="AW390" t="s">
        <v>1391</v>
      </c>
      <c r="AX390" t="s">
        <v>1392</v>
      </c>
    </row>
    <row r="391" spans="1:50" x14ac:dyDescent="0.25">
      <c r="A391" t="s">
        <v>1393</v>
      </c>
      <c r="B391" t="s">
        <v>994</v>
      </c>
      <c r="C391">
        <v>0</v>
      </c>
      <c r="H391">
        <v>0</v>
      </c>
      <c r="J391">
        <v>1287</v>
      </c>
      <c r="K391">
        <v>981</v>
      </c>
      <c r="M391">
        <v>0</v>
      </c>
      <c r="N391">
        <v>1</v>
      </c>
      <c r="O391">
        <v>1</v>
      </c>
      <c r="P391">
        <v>1</v>
      </c>
      <c r="Q391">
        <v>1</v>
      </c>
      <c r="U391" t="s">
        <v>72</v>
      </c>
      <c r="V391">
        <v>51</v>
      </c>
      <c r="X391" t="s">
        <v>80</v>
      </c>
      <c r="Y391">
        <v>0</v>
      </c>
      <c r="Z391">
        <v>74.843000000000004</v>
      </c>
      <c r="AB391" t="s">
        <v>94</v>
      </c>
      <c r="AD391" t="s">
        <v>995</v>
      </c>
      <c r="AE391">
        <v>0</v>
      </c>
      <c r="AF391">
        <v>3</v>
      </c>
      <c r="AG391">
        <v>1</v>
      </c>
      <c r="AH391">
        <v>1.5</v>
      </c>
      <c r="AI391">
        <v>256</v>
      </c>
      <c r="AJ391">
        <v>256</v>
      </c>
      <c r="AK391">
        <v>60</v>
      </c>
      <c r="AL391" t="s">
        <v>1394</v>
      </c>
      <c r="AM391">
        <v>2.6</v>
      </c>
      <c r="AN391" t="s">
        <v>996</v>
      </c>
      <c r="AO391" t="s">
        <v>67</v>
      </c>
      <c r="AP391" t="s">
        <v>997</v>
      </c>
      <c r="AQ391">
        <v>15</v>
      </c>
      <c r="AR391">
        <v>7</v>
      </c>
      <c r="AS391">
        <v>14</v>
      </c>
      <c r="AT391">
        <v>4.2</v>
      </c>
      <c r="AU391">
        <v>8.9</v>
      </c>
      <c r="AV391" t="s">
        <v>1395</v>
      </c>
      <c r="AW391" t="s">
        <v>1379</v>
      </c>
      <c r="AX391" t="s">
        <v>1396</v>
      </c>
    </row>
    <row r="392" spans="1:50" x14ac:dyDescent="0.25">
      <c r="A392" t="s">
        <v>1397</v>
      </c>
      <c r="B392" t="s">
        <v>994</v>
      </c>
      <c r="C392">
        <v>0</v>
      </c>
      <c r="H392">
        <v>1</v>
      </c>
      <c r="J392">
        <v>1615</v>
      </c>
      <c r="K392">
        <v>0</v>
      </c>
      <c r="M392">
        <v>0</v>
      </c>
      <c r="N392">
        <v>0</v>
      </c>
      <c r="O392">
        <v>0</v>
      </c>
      <c r="P392">
        <v>0</v>
      </c>
      <c r="Q392">
        <v>0</v>
      </c>
      <c r="U392" t="s">
        <v>65</v>
      </c>
      <c r="V392">
        <v>42</v>
      </c>
      <c r="X392" t="s">
        <v>80</v>
      </c>
      <c r="Y392">
        <v>0</v>
      </c>
      <c r="Z392">
        <v>72.64</v>
      </c>
      <c r="AB392" t="s">
        <v>94</v>
      </c>
      <c r="AD392" t="s">
        <v>995</v>
      </c>
      <c r="AE392">
        <v>0</v>
      </c>
      <c r="AF392">
        <v>3</v>
      </c>
      <c r="AG392">
        <v>1</v>
      </c>
      <c r="AH392">
        <v>1.5</v>
      </c>
      <c r="AI392">
        <v>256</v>
      </c>
      <c r="AJ392">
        <v>256</v>
      </c>
      <c r="AK392">
        <v>64</v>
      </c>
      <c r="AL392" t="s">
        <v>1010</v>
      </c>
      <c r="AM392">
        <v>2</v>
      </c>
      <c r="AN392" t="s">
        <v>1011</v>
      </c>
      <c r="AO392" t="s">
        <v>59</v>
      </c>
      <c r="AP392" t="s">
        <v>1123</v>
      </c>
      <c r="AQ392">
        <v>11</v>
      </c>
      <c r="AR392">
        <v>87</v>
      </c>
      <c r="AS392">
        <v>243</v>
      </c>
      <c r="AT392">
        <v>4.76</v>
      </c>
      <c r="AU392">
        <v>27</v>
      </c>
      <c r="AV392" t="s">
        <v>1398</v>
      </c>
      <c r="AW392" t="s">
        <v>1399</v>
      </c>
      <c r="AX392" t="s">
        <v>1400</v>
      </c>
    </row>
    <row r="393" spans="1:50" x14ac:dyDescent="0.25">
      <c r="A393" t="s">
        <v>1401</v>
      </c>
      <c r="B393" t="s">
        <v>994</v>
      </c>
      <c r="C393">
        <v>0</v>
      </c>
      <c r="H393">
        <v>1</v>
      </c>
      <c r="J393">
        <v>704</v>
      </c>
      <c r="K393">
        <v>384</v>
      </c>
      <c r="M393">
        <v>704</v>
      </c>
      <c r="N393">
        <v>0</v>
      </c>
      <c r="O393">
        <v>0</v>
      </c>
      <c r="P393">
        <v>0</v>
      </c>
      <c r="Q393">
        <v>1</v>
      </c>
      <c r="U393" t="s">
        <v>53</v>
      </c>
      <c r="V393">
        <v>65</v>
      </c>
      <c r="X393" t="s">
        <v>80</v>
      </c>
      <c r="Y393">
        <v>0</v>
      </c>
      <c r="Z393">
        <v>150</v>
      </c>
      <c r="AB393" t="s">
        <v>269</v>
      </c>
      <c r="AD393" t="s">
        <v>995</v>
      </c>
      <c r="AE393">
        <v>0</v>
      </c>
      <c r="AF393">
        <v>3</v>
      </c>
      <c r="AG393">
        <v>1</v>
      </c>
      <c r="AH393">
        <v>1.5</v>
      </c>
      <c r="AI393">
        <v>512</v>
      </c>
      <c r="AJ393">
        <v>512</v>
      </c>
      <c r="AK393">
        <v>44</v>
      </c>
      <c r="AL393" t="s">
        <v>1272</v>
      </c>
      <c r="AM393">
        <v>3</v>
      </c>
      <c r="AN393" t="s">
        <v>1020</v>
      </c>
      <c r="AO393" t="s">
        <v>59</v>
      </c>
      <c r="AP393" t="s">
        <v>1021</v>
      </c>
      <c r="AQ393">
        <v>11</v>
      </c>
      <c r="AR393">
        <v>49</v>
      </c>
      <c r="AS393">
        <v>13</v>
      </c>
      <c r="AT393">
        <v>4.5</v>
      </c>
      <c r="AU393">
        <v>11</v>
      </c>
      <c r="AV393" t="s">
        <v>1402</v>
      </c>
      <c r="AW393" t="s">
        <v>1403</v>
      </c>
      <c r="AX393" t="s">
        <v>1404</v>
      </c>
    </row>
    <row r="394" spans="1:50" x14ac:dyDescent="0.25">
      <c r="A394" t="s">
        <v>1405</v>
      </c>
      <c r="B394" t="s">
        <v>994</v>
      </c>
      <c r="C394">
        <v>0</v>
      </c>
      <c r="H394">
        <v>0</v>
      </c>
      <c r="J394">
        <v>1521</v>
      </c>
      <c r="K394">
        <v>0</v>
      </c>
      <c r="M394">
        <v>0</v>
      </c>
      <c r="N394">
        <v>0</v>
      </c>
      <c r="O394">
        <v>0</v>
      </c>
      <c r="P394">
        <v>0</v>
      </c>
      <c r="Q394">
        <v>1</v>
      </c>
      <c r="U394" t="s">
        <v>53</v>
      </c>
      <c r="V394">
        <v>41</v>
      </c>
      <c r="X394" t="s">
        <v>80</v>
      </c>
      <c r="Y394">
        <v>0</v>
      </c>
      <c r="Z394">
        <v>86.183000000000007</v>
      </c>
      <c r="AB394" t="s">
        <v>118</v>
      </c>
      <c r="AD394" t="s">
        <v>995</v>
      </c>
      <c r="AE394">
        <v>0</v>
      </c>
      <c r="AF394">
        <v>3</v>
      </c>
      <c r="AG394">
        <v>1</v>
      </c>
      <c r="AH394">
        <v>1.5</v>
      </c>
      <c r="AI394">
        <v>256</v>
      </c>
      <c r="AJ394">
        <v>256</v>
      </c>
      <c r="AK394">
        <v>60</v>
      </c>
      <c r="AL394" t="s">
        <v>1406</v>
      </c>
      <c r="AM394">
        <v>2.8</v>
      </c>
      <c r="AN394" t="s">
        <v>996</v>
      </c>
      <c r="AO394" t="s">
        <v>67</v>
      </c>
      <c r="AP394" t="s">
        <v>997</v>
      </c>
      <c r="AQ394">
        <v>15</v>
      </c>
      <c r="AR394">
        <v>7</v>
      </c>
      <c r="AS394">
        <v>15</v>
      </c>
      <c r="AT394">
        <v>4.2</v>
      </c>
      <c r="AU394">
        <v>8.9</v>
      </c>
      <c r="AV394" t="s">
        <v>1407</v>
      </c>
      <c r="AW394" t="s">
        <v>1408</v>
      </c>
      <c r="AX394" t="s">
        <v>1409</v>
      </c>
    </row>
    <row r="395" spans="1:50" x14ac:dyDescent="0.25">
      <c r="A395" t="s">
        <v>1410</v>
      </c>
      <c r="B395" t="s">
        <v>994</v>
      </c>
      <c r="C395">
        <v>0</v>
      </c>
      <c r="H395">
        <v>0</v>
      </c>
      <c r="J395">
        <v>1581</v>
      </c>
      <c r="K395">
        <v>0</v>
      </c>
      <c r="M395">
        <v>0</v>
      </c>
      <c r="N395">
        <v>1</v>
      </c>
      <c r="O395">
        <v>1</v>
      </c>
      <c r="P395">
        <v>1</v>
      </c>
      <c r="Q395">
        <v>0</v>
      </c>
      <c r="U395" t="s">
        <v>93</v>
      </c>
      <c r="V395">
        <v>61</v>
      </c>
      <c r="X395" t="s">
        <v>80</v>
      </c>
      <c r="Y395">
        <v>0</v>
      </c>
      <c r="Z395">
        <v>88.450999999999993</v>
      </c>
      <c r="AB395" t="s">
        <v>118</v>
      </c>
      <c r="AD395" t="s">
        <v>995</v>
      </c>
      <c r="AE395">
        <v>0</v>
      </c>
      <c r="AF395">
        <v>3</v>
      </c>
      <c r="AG395">
        <v>1</v>
      </c>
      <c r="AH395">
        <v>1.5</v>
      </c>
      <c r="AI395">
        <v>256</v>
      </c>
      <c r="AJ395">
        <v>256</v>
      </c>
      <c r="AK395">
        <v>60</v>
      </c>
      <c r="AL395" t="s">
        <v>1411</v>
      </c>
      <c r="AM395">
        <v>2.7</v>
      </c>
      <c r="AN395" t="s">
        <v>996</v>
      </c>
      <c r="AO395" t="s">
        <v>67</v>
      </c>
      <c r="AP395" t="s">
        <v>997</v>
      </c>
      <c r="AQ395">
        <v>15</v>
      </c>
      <c r="AR395">
        <v>15</v>
      </c>
      <c r="AS395">
        <v>30</v>
      </c>
      <c r="AT395">
        <v>4.2</v>
      </c>
      <c r="AU395">
        <v>8.9</v>
      </c>
      <c r="AV395" t="s">
        <v>1412</v>
      </c>
      <c r="AW395" t="s">
        <v>1408</v>
      </c>
      <c r="AX395" t="s">
        <v>1413</v>
      </c>
    </row>
    <row r="396" spans="1:50" x14ac:dyDescent="0.25">
      <c r="A396" t="s">
        <v>1414</v>
      </c>
      <c r="B396" t="s">
        <v>994</v>
      </c>
      <c r="C396">
        <v>0</v>
      </c>
      <c r="H396">
        <v>0</v>
      </c>
      <c r="J396">
        <v>574</v>
      </c>
      <c r="K396">
        <v>428</v>
      </c>
      <c r="M396">
        <v>574</v>
      </c>
      <c r="V396">
        <v>55</v>
      </c>
      <c r="X396" t="s">
        <v>55</v>
      </c>
      <c r="Y396">
        <v>0</v>
      </c>
      <c r="Z396">
        <v>86.26</v>
      </c>
      <c r="AB396" t="s">
        <v>118</v>
      </c>
      <c r="AD396" t="s">
        <v>995</v>
      </c>
      <c r="AE396">
        <v>0</v>
      </c>
      <c r="AF396">
        <v>3</v>
      </c>
      <c r="AG396">
        <v>1</v>
      </c>
      <c r="AH396">
        <v>1.5</v>
      </c>
      <c r="AI396">
        <v>256</v>
      </c>
      <c r="AJ396">
        <v>256</v>
      </c>
      <c r="AK396">
        <v>64</v>
      </c>
      <c r="AL396" t="s">
        <v>1010</v>
      </c>
      <c r="AM396">
        <v>2</v>
      </c>
      <c r="AN396" t="s">
        <v>1011</v>
      </c>
      <c r="AO396" t="s">
        <v>59</v>
      </c>
      <c r="AP396" t="s">
        <v>1123</v>
      </c>
      <c r="AQ396">
        <v>11</v>
      </c>
      <c r="AR396">
        <v>62</v>
      </c>
      <c r="AS396">
        <v>166</v>
      </c>
      <c r="AT396">
        <v>4.76</v>
      </c>
      <c r="AU396">
        <v>27</v>
      </c>
      <c r="AV396" t="s">
        <v>1415</v>
      </c>
      <c r="AW396" t="s">
        <v>1416</v>
      </c>
      <c r="AX396" t="s">
        <v>1417</v>
      </c>
    </row>
    <row r="397" spans="1:50" x14ac:dyDescent="0.25">
      <c r="A397" t="s">
        <v>1418</v>
      </c>
      <c r="B397" t="s">
        <v>994</v>
      </c>
      <c r="C397">
        <v>0</v>
      </c>
      <c r="H397">
        <v>0</v>
      </c>
      <c r="J397">
        <v>1595</v>
      </c>
      <c r="K397">
        <v>0</v>
      </c>
      <c r="M397">
        <v>0</v>
      </c>
      <c r="N397">
        <v>0</v>
      </c>
      <c r="O397">
        <v>0</v>
      </c>
      <c r="P397">
        <v>0</v>
      </c>
      <c r="Q397">
        <v>0</v>
      </c>
      <c r="U397" t="s">
        <v>65</v>
      </c>
      <c r="V397">
        <v>55</v>
      </c>
      <c r="X397" t="s">
        <v>80</v>
      </c>
      <c r="Y397">
        <v>0</v>
      </c>
      <c r="Z397">
        <v>99.79</v>
      </c>
      <c r="AB397" t="s">
        <v>56</v>
      </c>
      <c r="AD397" t="s">
        <v>995</v>
      </c>
      <c r="AE397">
        <v>1</v>
      </c>
      <c r="AF397">
        <v>4</v>
      </c>
      <c r="AG397">
        <v>1</v>
      </c>
      <c r="AH397">
        <v>1.5</v>
      </c>
      <c r="AI397">
        <v>256</v>
      </c>
      <c r="AJ397">
        <v>256</v>
      </c>
      <c r="AK397">
        <v>240</v>
      </c>
      <c r="AL397" t="s">
        <v>1034</v>
      </c>
      <c r="AM397">
        <v>3</v>
      </c>
      <c r="AN397" t="s">
        <v>1419</v>
      </c>
      <c r="AO397" t="s">
        <v>67</v>
      </c>
      <c r="AP397" t="s">
        <v>659</v>
      </c>
      <c r="AQ397">
        <v>15</v>
      </c>
      <c r="AR397">
        <v>48</v>
      </c>
      <c r="AS397">
        <v>96</v>
      </c>
      <c r="AT397">
        <v>4.2</v>
      </c>
      <c r="AU397">
        <v>6.7</v>
      </c>
      <c r="AV397" t="s">
        <v>1420</v>
      </c>
      <c r="AW397" t="s">
        <v>1421</v>
      </c>
      <c r="AX397" t="s">
        <v>1422</v>
      </c>
    </row>
    <row r="398" spans="1:50" x14ac:dyDescent="0.25">
      <c r="A398" t="s">
        <v>1423</v>
      </c>
      <c r="B398" t="s">
        <v>994</v>
      </c>
      <c r="C398">
        <v>0</v>
      </c>
      <c r="H398">
        <v>0</v>
      </c>
      <c r="J398">
        <v>1190</v>
      </c>
      <c r="K398">
        <v>0</v>
      </c>
      <c r="M398">
        <v>0</v>
      </c>
      <c r="N398">
        <v>0</v>
      </c>
      <c r="O398">
        <v>0</v>
      </c>
      <c r="P398">
        <v>0</v>
      </c>
      <c r="Q398">
        <v>1</v>
      </c>
      <c r="U398" t="s">
        <v>53</v>
      </c>
      <c r="V398">
        <v>56</v>
      </c>
      <c r="X398" t="s">
        <v>80</v>
      </c>
      <c r="Y398">
        <v>0</v>
      </c>
      <c r="Z398">
        <v>95.254000000000005</v>
      </c>
      <c r="AB398" t="s">
        <v>118</v>
      </c>
      <c r="AD398" t="s">
        <v>995</v>
      </c>
      <c r="AE398">
        <v>0</v>
      </c>
      <c r="AF398">
        <v>4</v>
      </c>
      <c r="AG398">
        <v>1</v>
      </c>
      <c r="AH398">
        <v>1.5</v>
      </c>
      <c r="AI398">
        <v>256</v>
      </c>
      <c r="AJ398">
        <v>256</v>
      </c>
      <c r="AK398">
        <v>60</v>
      </c>
      <c r="AL398" t="s">
        <v>1010</v>
      </c>
      <c r="AM398">
        <v>2.5</v>
      </c>
      <c r="AN398" t="s">
        <v>1072</v>
      </c>
      <c r="AO398" t="s">
        <v>67</v>
      </c>
      <c r="AP398" t="s">
        <v>997</v>
      </c>
      <c r="AQ398">
        <v>15</v>
      </c>
      <c r="AR398">
        <v>39</v>
      </c>
      <c r="AS398">
        <v>78</v>
      </c>
      <c r="AT398">
        <v>4.2</v>
      </c>
      <c r="AU398">
        <v>9</v>
      </c>
      <c r="AV398" t="s">
        <v>1424</v>
      </c>
      <c r="AW398" t="s">
        <v>1425</v>
      </c>
      <c r="AX398" t="s">
        <v>1426</v>
      </c>
    </row>
    <row r="399" spans="1:50" x14ac:dyDescent="0.25">
      <c r="A399" t="s">
        <v>1427</v>
      </c>
      <c r="B399" t="s">
        <v>994</v>
      </c>
      <c r="C399">
        <v>0</v>
      </c>
      <c r="H399">
        <v>1</v>
      </c>
      <c r="J399">
        <v>1280</v>
      </c>
      <c r="K399">
        <v>0</v>
      </c>
      <c r="M399">
        <v>0</v>
      </c>
      <c r="N399">
        <v>0</v>
      </c>
      <c r="O399">
        <v>0</v>
      </c>
      <c r="P399">
        <v>0</v>
      </c>
      <c r="Q399">
        <v>0</v>
      </c>
      <c r="U399" t="s">
        <v>65</v>
      </c>
      <c r="V399">
        <v>38</v>
      </c>
      <c r="X399" t="s">
        <v>80</v>
      </c>
      <c r="Y399">
        <v>0</v>
      </c>
      <c r="Z399">
        <v>72.575000000000003</v>
      </c>
      <c r="AB399" t="s">
        <v>94</v>
      </c>
      <c r="AD399" t="s">
        <v>995</v>
      </c>
      <c r="AE399">
        <v>0</v>
      </c>
      <c r="AF399">
        <v>3</v>
      </c>
      <c r="AG399">
        <v>1</v>
      </c>
      <c r="AH399">
        <v>1.5</v>
      </c>
      <c r="AI399">
        <v>256</v>
      </c>
      <c r="AJ399">
        <v>256</v>
      </c>
      <c r="AK399">
        <v>56</v>
      </c>
      <c r="AL399" t="s">
        <v>1010</v>
      </c>
      <c r="AM399">
        <v>2.5</v>
      </c>
      <c r="AN399" t="s">
        <v>1072</v>
      </c>
      <c r="AO399" t="s">
        <v>67</v>
      </c>
      <c r="AP399" t="s">
        <v>997</v>
      </c>
      <c r="AQ399">
        <v>15</v>
      </c>
      <c r="AR399">
        <v>35</v>
      </c>
      <c r="AS399">
        <v>71</v>
      </c>
      <c r="AT399">
        <v>4.2</v>
      </c>
      <c r="AU399">
        <v>9</v>
      </c>
      <c r="AV399" t="s">
        <v>1428</v>
      </c>
      <c r="AW399" t="s">
        <v>1429</v>
      </c>
      <c r="AX399" t="s">
        <v>1430</v>
      </c>
    </row>
    <row r="400" spans="1:50" x14ac:dyDescent="0.25">
      <c r="A400" t="s">
        <v>1431</v>
      </c>
      <c r="B400" t="s">
        <v>994</v>
      </c>
      <c r="C400">
        <v>0</v>
      </c>
      <c r="H400">
        <v>0</v>
      </c>
      <c r="J400">
        <v>1624</v>
      </c>
      <c r="K400">
        <v>0</v>
      </c>
      <c r="M400">
        <v>0</v>
      </c>
      <c r="N400">
        <v>1</v>
      </c>
      <c r="O400">
        <v>1</v>
      </c>
      <c r="P400">
        <v>1</v>
      </c>
      <c r="Q400">
        <v>0</v>
      </c>
      <c r="U400" t="s">
        <v>93</v>
      </c>
      <c r="V400">
        <v>60</v>
      </c>
      <c r="X400" t="s">
        <v>80</v>
      </c>
      <c r="Y400">
        <v>0</v>
      </c>
      <c r="Z400">
        <v>108.96</v>
      </c>
      <c r="AB400" t="s">
        <v>269</v>
      </c>
      <c r="AD400" t="s">
        <v>995</v>
      </c>
      <c r="AE400">
        <v>0</v>
      </c>
      <c r="AF400">
        <v>3</v>
      </c>
      <c r="AG400">
        <v>1</v>
      </c>
      <c r="AH400">
        <v>1.5</v>
      </c>
      <c r="AI400">
        <v>256</v>
      </c>
      <c r="AJ400">
        <v>256</v>
      </c>
      <c r="AK400">
        <v>64</v>
      </c>
      <c r="AL400" t="s">
        <v>75</v>
      </c>
      <c r="AM400">
        <v>2</v>
      </c>
      <c r="AN400" t="s">
        <v>1011</v>
      </c>
      <c r="AO400" t="s">
        <v>59</v>
      </c>
      <c r="AP400" t="s">
        <v>1123</v>
      </c>
      <c r="AQ400">
        <v>11</v>
      </c>
      <c r="AR400">
        <v>43</v>
      </c>
      <c r="AS400">
        <v>118</v>
      </c>
      <c r="AT400">
        <v>4.76</v>
      </c>
      <c r="AU400">
        <v>27</v>
      </c>
      <c r="AV400" t="s">
        <v>1432</v>
      </c>
      <c r="AW400" t="s">
        <v>1433</v>
      </c>
      <c r="AX400" t="s">
        <v>1434</v>
      </c>
    </row>
    <row r="401" spans="1:50" x14ac:dyDescent="0.25">
      <c r="A401" t="s">
        <v>1435</v>
      </c>
      <c r="B401" t="s">
        <v>994</v>
      </c>
      <c r="C401">
        <v>0</v>
      </c>
      <c r="H401">
        <v>0</v>
      </c>
      <c r="J401">
        <v>1330</v>
      </c>
      <c r="K401">
        <v>0</v>
      </c>
      <c r="M401">
        <v>0</v>
      </c>
      <c r="N401">
        <v>0</v>
      </c>
      <c r="O401">
        <v>0</v>
      </c>
      <c r="P401">
        <v>0</v>
      </c>
      <c r="Q401">
        <v>0</v>
      </c>
      <c r="U401" t="s">
        <v>65</v>
      </c>
      <c r="V401">
        <v>39</v>
      </c>
      <c r="X401" t="s">
        <v>80</v>
      </c>
      <c r="Y401">
        <v>0</v>
      </c>
      <c r="Z401">
        <v>59</v>
      </c>
      <c r="AB401" t="s">
        <v>74</v>
      </c>
      <c r="AD401" t="s">
        <v>995</v>
      </c>
      <c r="AE401">
        <v>0</v>
      </c>
      <c r="AF401">
        <v>6</v>
      </c>
      <c r="AG401">
        <v>1</v>
      </c>
      <c r="AH401">
        <v>1.5</v>
      </c>
      <c r="AI401">
        <v>256</v>
      </c>
      <c r="AJ401">
        <v>256</v>
      </c>
      <c r="AK401">
        <v>60</v>
      </c>
      <c r="AL401" t="s">
        <v>75</v>
      </c>
      <c r="AM401">
        <v>4</v>
      </c>
      <c r="AN401" t="s">
        <v>1154</v>
      </c>
      <c r="AO401" t="s">
        <v>1155</v>
      </c>
      <c r="AP401" t="s">
        <v>1305</v>
      </c>
      <c r="AQ401">
        <v>11</v>
      </c>
      <c r="AR401">
        <v>1032</v>
      </c>
      <c r="AS401">
        <v>2064</v>
      </c>
      <c r="AT401">
        <v>6.3507999999999996</v>
      </c>
      <c r="AU401">
        <v>32.857599999999998</v>
      </c>
      <c r="AW401" t="s">
        <v>1436</v>
      </c>
      <c r="AX401" t="s">
        <v>1437</v>
      </c>
    </row>
    <row r="402" spans="1:50" x14ac:dyDescent="0.25">
      <c r="A402" t="s">
        <v>1438</v>
      </c>
      <c r="B402" t="s">
        <v>994</v>
      </c>
      <c r="C402">
        <v>0</v>
      </c>
      <c r="H402">
        <v>0</v>
      </c>
      <c r="J402">
        <v>1224</v>
      </c>
      <c r="K402">
        <v>0</v>
      </c>
      <c r="M402">
        <v>0</v>
      </c>
      <c r="N402">
        <v>1</v>
      </c>
      <c r="O402">
        <v>1</v>
      </c>
      <c r="P402">
        <v>1</v>
      </c>
      <c r="Q402">
        <v>0</v>
      </c>
      <c r="U402" t="s">
        <v>93</v>
      </c>
      <c r="V402">
        <v>54</v>
      </c>
      <c r="X402" t="s">
        <v>80</v>
      </c>
      <c r="Y402">
        <v>0</v>
      </c>
      <c r="Z402">
        <v>97.069000000000003</v>
      </c>
      <c r="AB402" t="s">
        <v>56</v>
      </c>
      <c r="AD402" t="s">
        <v>995</v>
      </c>
      <c r="AE402">
        <v>0</v>
      </c>
      <c r="AF402">
        <v>3</v>
      </c>
      <c r="AG402">
        <v>1</v>
      </c>
      <c r="AH402">
        <v>1.5</v>
      </c>
      <c r="AI402">
        <v>256</v>
      </c>
      <c r="AJ402">
        <v>256</v>
      </c>
      <c r="AK402">
        <v>104</v>
      </c>
      <c r="AL402" t="s">
        <v>1034</v>
      </c>
      <c r="AM402">
        <v>3</v>
      </c>
      <c r="AN402" t="s">
        <v>1072</v>
      </c>
      <c r="AO402" t="s">
        <v>67</v>
      </c>
      <c r="AP402" t="s">
        <v>997</v>
      </c>
      <c r="AQ402">
        <v>15</v>
      </c>
      <c r="AR402">
        <v>36</v>
      </c>
      <c r="AS402">
        <v>72</v>
      </c>
      <c r="AT402">
        <v>1.3280000000000001</v>
      </c>
      <c r="AU402">
        <v>5.5</v>
      </c>
      <c r="AV402" t="s">
        <v>1439</v>
      </c>
      <c r="AW402" t="s">
        <v>1440</v>
      </c>
      <c r="AX402" t="s">
        <v>1441</v>
      </c>
    </row>
    <row r="403" spans="1:50" x14ac:dyDescent="0.25">
      <c r="A403" t="s">
        <v>1442</v>
      </c>
      <c r="B403" t="s">
        <v>994</v>
      </c>
      <c r="C403">
        <v>0</v>
      </c>
      <c r="H403">
        <v>0</v>
      </c>
      <c r="J403">
        <v>1481</v>
      </c>
      <c r="K403">
        <v>1289</v>
      </c>
      <c r="M403">
        <v>0</v>
      </c>
      <c r="N403">
        <v>1</v>
      </c>
      <c r="O403">
        <v>1</v>
      </c>
      <c r="P403">
        <v>1</v>
      </c>
      <c r="Q403">
        <v>1</v>
      </c>
      <c r="U403" t="s">
        <v>72</v>
      </c>
      <c r="V403">
        <v>50</v>
      </c>
      <c r="X403" t="s">
        <v>80</v>
      </c>
      <c r="Y403">
        <v>0</v>
      </c>
      <c r="Z403">
        <v>81.647000000000006</v>
      </c>
      <c r="AB403" t="s">
        <v>94</v>
      </c>
      <c r="AD403" t="s">
        <v>995</v>
      </c>
      <c r="AE403">
        <v>1</v>
      </c>
      <c r="AF403">
        <v>4</v>
      </c>
      <c r="AG403">
        <v>1</v>
      </c>
      <c r="AH403">
        <v>1.5</v>
      </c>
      <c r="AI403">
        <v>256</v>
      </c>
      <c r="AJ403">
        <v>256</v>
      </c>
      <c r="AK403">
        <v>240</v>
      </c>
      <c r="AL403" t="s">
        <v>75</v>
      </c>
      <c r="AM403">
        <v>3</v>
      </c>
      <c r="AN403" t="s">
        <v>1419</v>
      </c>
      <c r="AO403" t="s">
        <v>67</v>
      </c>
      <c r="AP403" t="s">
        <v>659</v>
      </c>
      <c r="AQ403">
        <v>15</v>
      </c>
      <c r="AR403">
        <v>43</v>
      </c>
      <c r="AS403">
        <v>86</v>
      </c>
      <c r="AT403">
        <v>4.2</v>
      </c>
      <c r="AU403">
        <v>6.74</v>
      </c>
      <c r="AV403" t="s">
        <v>1443</v>
      </c>
      <c r="AW403" t="s">
        <v>1444</v>
      </c>
      <c r="AX403" t="s">
        <v>1445</v>
      </c>
    </row>
    <row r="404" spans="1:50" x14ac:dyDescent="0.25">
      <c r="A404" t="s">
        <v>1446</v>
      </c>
      <c r="B404" t="s">
        <v>994</v>
      </c>
      <c r="C404">
        <v>0</v>
      </c>
      <c r="H404">
        <v>0</v>
      </c>
      <c r="J404">
        <v>345</v>
      </c>
      <c r="K404">
        <v>308</v>
      </c>
      <c r="M404">
        <v>345</v>
      </c>
      <c r="N404">
        <v>0</v>
      </c>
      <c r="O404">
        <v>0</v>
      </c>
      <c r="P404">
        <v>0</v>
      </c>
      <c r="Q404">
        <v>0</v>
      </c>
      <c r="U404" t="s">
        <v>65</v>
      </c>
      <c r="V404">
        <v>44</v>
      </c>
      <c r="X404" t="s">
        <v>80</v>
      </c>
      <c r="Y404">
        <v>0</v>
      </c>
      <c r="Z404">
        <v>65.316999999999993</v>
      </c>
      <c r="AB404" t="s">
        <v>74</v>
      </c>
      <c r="AD404" t="s">
        <v>995</v>
      </c>
      <c r="AE404">
        <v>0</v>
      </c>
      <c r="AF404">
        <v>3</v>
      </c>
      <c r="AG404">
        <v>1</v>
      </c>
      <c r="AH404">
        <v>1.5</v>
      </c>
      <c r="AI404">
        <v>256</v>
      </c>
      <c r="AJ404">
        <v>256</v>
      </c>
      <c r="AK404">
        <v>60</v>
      </c>
      <c r="AL404" t="s">
        <v>1406</v>
      </c>
      <c r="AM404">
        <v>2.2999999999999998</v>
      </c>
      <c r="AN404" t="s">
        <v>996</v>
      </c>
      <c r="AO404" t="s">
        <v>67</v>
      </c>
      <c r="AP404" t="s">
        <v>997</v>
      </c>
      <c r="AQ404">
        <v>15</v>
      </c>
      <c r="AR404">
        <v>11</v>
      </c>
      <c r="AS404">
        <v>23</v>
      </c>
      <c r="AT404">
        <v>4.2</v>
      </c>
      <c r="AU404">
        <v>8.4</v>
      </c>
      <c r="AV404" t="s">
        <v>1447</v>
      </c>
      <c r="AW404" t="s">
        <v>1448</v>
      </c>
      <c r="AX404" t="s">
        <v>1449</v>
      </c>
    </row>
    <row r="405" spans="1:50" x14ac:dyDescent="0.25">
      <c r="A405" t="s">
        <v>1450</v>
      </c>
      <c r="B405" t="s">
        <v>994</v>
      </c>
      <c r="C405">
        <v>0</v>
      </c>
      <c r="D405">
        <v>0</v>
      </c>
      <c r="H405">
        <v>0</v>
      </c>
      <c r="J405">
        <v>756</v>
      </c>
      <c r="K405">
        <v>315</v>
      </c>
      <c r="M405">
        <v>756</v>
      </c>
      <c r="N405">
        <v>0</v>
      </c>
      <c r="O405">
        <v>0</v>
      </c>
      <c r="P405">
        <v>0</v>
      </c>
      <c r="Q405">
        <v>0</v>
      </c>
      <c r="U405" t="s">
        <v>65</v>
      </c>
      <c r="V405">
        <v>44</v>
      </c>
      <c r="X405" t="s">
        <v>80</v>
      </c>
      <c r="Y405">
        <v>0</v>
      </c>
      <c r="Z405">
        <v>113</v>
      </c>
      <c r="AB405" t="s">
        <v>269</v>
      </c>
      <c r="AD405" t="s">
        <v>995</v>
      </c>
      <c r="AE405">
        <v>0</v>
      </c>
      <c r="AF405">
        <v>3</v>
      </c>
      <c r="AG405">
        <v>1</v>
      </c>
      <c r="AH405">
        <v>1.5</v>
      </c>
      <c r="AI405">
        <v>512</v>
      </c>
      <c r="AJ405">
        <v>512</v>
      </c>
      <c r="AK405">
        <v>44</v>
      </c>
      <c r="AL405" t="s">
        <v>1272</v>
      </c>
      <c r="AM405">
        <v>3</v>
      </c>
      <c r="AN405" t="s">
        <v>1020</v>
      </c>
      <c r="AO405" t="s">
        <v>59</v>
      </c>
      <c r="AP405" t="s">
        <v>1021</v>
      </c>
      <c r="AQ405">
        <v>11</v>
      </c>
      <c r="AR405">
        <v>53</v>
      </c>
      <c r="AS405">
        <v>14</v>
      </c>
      <c r="AT405">
        <v>4.5</v>
      </c>
      <c r="AU405">
        <v>11</v>
      </c>
      <c r="AV405" t="s">
        <v>1451</v>
      </c>
      <c r="AW405" t="s">
        <v>1452</v>
      </c>
      <c r="AX405" t="s">
        <v>1453</v>
      </c>
    </row>
    <row r="406" spans="1:50" x14ac:dyDescent="0.25">
      <c r="A406" t="s">
        <v>1454</v>
      </c>
      <c r="B406" t="s">
        <v>994</v>
      </c>
      <c r="C406">
        <v>0</v>
      </c>
      <c r="H406">
        <v>1</v>
      </c>
      <c r="J406">
        <v>1564</v>
      </c>
      <c r="K406">
        <v>0</v>
      </c>
      <c r="M406">
        <v>0</v>
      </c>
      <c r="N406">
        <v>0</v>
      </c>
      <c r="O406">
        <v>0</v>
      </c>
      <c r="P406">
        <v>0</v>
      </c>
      <c r="Q406">
        <v>1</v>
      </c>
      <c r="U406" t="s">
        <v>53</v>
      </c>
      <c r="V406">
        <v>50</v>
      </c>
      <c r="X406" t="s">
        <v>80</v>
      </c>
      <c r="Y406">
        <v>0</v>
      </c>
      <c r="Z406">
        <v>61.234999999999999</v>
      </c>
      <c r="AB406" t="s">
        <v>74</v>
      </c>
      <c r="AD406" t="s">
        <v>995</v>
      </c>
      <c r="AE406">
        <v>0</v>
      </c>
      <c r="AF406">
        <v>3</v>
      </c>
      <c r="AG406">
        <v>1</v>
      </c>
      <c r="AH406">
        <v>1.5</v>
      </c>
      <c r="AI406">
        <v>256</v>
      </c>
      <c r="AJ406">
        <v>256</v>
      </c>
      <c r="AK406">
        <v>60</v>
      </c>
      <c r="AL406" t="s">
        <v>1394</v>
      </c>
      <c r="AM406">
        <v>2.2999999999999998</v>
      </c>
      <c r="AN406" t="s">
        <v>996</v>
      </c>
      <c r="AO406" t="s">
        <v>67</v>
      </c>
      <c r="AP406" t="s">
        <v>997</v>
      </c>
      <c r="AQ406">
        <v>15</v>
      </c>
      <c r="AR406">
        <v>7</v>
      </c>
      <c r="AS406">
        <v>15</v>
      </c>
      <c r="AT406">
        <v>4.2</v>
      </c>
      <c r="AU406">
        <v>8.9</v>
      </c>
      <c r="AV406" t="s">
        <v>1455</v>
      </c>
      <c r="AW406" t="s">
        <v>1456</v>
      </c>
      <c r="AX406" t="s">
        <v>1457</v>
      </c>
    </row>
    <row r="407" spans="1:50" x14ac:dyDescent="0.25">
      <c r="A407" t="s">
        <v>1458</v>
      </c>
      <c r="B407" t="s">
        <v>994</v>
      </c>
      <c r="C407">
        <v>0</v>
      </c>
      <c r="H407">
        <v>0</v>
      </c>
      <c r="J407">
        <v>326</v>
      </c>
      <c r="K407">
        <v>0</v>
      </c>
      <c r="M407">
        <v>0</v>
      </c>
      <c r="N407">
        <v>0</v>
      </c>
      <c r="O407">
        <v>0</v>
      </c>
      <c r="P407">
        <v>0</v>
      </c>
      <c r="Q407">
        <v>0</v>
      </c>
      <c r="U407" t="s">
        <v>65</v>
      </c>
      <c r="V407">
        <v>44</v>
      </c>
      <c r="X407" t="s">
        <v>80</v>
      </c>
      <c r="Y407">
        <v>0</v>
      </c>
      <c r="Z407">
        <v>63.503</v>
      </c>
      <c r="AB407" t="s">
        <v>74</v>
      </c>
      <c r="AD407" t="s">
        <v>995</v>
      </c>
      <c r="AE407">
        <v>0</v>
      </c>
      <c r="AF407">
        <v>3</v>
      </c>
      <c r="AG407">
        <v>1</v>
      </c>
      <c r="AH407">
        <v>1.5</v>
      </c>
      <c r="AI407">
        <v>256</v>
      </c>
      <c r="AJ407">
        <v>256</v>
      </c>
      <c r="AK407">
        <v>62</v>
      </c>
      <c r="AL407" t="s">
        <v>1010</v>
      </c>
      <c r="AM407">
        <v>2.5</v>
      </c>
      <c r="AN407" t="s">
        <v>1072</v>
      </c>
      <c r="AO407" t="s">
        <v>67</v>
      </c>
      <c r="AP407" t="s">
        <v>997</v>
      </c>
      <c r="AQ407">
        <v>15</v>
      </c>
      <c r="AR407">
        <v>29</v>
      </c>
      <c r="AS407">
        <v>58</v>
      </c>
      <c r="AT407">
        <v>4.2</v>
      </c>
      <c r="AU407">
        <v>9</v>
      </c>
      <c r="AV407" t="s">
        <v>1459</v>
      </c>
      <c r="AW407" t="s">
        <v>1460</v>
      </c>
      <c r="AX407" t="s">
        <v>1461</v>
      </c>
    </row>
    <row r="408" spans="1:50" x14ac:dyDescent="0.25">
      <c r="A408" t="s">
        <v>1462</v>
      </c>
      <c r="B408" t="s">
        <v>994</v>
      </c>
      <c r="C408">
        <v>0</v>
      </c>
      <c r="H408">
        <v>0</v>
      </c>
      <c r="J408">
        <v>1379</v>
      </c>
      <c r="K408">
        <v>0</v>
      </c>
      <c r="M408">
        <v>0</v>
      </c>
      <c r="V408">
        <v>43</v>
      </c>
      <c r="X408" t="s">
        <v>55</v>
      </c>
      <c r="Y408">
        <v>0</v>
      </c>
      <c r="Z408">
        <v>71.668000000000006</v>
      </c>
      <c r="AB408" t="s">
        <v>94</v>
      </c>
      <c r="AD408" t="s">
        <v>995</v>
      </c>
      <c r="AE408">
        <v>0</v>
      </c>
      <c r="AF408">
        <v>4</v>
      </c>
      <c r="AG408">
        <v>1</v>
      </c>
      <c r="AH408">
        <v>1.5</v>
      </c>
      <c r="AI408">
        <v>256</v>
      </c>
      <c r="AJ408">
        <v>256</v>
      </c>
      <c r="AK408">
        <v>60</v>
      </c>
      <c r="AL408" t="s">
        <v>75</v>
      </c>
      <c r="AM408">
        <v>2</v>
      </c>
      <c r="AN408" t="s">
        <v>1097</v>
      </c>
      <c r="AO408" t="s">
        <v>67</v>
      </c>
      <c r="AP408" t="s">
        <v>659</v>
      </c>
      <c r="AQ408">
        <v>15</v>
      </c>
      <c r="AR408">
        <v>614</v>
      </c>
      <c r="AS408">
        <v>1229</v>
      </c>
      <c r="AT408">
        <v>4.2</v>
      </c>
      <c r="AU408">
        <v>17.571999999999999</v>
      </c>
      <c r="AW408" t="s">
        <v>1460</v>
      </c>
      <c r="AX408" t="s">
        <v>1463</v>
      </c>
    </row>
    <row r="409" spans="1:50" x14ac:dyDescent="0.25">
      <c r="A409" t="s">
        <v>1464</v>
      </c>
      <c r="B409" t="s">
        <v>994</v>
      </c>
      <c r="C409">
        <v>0</v>
      </c>
      <c r="H409">
        <v>0</v>
      </c>
      <c r="J409">
        <v>494</v>
      </c>
      <c r="K409">
        <v>371</v>
      </c>
      <c r="M409">
        <v>494</v>
      </c>
      <c r="N409">
        <v>1</v>
      </c>
      <c r="O409">
        <v>1</v>
      </c>
      <c r="P409">
        <v>1</v>
      </c>
      <c r="Q409">
        <v>0</v>
      </c>
      <c r="U409" t="s">
        <v>93</v>
      </c>
      <c r="V409">
        <v>49</v>
      </c>
      <c r="X409" t="s">
        <v>80</v>
      </c>
      <c r="Y409">
        <v>0</v>
      </c>
      <c r="Z409">
        <v>80.739000000000004</v>
      </c>
      <c r="AB409" t="s">
        <v>94</v>
      </c>
      <c r="AD409" t="s">
        <v>995</v>
      </c>
      <c r="AE409">
        <v>0</v>
      </c>
      <c r="AF409">
        <v>3</v>
      </c>
      <c r="AG409">
        <v>1</v>
      </c>
      <c r="AH409">
        <v>1.5</v>
      </c>
      <c r="AI409">
        <v>256</v>
      </c>
      <c r="AJ409">
        <v>256</v>
      </c>
      <c r="AK409">
        <v>62</v>
      </c>
      <c r="AL409" t="s">
        <v>1010</v>
      </c>
      <c r="AM409">
        <v>2.5</v>
      </c>
      <c r="AN409" t="s">
        <v>1072</v>
      </c>
      <c r="AO409" t="s">
        <v>67</v>
      </c>
      <c r="AP409" t="s">
        <v>997</v>
      </c>
      <c r="AQ409">
        <v>15</v>
      </c>
      <c r="AR409">
        <v>27</v>
      </c>
      <c r="AS409">
        <v>55</v>
      </c>
      <c r="AT409">
        <v>4.1989999999999998</v>
      </c>
      <c r="AU409">
        <v>9</v>
      </c>
      <c r="AV409" t="s">
        <v>1465</v>
      </c>
      <c r="AW409" t="s">
        <v>1466</v>
      </c>
      <c r="AX409" t="s">
        <v>1467</v>
      </c>
    </row>
    <row r="410" spans="1:50" x14ac:dyDescent="0.25">
      <c r="A410" t="s">
        <v>1468</v>
      </c>
      <c r="B410" t="s">
        <v>994</v>
      </c>
      <c r="C410">
        <v>0</v>
      </c>
      <c r="H410">
        <v>0</v>
      </c>
      <c r="J410">
        <v>1344</v>
      </c>
      <c r="K410">
        <v>0</v>
      </c>
      <c r="M410">
        <v>0</v>
      </c>
      <c r="N410">
        <v>1</v>
      </c>
      <c r="O410">
        <v>1</v>
      </c>
      <c r="P410">
        <v>1</v>
      </c>
      <c r="Q410">
        <v>0</v>
      </c>
      <c r="U410" t="s">
        <v>93</v>
      </c>
      <c r="V410">
        <v>64</v>
      </c>
      <c r="X410" t="s">
        <v>80</v>
      </c>
      <c r="Y410">
        <v>0</v>
      </c>
      <c r="Z410">
        <v>89.891999999999996</v>
      </c>
      <c r="AB410" t="s">
        <v>118</v>
      </c>
      <c r="AD410" t="s">
        <v>995</v>
      </c>
      <c r="AE410">
        <v>0</v>
      </c>
      <c r="AF410">
        <v>3</v>
      </c>
      <c r="AG410">
        <v>1</v>
      </c>
      <c r="AH410">
        <v>1.5</v>
      </c>
      <c r="AI410">
        <v>256</v>
      </c>
      <c r="AJ410">
        <v>256</v>
      </c>
      <c r="AK410">
        <v>64</v>
      </c>
      <c r="AL410" t="s">
        <v>75</v>
      </c>
      <c r="AM410">
        <v>2</v>
      </c>
      <c r="AN410" t="s">
        <v>1011</v>
      </c>
      <c r="AO410" t="s">
        <v>59</v>
      </c>
      <c r="AP410" t="s">
        <v>1123</v>
      </c>
      <c r="AQ410">
        <v>11</v>
      </c>
      <c r="AR410">
        <v>102</v>
      </c>
      <c r="AS410">
        <v>178</v>
      </c>
      <c r="AT410">
        <v>4.76</v>
      </c>
      <c r="AU410">
        <v>27</v>
      </c>
      <c r="AV410" t="s">
        <v>1469</v>
      </c>
      <c r="AW410" t="s">
        <v>1470</v>
      </c>
      <c r="AX410" t="s">
        <v>1471</v>
      </c>
    </row>
    <row r="411" spans="1:50" x14ac:dyDescent="0.25">
      <c r="A411" t="s">
        <v>1472</v>
      </c>
      <c r="B411" t="s">
        <v>994</v>
      </c>
      <c r="C411">
        <v>0</v>
      </c>
      <c r="H411">
        <v>1</v>
      </c>
      <c r="J411">
        <v>855</v>
      </c>
      <c r="K411">
        <v>0</v>
      </c>
      <c r="M411">
        <v>0</v>
      </c>
      <c r="N411">
        <v>0</v>
      </c>
      <c r="O411">
        <v>0</v>
      </c>
      <c r="P411">
        <v>0</v>
      </c>
      <c r="Q411">
        <v>1</v>
      </c>
      <c r="U411" t="s">
        <v>53</v>
      </c>
      <c r="V411">
        <v>47</v>
      </c>
      <c r="X411" t="s">
        <v>80</v>
      </c>
      <c r="Y411">
        <v>0</v>
      </c>
      <c r="Z411">
        <v>67.132000000000005</v>
      </c>
      <c r="AB411" t="s">
        <v>74</v>
      </c>
      <c r="AD411" t="s">
        <v>995</v>
      </c>
      <c r="AE411">
        <v>0</v>
      </c>
      <c r="AF411">
        <v>3</v>
      </c>
      <c r="AG411">
        <v>1</v>
      </c>
      <c r="AH411">
        <v>1.5</v>
      </c>
      <c r="AI411">
        <v>256</v>
      </c>
      <c r="AJ411">
        <v>256</v>
      </c>
      <c r="AK411">
        <v>58</v>
      </c>
      <c r="AL411" t="s">
        <v>1010</v>
      </c>
      <c r="AM411">
        <v>2.5</v>
      </c>
      <c r="AN411" t="s">
        <v>1072</v>
      </c>
      <c r="AO411" t="s">
        <v>67</v>
      </c>
      <c r="AP411" t="s">
        <v>997</v>
      </c>
      <c r="AQ411">
        <v>15</v>
      </c>
      <c r="AR411">
        <v>33</v>
      </c>
      <c r="AS411">
        <v>67</v>
      </c>
      <c r="AT411">
        <v>4.2</v>
      </c>
      <c r="AU411">
        <v>9</v>
      </c>
      <c r="AV411" t="s">
        <v>1473</v>
      </c>
      <c r="AW411" t="s">
        <v>1474</v>
      </c>
      <c r="AX411" t="s">
        <v>1475</v>
      </c>
    </row>
    <row r="412" spans="1:50" x14ac:dyDescent="0.25">
      <c r="A412" t="s">
        <v>1476</v>
      </c>
      <c r="B412" t="s">
        <v>994</v>
      </c>
      <c r="C412">
        <v>0</v>
      </c>
      <c r="H412">
        <v>1</v>
      </c>
      <c r="J412">
        <v>1518</v>
      </c>
      <c r="K412">
        <v>0</v>
      </c>
      <c r="M412">
        <v>0</v>
      </c>
      <c r="N412">
        <v>0</v>
      </c>
      <c r="O412">
        <v>0</v>
      </c>
      <c r="P412">
        <v>0</v>
      </c>
      <c r="Q412">
        <v>1</v>
      </c>
      <c r="U412" t="s">
        <v>53</v>
      </c>
      <c r="V412">
        <v>40</v>
      </c>
      <c r="X412" t="s">
        <v>80</v>
      </c>
      <c r="Y412">
        <v>0</v>
      </c>
      <c r="Z412">
        <v>72.575000000000003</v>
      </c>
      <c r="AB412" t="s">
        <v>94</v>
      </c>
      <c r="AD412" t="s">
        <v>995</v>
      </c>
      <c r="AE412">
        <v>0</v>
      </c>
      <c r="AF412">
        <v>3</v>
      </c>
      <c r="AG412">
        <v>1</v>
      </c>
      <c r="AH412">
        <v>1.5</v>
      </c>
      <c r="AI412">
        <v>256</v>
      </c>
      <c r="AJ412">
        <v>256</v>
      </c>
      <c r="AK412">
        <v>60</v>
      </c>
      <c r="AL412" t="s">
        <v>1034</v>
      </c>
      <c r="AM412">
        <v>2</v>
      </c>
      <c r="AN412" t="s">
        <v>996</v>
      </c>
      <c r="AO412" t="s">
        <v>67</v>
      </c>
      <c r="AP412" t="s">
        <v>997</v>
      </c>
      <c r="AQ412">
        <v>15</v>
      </c>
      <c r="AR412">
        <v>11</v>
      </c>
      <c r="AS412">
        <v>23</v>
      </c>
      <c r="AT412">
        <v>4.2</v>
      </c>
      <c r="AU412">
        <v>8.4</v>
      </c>
      <c r="AV412" t="s">
        <v>1477</v>
      </c>
      <c r="AW412" t="s">
        <v>1474</v>
      </c>
      <c r="AX412" t="s">
        <v>1478</v>
      </c>
    </row>
    <row r="413" spans="1:50" x14ac:dyDescent="0.25">
      <c r="A413" t="s">
        <v>1479</v>
      </c>
      <c r="B413" t="s">
        <v>994</v>
      </c>
      <c r="C413">
        <v>0</v>
      </c>
      <c r="H413">
        <v>0</v>
      </c>
      <c r="J413">
        <v>1456</v>
      </c>
      <c r="K413">
        <v>0</v>
      </c>
      <c r="M413">
        <v>0</v>
      </c>
      <c r="N413">
        <v>0</v>
      </c>
      <c r="O413">
        <v>0</v>
      </c>
      <c r="P413">
        <v>0</v>
      </c>
      <c r="Q413">
        <v>0</v>
      </c>
      <c r="U413" t="s">
        <v>65</v>
      </c>
      <c r="V413">
        <v>49</v>
      </c>
      <c r="X413" t="s">
        <v>80</v>
      </c>
      <c r="Y413">
        <v>0</v>
      </c>
      <c r="Z413">
        <v>145</v>
      </c>
      <c r="AB413" t="s">
        <v>269</v>
      </c>
      <c r="AD413" t="s">
        <v>995</v>
      </c>
      <c r="AE413">
        <v>0</v>
      </c>
      <c r="AF413">
        <v>3</v>
      </c>
      <c r="AG413">
        <v>1</v>
      </c>
      <c r="AH413">
        <v>1.5</v>
      </c>
      <c r="AI413">
        <v>512</v>
      </c>
      <c r="AJ413">
        <v>512</v>
      </c>
      <c r="AK413">
        <v>44</v>
      </c>
      <c r="AL413" t="s">
        <v>1272</v>
      </c>
      <c r="AM413">
        <v>3</v>
      </c>
      <c r="AN413" t="s">
        <v>1020</v>
      </c>
      <c r="AO413" t="s">
        <v>59</v>
      </c>
      <c r="AP413" t="s">
        <v>1021</v>
      </c>
      <c r="AQ413">
        <v>11</v>
      </c>
      <c r="AR413">
        <v>54</v>
      </c>
      <c r="AS413">
        <v>14</v>
      </c>
      <c r="AT413">
        <v>4.5</v>
      </c>
      <c r="AU413">
        <v>11</v>
      </c>
      <c r="AV413" t="s">
        <v>1480</v>
      </c>
      <c r="AW413" t="s">
        <v>1481</v>
      </c>
      <c r="AX413" t="s">
        <v>1482</v>
      </c>
    </row>
    <row r="414" spans="1:50" x14ac:dyDescent="0.25">
      <c r="A414" t="s">
        <v>1483</v>
      </c>
      <c r="B414" t="s">
        <v>994</v>
      </c>
      <c r="C414">
        <v>0</v>
      </c>
      <c r="H414">
        <v>0</v>
      </c>
      <c r="J414">
        <v>1293</v>
      </c>
      <c r="K414">
        <v>1002</v>
      </c>
      <c r="M414">
        <v>0</v>
      </c>
      <c r="N414">
        <v>1</v>
      </c>
      <c r="O414">
        <v>1</v>
      </c>
      <c r="P414">
        <v>1</v>
      </c>
      <c r="Q414">
        <v>0</v>
      </c>
      <c r="U414" t="s">
        <v>93</v>
      </c>
      <c r="V414">
        <v>31</v>
      </c>
      <c r="X414" t="s">
        <v>80</v>
      </c>
      <c r="Y414">
        <v>0</v>
      </c>
      <c r="Z414">
        <v>77.111000000000004</v>
      </c>
      <c r="AB414" t="s">
        <v>94</v>
      </c>
      <c r="AD414" t="s">
        <v>995</v>
      </c>
      <c r="AE414">
        <v>0</v>
      </c>
      <c r="AF414">
        <v>4</v>
      </c>
      <c r="AG414">
        <v>1</v>
      </c>
      <c r="AH414">
        <v>1.5</v>
      </c>
      <c r="AI414">
        <v>256</v>
      </c>
      <c r="AJ414">
        <v>256</v>
      </c>
      <c r="AK414">
        <v>52</v>
      </c>
      <c r="AL414" t="s">
        <v>75</v>
      </c>
      <c r="AM414">
        <v>3</v>
      </c>
      <c r="AN414" t="s">
        <v>1097</v>
      </c>
      <c r="AO414" t="s">
        <v>67</v>
      </c>
      <c r="AP414" t="s">
        <v>659</v>
      </c>
      <c r="AQ414">
        <v>15</v>
      </c>
      <c r="AR414">
        <v>209</v>
      </c>
      <c r="AS414">
        <v>418</v>
      </c>
      <c r="AT414">
        <v>3.1680000000000001</v>
      </c>
      <c r="AU414">
        <v>6.5880000000000001</v>
      </c>
      <c r="AV414" t="s">
        <v>1484</v>
      </c>
      <c r="AW414" t="s">
        <v>1485</v>
      </c>
      <c r="AX414" t="s">
        <v>1486</v>
      </c>
    </row>
    <row r="415" spans="1:50" x14ac:dyDescent="0.25">
      <c r="A415" t="s">
        <v>1487</v>
      </c>
      <c r="B415" t="s">
        <v>994</v>
      </c>
      <c r="C415">
        <v>0</v>
      </c>
      <c r="H415">
        <v>0</v>
      </c>
      <c r="J415">
        <v>1357</v>
      </c>
      <c r="K415">
        <v>0</v>
      </c>
      <c r="M415">
        <v>0</v>
      </c>
      <c r="N415">
        <v>1</v>
      </c>
      <c r="O415">
        <v>1</v>
      </c>
      <c r="P415">
        <v>1</v>
      </c>
      <c r="Q415">
        <v>0</v>
      </c>
      <c r="U415" t="s">
        <v>93</v>
      </c>
      <c r="V415">
        <v>34</v>
      </c>
      <c r="X415" t="s">
        <v>80</v>
      </c>
      <c r="Y415">
        <v>1</v>
      </c>
      <c r="Z415">
        <v>54.933999999999997</v>
      </c>
      <c r="AB415" t="s">
        <v>74</v>
      </c>
      <c r="AD415" t="s">
        <v>995</v>
      </c>
      <c r="AE415">
        <v>0</v>
      </c>
      <c r="AF415">
        <v>3</v>
      </c>
      <c r="AG415">
        <v>1</v>
      </c>
      <c r="AH415">
        <v>1.5</v>
      </c>
      <c r="AI415">
        <v>256</v>
      </c>
      <c r="AJ415">
        <v>256</v>
      </c>
      <c r="AK415">
        <v>64</v>
      </c>
      <c r="AL415" t="s">
        <v>1010</v>
      </c>
      <c r="AM415">
        <v>2</v>
      </c>
      <c r="AN415" t="s">
        <v>1011</v>
      </c>
      <c r="AO415" t="s">
        <v>59</v>
      </c>
      <c r="AP415" t="s">
        <v>1123</v>
      </c>
      <c r="AQ415">
        <v>11</v>
      </c>
      <c r="AR415">
        <v>60</v>
      </c>
      <c r="AS415">
        <v>164</v>
      </c>
      <c r="AT415">
        <v>4.76</v>
      </c>
      <c r="AU415">
        <v>27</v>
      </c>
      <c r="AV415" t="s">
        <v>1488</v>
      </c>
      <c r="AW415" t="s">
        <v>1489</v>
      </c>
      <c r="AX415" t="s">
        <v>1490</v>
      </c>
    </row>
    <row r="416" spans="1:50" x14ac:dyDescent="0.25">
      <c r="A416" t="s">
        <v>1491</v>
      </c>
      <c r="B416" t="s">
        <v>994</v>
      </c>
      <c r="C416">
        <v>0</v>
      </c>
      <c r="H416">
        <v>1</v>
      </c>
      <c r="J416">
        <v>1295</v>
      </c>
      <c r="K416">
        <v>0</v>
      </c>
      <c r="M416">
        <v>0</v>
      </c>
      <c r="N416">
        <v>0</v>
      </c>
      <c r="O416">
        <v>0</v>
      </c>
      <c r="P416">
        <v>0</v>
      </c>
      <c r="Q416">
        <v>1</v>
      </c>
      <c r="U416" t="s">
        <v>53</v>
      </c>
      <c r="V416">
        <v>42</v>
      </c>
      <c r="X416" t="s">
        <v>80</v>
      </c>
      <c r="Y416">
        <v>0</v>
      </c>
      <c r="Z416">
        <v>108.86199999999999</v>
      </c>
      <c r="AB416" t="s">
        <v>56</v>
      </c>
      <c r="AD416" t="s">
        <v>995</v>
      </c>
      <c r="AE416">
        <v>1</v>
      </c>
      <c r="AF416">
        <v>6</v>
      </c>
      <c r="AG416">
        <v>1</v>
      </c>
      <c r="AH416">
        <v>1.5</v>
      </c>
      <c r="AI416">
        <v>256</v>
      </c>
      <c r="AJ416">
        <v>256</v>
      </c>
      <c r="AK416">
        <v>232</v>
      </c>
      <c r="AL416" t="s">
        <v>1394</v>
      </c>
      <c r="AM416">
        <v>3</v>
      </c>
      <c r="AN416" t="s">
        <v>1419</v>
      </c>
      <c r="AO416" t="s">
        <v>67</v>
      </c>
      <c r="AP416" t="s">
        <v>659</v>
      </c>
      <c r="AQ416">
        <v>15</v>
      </c>
      <c r="AR416">
        <v>50</v>
      </c>
      <c r="AS416">
        <v>100</v>
      </c>
      <c r="AT416">
        <v>4.2</v>
      </c>
      <c r="AU416">
        <v>6.6680000000000001</v>
      </c>
      <c r="AV416" t="s">
        <v>1492</v>
      </c>
      <c r="AW416" t="s">
        <v>1493</v>
      </c>
      <c r="AX416" t="s">
        <v>1494</v>
      </c>
    </row>
    <row r="417" spans="1:50" x14ac:dyDescent="0.25">
      <c r="A417" t="s">
        <v>1495</v>
      </c>
      <c r="B417" t="s">
        <v>994</v>
      </c>
      <c r="C417">
        <v>0</v>
      </c>
      <c r="H417">
        <v>0</v>
      </c>
      <c r="J417">
        <v>1456</v>
      </c>
      <c r="K417">
        <v>0</v>
      </c>
      <c r="M417">
        <v>0</v>
      </c>
      <c r="N417">
        <v>1</v>
      </c>
      <c r="O417">
        <v>1</v>
      </c>
      <c r="P417">
        <v>1</v>
      </c>
      <c r="Q417">
        <v>0</v>
      </c>
      <c r="U417" t="s">
        <v>93</v>
      </c>
      <c r="V417">
        <v>53</v>
      </c>
      <c r="X417" t="s">
        <v>80</v>
      </c>
      <c r="Y417">
        <v>0</v>
      </c>
      <c r="Z417">
        <v>59</v>
      </c>
      <c r="AB417" t="s">
        <v>74</v>
      </c>
      <c r="AD417" t="s">
        <v>995</v>
      </c>
      <c r="AE417">
        <v>0</v>
      </c>
      <c r="AF417">
        <v>3</v>
      </c>
      <c r="AG417">
        <v>1</v>
      </c>
      <c r="AH417">
        <v>1.5</v>
      </c>
      <c r="AI417">
        <v>512</v>
      </c>
      <c r="AJ417">
        <v>512</v>
      </c>
      <c r="AK417">
        <v>44</v>
      </c>
      <c r="AL417" t="s">
        <v>1272</v>
      </c>
      <c r="AM417">
        <v>3</v>
      </c>
      <c r="AN417" t="s">
        <v>1020</v>
      </c>
      <c r="AO417" t="s">
        <v>59</v>
      </c>
      <c r="AP417" t="s">
        <v>1021</v>
      </c>
      <c r="AQ417">
        <v>11</v>
      </c>
      <c r="AR417">
        <v>47</v>
      </c>
      <c r="AS417">
        <v>12</v>
      </c>
      <c r="AT417">
        <v>4.5</v>
      </c>
      <c r="AU417">
        <v>11</v>
      </c>
      <c r="AV417" t="s">
        <v>1496</v>
      </c>
      <c r="AW417" t="s">
        <v>1497</v>
      </c>
      <c r="AX417" t="s">
        <v>1498</v>
      </c>
    </row>
    <row r="418" spans="1:50" x14ac:dyDescent="0.25">
      <c r="A418" t="s">
        <v>1499</v>
      </c>
      <c r="B418" t="s">
        <v>994</v>
      </c>
      <c r="C418">
        <v>0</v>
      </c>
      <c r="H418">
        <v>1</v>
      </c>
      <c r="J418">
        <v>929</v>
      </c>
      <c r="K418">
        <v>0</v>
      </c>
      <c r="M418">
        <v>0</v>
      </c>
      <c r="N418">
        <v>0</v>
      </c>
      <c r="O418">
        <v>0</v>
      </c>
      <c r="P418">
        <v>0</v>
      </c>
      <c r="Q418">
        <v>0</v>
      </c>
      <c r="U418" t="s">
        <v>65</v>
      </c>
      <c r="V418">
        <v>49</v>
      </c>
      <c r="X418" t="s">
        <v>80</v>
      </c>
      <c r="Y418">
        <v>0</v>
      </c>
      <c r="Z418">
        <v>70</v>
      </c>
      <c r="AB418" t="s">
        <v>94</v>
      </c>
      <c r="AD418" t="s">
        <v>995</v>
      </c>
      <c r="AE418">
        <v>0</v>
      </c>
      <c r="AF418">
        <v>6</v>
      </c>
      <c r="AG418">
        <v>1</v>
      </c>
      <c r="AH418">
        <v>1.5</v>
      </c>
      <c r="AI418">
        <v>256</v>
      </c>
      <c r="AJ418">
        <v>256</v>
      </c>
      <c r="AK418">
        <v>60</v>
      </c>
      <c r="AL418" t="s">
        <v>75</v>
      </c>
      <c r="AM418">
        <v>4</v>
      </c>
      <c r="AN418" t="s">
        <v>1154</v>
      </c>
      <c r="AO418" t="s">
        <v>1155</v>
      </c>
      <c r="AP418" t="s">
        <v>1305</v>
      </c>
      <c r="AQ418">
        <v>11</v>
      </c>
      <c r="AR418">
        <v>760</v>
      </c>
      <c r="AS418">
        <v>1519</v>
      </c>
      <c r="AT418">
        <v>6.3151000000000002</v>
      </c>
      <c r="AU418">
        <v>32.533299999999997</v>
      </c>
      <c r="AW418" t="s">
        <v>1500</v>
      </c>
      <c r="AX418" t="s">
        <v>1501</v>
      </c>
    </row>
    <row r="419" spans="1:50" x14ac:dyDescent="0.25">
      <c r="A419" t="s">
        <v>1502</v>
      </c>
      <c r="B419" t="s">
        <v>994</v>
      </c>
      <c r="C419">
        <v>0</v>
      </c>
      <c r="H419">
        <v>0</v>
      </c>
      <c r="J419">
        <v>1322</v>
      </c>
      <c r="K419">
        <v>0</v>
      </c>
      <c r="M419">
        <v>0</v>
      </c>
      <c r="N419">
        <v>1</v>
      </c>
      <c r="O419">
        <v>1</v>
      </c>
      <c r="P419">
        <v>1</v>
      </c>
      <c r="Q419">
        <v>0</v>
      </c>
      <c r="U419" t="s">
        <v>93</v>
      </c>
      <c r="V419">
        <v>49</v>
      </c>
      <c r="X419" t="s">
        <v>80</v>
      </c>
      <c r="Y419">
        <v>0</v>
      </c>
      <c r="Z419">
        <v>58.966999999999999</v>
      </c>
      <c r="AB419" t="s">
        <v>74</v>
      </c>
      <c r="AD419" t="s">
        <v>995</v>
      </c>
      <c r="AE419">
        <v>0</v>
      </c>
      <c r="AF419">
        <v>3</v>
      </c>
      <c r="AG419">
        <v>1</v>
      </c>
      <c r="AH419">
        <v>1.5</v>
      </c>
      <c r="AI419">
        <v>256</v>
      </c>
      <c r="AJ419">
        <v>256</v>
      </c>
      <c r="AK419">
        <v>60</v>
      </c>
      <c r="AL419" t="s">
        <v>1503</v>
      </c>
      <c r="AM419">
        <v>2.2000000000000002</v>
      </c>
      <c r="AN419" t="s">
        <v>996</v>
      </c>
      <c r="AO419" t="s">
        <v>67</v>
      </c>
      <c r="AP419" t="s">
        <v>997</v>
      </c>
      <c r="AQ419">
        <v>15</v>
      </c>
      <c r="AR419">
        <v>11</v>
      </c>
      <c r="AS419">
        <v>22</v>
      </c>
      <c r="AT419">
        <v>4.2</v>
      </c>
      <c r="AU419">
        <v>8.9</v>
      </c>
      <c r="AV419" t="s">
        <v>1504</v>
      </c>
      <c r="AW419" t="s">
        <v>1505</v>
      </c>
      <c r="AX419" t="s">
        <v>1506</v>
      </c>
    </row>
    <row r="420" spans="1:50" x14ac:dyDescent="0.25">
      <c r="A420" t="s">
        <v>1507</v>
      </c>
      <c r="B420" t="s">
        <v>994</v>
      </c>
      <c r="C420">
        <v>0</v>
      </c>
      <c r="H420">
        <v>0</v>
      </c>
      <c r="J420">
        <v>1454</v>
      </c>
      <c r="K420">
        <v>0</v>
      </c>
      <c r="M420">
        <v>0</v>
      </c>
      <c r="N420">
        <v>0</v>
      </c>
      <c r="O420">
        <v>0</v>
      </c>
      <c r="P420">
        <v>0</v>
      </c>
      <c r="Q420">
        <v>0</v>
      </c>
      <c r="U420" t="s">
        <v>65</v>
      </c>
      <c r="V420">
        <v>47</v>
      </c>
      <c r="X420" t="s">
        <v>55</v>
      </c>
      <c r="Y420">
        <v>0</v>
      </c>
      <c r="Z420">
        <v>136</v>
      </c>
      <c r="AB420" t="s">
        <v>269</v>
      </c>
      <c r="AD420" t="s">
        <v>995</v>
      </c>
      <c r="AE420">
        <v>0</v>
      </c>
      <c r="AF420">
        <v>3</v>
      </c>
      <c r="AG420">
        <v>1</v>
      </c>
      <c r="AH420">
        <v>1.5</v>
      </c>
      <c r="AI420">
        <v>256</v>
      </c>
      <c r="AJ420">
        <v>256</v>
      </c>
      <c r="AK420">
        <v>54</v>
      </c>
      <c r="AL420" t="s">
        <v>1010</v>
      </c>
      <c r="AM420">
        <v>3</v>
      </c>
      <c r="AN420" t="s">
        <v>1020</v>
      </c>
      <c r="AO420" t="s">
        <v>59</v>
      </c>
      <c r="AP420" t="s">
        <v>1021</v>
      </c>
      <c r="AQ420">
        <v>11</v>
      </c>
      <c r="AR420">
        <v>65</v>
      </c>
      <c r="AS420">
        <v>17</v>
      </c>
      <c r="AT420">
        <v>4</v>
      </c>
      <c r="AU420">
        <v>30</v>
      </c>
      <c r="AV420" t="s">
        <v>1508</v>
      </c>
      <c r="AW420" t="s">
        <v>1509</v>
      </c>
      <c r="AX420" t="s">
        <v>1510</v>
      </c>
    </row>
    <row r="421" spans="1:50" x14ac:dyDescent="0.25">
      <c r="A421" t="s">
        <v>1511</v>
      </c>
      <c r="B421" t="s">
        <v>994</v>
      </c>
      <c r="C421">
        <v>0</v>
      </c>
      <c r="H421">
        <v>0</v>
      </c>
      <c r="J421">
        <v>1318</v>
      </c>
      <c r="K421">
        <v>0</v>
      </c>
      <c r="M421">
        <v>0</v>
      </c>
      <c r="N421">
        <v>0</v>
      </c>
      <c r="O421">
        <v>0</v>
      </c>
      <c r="P421">
        <v>0</v>
      </c>
      <c r="Q421">
        <v>0</v>
      </c>
      <c r="U421" t="s">
        <v>65</v>
      </c>
      <c r="V421">
        <v>38</v>
      </c>
      <c r="X421" t="s">
        <v>55</v>
      </c>
      <c r="Y421">
        <v>0</v>
      </c>
      <c r="Z421">
        <v>99.79</v>
      </c>
      <c r="AB421" t="s">
        <v>56</v>
      </c>
      <c r="AD421" t="s">
        <v>995</v>
      </c>
      <c r="AE421">
        <v>0</v>
      </c>
      <c r="AF421">
        <v>4</v>
      </c>
      <c r="AG421">
        <v>1</v>
      </c>
      <c r="AH421">
        <v>1.5</v>
      </c>
      <c r="AI421">
        <v>256</v>
      </c>
      <c r="AJ421">
        <v>256</v>
      </c>
      <c r="AK421">
        <v>56</v>
      </c>
      <c r="AL421" t="s">
        <v>75</v>
      </c>
      <c r="AM421">
        <v>2.5</v>
      </c>
      <c r="AN421" t="s">
        <v>1072</v>
      </c>
      <c r="AO421" t="s">
        <v>67</v>
      </c>
      <c r="AP421" t="s">
        <v>997</v>
      </c>
      <c r="AQ421">
        <v>15</v>
      </c>
      <c r="AR421">
        <v>37</v>
      </c>
      <c r="AS421">
        <v>75</v>
      </c>
      <c r="AT421">
        <v>4.2</v>
      </c>
      <c r="AU421">
        <v>8.9</v>
      </c>
      <c r="AV421" t="s">
        <v>1512</v>
      </c>
      <c r="AW421" t="s">
        <v>1513</v>
      </c>
      <c r="AX421" t="s">
        <v>1514</v>
      </c>
    </row>
    <row r="422" spans="1:50" x14ac:dyDescent="0.25">
      <c r="A422" t="s">
        <v>1515</v>
      </c>
      <c r="B422" t="s">
        <v>994</v>
      </c>
      <c r="C422">
        <v>0</v>
      </c>
      <c r="H422">
        <v>1</v>
      </c>
      <c r="J422">
        <v>1314</v>
      </c>
      <c r="K422">
        <v>0</v>
      </c>
      <c r="M422">
        <v>0</v>
      </c>
      <c r="N422">
        <v>0</v>
      </c>
      <c r="O422">
        <v>0</v>
      </c>
      <c r="P422">
        <v>0</v>
      </c>
      <c r="Q422">
        <v>1</v>
      </c>
      <c r="U422" t="s">
        <v>53</v>
      </c>
      <c r="V422">
        <v>68</v>
      </c>
      <c r="X422" t="s">
        <v>111</v>
      </c>
      <c r="Y422">
        <v>0</v>
      </c>
      <c r="Z422">
        <v>48.988</v>
      </c>
      <c r="AB422" t="s">
        <v>247</v>
      </c>
      <c r="AD422" t="s">
        <v>995</v>
      </c>
      <c r="AE422">
        <v>0</v>
      </c>
      <c r="AF422">
        <v>3</v>
      </c>
      <c r="AG422">
        <v>1</v>
      </c>
      <c r="AH422">
        <v>1.5</v>
      </c>
      <c r="AI422">
        <v>256</v>
      </c>
      <c r="AJ422">
        <v>256</v>
      </c>
      <c r="AK422">
        <v>60</v>
      </c>
      <c r="AL422" t="s">
        <v>1394</v>
      </c>
      <c r="AM422">
        <v>2.2999999999999998</v>
      </c>
      <c r="AN422" t="s">
        <v>996</v>
      </c>
      <c r="AO422" t="s">
        <v>67</v>
      </c>
      <c r="AP422" t="s">
        <v>997</v>
      </c>
      <c r="AQ422">
        <v>15</v>
      </c>
      <c r="AR422">
        <v>113</v>
      </c>
      <c r="AS422">
        <v>227</v>
      </c>
      <c r="AT422">
        <v>4.2</v>
      </c>
      <c r="AU422">
        <v>8.9</v>
      </c>
      <c r="AV422" t="s">
        <v>1516</v>
      </c>
      <c r="AW422" t="s">
        <v>1513</v>
      </c>
      <c r="AX422" t="s">
        <v>1517</v>
      </c>
    </row>
    <row r="423" spans="1:50" x14ac:dyDescent="0.25">
      <c r="A423" t="s">
        <v>1518</v>
      </c>
      <c r="B423" t="s">
        <v>994</v>
      </c>
      <c r="C423">
        <v>0</v>
      </c>
      <c r="H423">
        <v>0</v>
      </c>
      <c r="J423">
        <v>1238</v>
      </c>
      <c r="K423">
        <v>0</v>
      </c>
      <c r="M423">
        <v>0</v>
      </c>
      <c r="N423">
        <v>1</v>
      </c>
      <c r="O423">
        <v>1</v>
      </c>
      <c r="P423">
        <v>1</v>
      </c>
      <c r="Q423">
        <v>0</v>
      </c>
      <c r="U423" t="s">
        <v>93</v>
      </c>
      <c r="V423">
        <v>45</v>
      </c>
      <c r="X423" t="s">
        <v>80</v>
      </c>
      <c r="Y423">
        <v>0</v>
      </c>
      <c r="Z423">
        <v>61.234999999999999</v>
      </c>
      <c r="AB423" t="s">
        <v>74</v>
      </c>
      <c r="AD423" t="s">
        <v>995</v>
      </c>
      <c r="AE423">
        <v>0</v>
      </c>
      <c r="AF423">
        <v>3</v>
      </c>
      <c r="AG423">
        <v>1</v>
      </c>
      <c r="AH423">
        <v>1.5</v>
      </c>
      <c r="AI423">
        <v>256</v>
      </c>
      <c r="AJ423">
        <v>256</v>
      </c>
      <c r="AK423">
        <v>56</v>
      </c>
      <c r="AL423" t="s">
        <v>1010</v>
      </c>
      <c r="AM423">
        <v>2.5</v>
      </c>
      <c r="AN423" t="s">
        <v>1072</v>
      </c>
      <c r="AO423" t="s">
        <v>67</v>
      </c>
      <c r="AP423" t="s">
        <v>997</v>
      </c>
      <c r="AQ423">
        <v>15</v>
      </c>
      <c r="AR423">
        <v>33</v>
      </c>
      <c r="AS423">
        <v>67</v>
      </c>
      <c r="AT423">
        <v>4.1989999999999998</v>
      </c>
      <c r="AU423">
        <v>9</v>
      </c>
      <c r="AV423" t="s">
        <v>1519</v>
      </c>
      <c r="AW423" t="s">
        <v>1520</v>
      </c>
      <c r="AX423" t="s">
        <v>1521</v>
      </c>
    </row>
    <row r="424" spans="1:50" x14ac:dyDescent="0.25">
      <c r="A424" t="s">
        <v>1522</v>
      </c>
      <c r="B424" t="s">
        <v>994</v>
      </c>
      <c r="C424">
        <v>0</v>
      </c>
      <c r="H424">
        <v>1</v>
      </c>
      <c r="J424">
        <v>1311</v>
      </c>
      <c r="K424">
        <v>0</v>
      </c>
      <c r="M424">
        <v>0</v>
      </c>
      <c r="N424">
        <v>0</v>
      </c>
      <c r="O424">
        <v>0</v>
      </c>
      <c r="P424">
        <v>0</v>
      </c>
      <c r="V424">
        <v>31</v>
      </c>
      <c r="X424" t="s">
        <v>55</v>
      </c>
      <c r="Y424">
        <v>0</v>
      </c>
      <c r="Z424">
        <v>63.503</v>
      </c>
      <c r="AB424" t="s">
        <v>74</v>
      </c>
      <c r="AD424" t="s">
        <v>995</v>
      </c>
      <c r="AE424">
        <v>0</v>
      </c>
      <c r="AF424">
        <v>3</v>
      </c>
      <c r="AG424">
        <v>1</v>
      </c>
      <c r="AH424">
        <v>1.5</v>
      </c>
      <c r="AI424">
        <v>256</v>
      </c>
      <c r="AJ424">
        <v>256</v>
      </c>
      <c r="AK424">
        <v>56</v>
      </c>
      <c r="AL424" t="s">
        <v>1010</v>
      </c>
      <c r="AM424">
        <v>2.5</v>
      </c>
      <c r="AN424" t="s">
        <v>1072</v>
      </c>
      <c r="AO424" t="s">
        <v>67</v>
      </c>
      <c r="AP424" t="s">
        <v>997</v>
      </c>
      <c r="AQ424">
        <v>15</v>
      </c>
      <c r="AR424">
        <v>35</v>
      </c>
      <c r="AS424">
        <v>70</v>
      </c>
      <c r="AT424">
        <v>4.1989999999999998</v>
      </c>
      <c r="AU424">
        <v>9</v>
      </c>
      <c r="AV424" t="s">
        <v>1523</v>
      </c>
      <c r="AW424" t="s">
        <v>1524</v>
      </c>
      <c r="AX424" t="s">
        <v>1525</v>
      </c>
    </row>
    <row r="425" spans="1:50" x14ac:dyDescent="0.25">
      <c r="A425" t="s">
        <v>1526</v>
      </c>
      <c r="B425" t="s">
        <v>994</v>
      </c>
      <c r="C425">
        <v>0</v>
      </c>
      <c r="H425">
        <v>0</v>
      </c>
      <c r="J425">
        <v>1425</v>
      </c>
      <c r="K425">
        <v>0</v>
      </c>
      <c r="M425">
        <v>0</v>
      </c>
      <c r="N425">
        <v>1</v>
      </c>
      <c r="O425">
        <v>1</v>
      </c>
      <c r="P425">
        <v>1</v>
      </c>
      <c r="Q425">
        <v>0</v>
      </c>
      <c r="U425" t="s">
        <v>93</v>
      </c>
      <c r="V425">
        <v>59</v>
      </c>
      <c r="X425" t="s">
        <v>80</v>
      </c>
      <c r="Y425">
        <v>0</v>
      </c>
      <c r="AD425" t="s">
        <v>995</v>
      </c>
      <c r="AE425">
        <v>0</v>
      </c>
      <c r="AF425">
        <v>3</v>
      </c>
      <c r="AG425">
        <v>1</v>
      </c>
      <c r="AH425">
        <v>1.5</v>
      </c>
      <c r="AI425">
        <v>256</v>
      </c>
      <c r="AJ425">
        <v>256</v>
      </c>
      <c r="AK425">
        <v>64</v>
      </c>
      <c r="AL425" t="s">
        <v>75</v>
      </c>
      <c r="AM425">
        <v>2</v>
      </c>
      <c r="AN425" t="s">
        <v>1011</v>
      </c>
      <c r="AO425" t="s">
        <v>59</v>
      </c>
      <c r="AP425" t="s">
        <v>1123</v>
      </c>
      <c r="AQ425">
        <v>11</v>
      </c>
      <c r="AR425">
        <v>55</v>
      </c>
      <c r="AS425">
        <v>150</v>
      </c>
      <c r="AT425">
        <v>4.76</v>
      </c>
      <c r="AU425">
        <v>27</v>
      </c>
      <c r="AV425" t="s">
        <v>1527</v>
      </c>
      <c r="AW425" t="s">
        <v>1528</v>
      </c>
      <c r="AX425" t="s">
        <v>1529</v>
      </c>
    </row>
    <row r="426" spans="1:50" x14ac:dyDescent="0.25">
      <c r="A426" t="s">
        <v>1530</v>
      </c>
      <c r="B426" t="s">
        <v>994</v>
      </c>
      <c r="C426">
        <v>0</v>
      </c>
      <c r="D426">
        <v>0</v>
      </c>
      <c r="H426">
        <v>0</v>
      </c>
      <c r="J426">
        <v>810</v>
      </c>
      <c r="K426">
        <v>636</v>
      </c>
      <c r="M426">
        <v>810</v>
      </c>
      <c r="N426">
        <v>1</v>
      </c>
      <c r="O426">
        <v>1</v>
      </c>
      <c r="P426">
        <v>1</v>
      </c>
      <c r="Q426">
        <v>0</v>
      </c>
      <c r="U426" t="s">
        <v>93</v>
      </c>
      <c r="V426">
        <v>33</v>
      </c>
      <c r="X426" t="s">
        <v>80</v>
      </c>
      <c r="Y426">
        <v>0</v>
      </c>
      <c r="Z426">
        <v>72.575000000000003</v>
      </c>
      <c r="AB426" t="s">
        <v>94</v>
      </c>
      <c r="AD426" t="s">
        <v>995</v>
      </c>
      <c r="AE426">
        <v>0</v>
      </c>
      <c r="AF426">
        <v>3</v>
      </c>
      <c r="AG426">
        <v>1</v>
      </c>
      <c r="AH426">
        <v>1.5</v>
      </c>
      <c r="AI426">
        <v>256</v>
      </c>
      <c r="AJ426">
        <v>256</v>
      </c>
      <c r="AK426">
        <v>60</v>
      </c>
      <c r="AL426" t="s">
        <v>1010</v>
      </c>
      <c r="AM426">
        <v>2.5</v>
      </c>
      <c r="AN426" t="s">
        <v>1531</v>
      </c>
      <c r="AO426" t="s">
        <v>67</v>
      </c>
      <c r="AP426" t="s">
        <v>997</v>
      </c>
      <c r="AQ426">
        <v>15</v>
      </c>
      <c r="AR426">
        <v>14</v>
      </c>
      <c r="AS426">
        <v>28</v>
      </c>
      <c r="AT426">
        <v>3.3279999999999998</v>
      </c>
      <c r="AU426">
        <v>17.7</v>
      </c>
      <c r="AV426" t="s">
        <v>1532</v>
      </c>
      <c r="AW426" t="s">
        <v>1533</v>
      </c>
      <c r="AX426" t="s">
        <v>1534</v>
      </c>
    </row>
    <row r="427" spans="1:50" x14ac:dyDescent="0.25">
      <c r="A427" t="s">
        <v>1535</v>
      </c>
      <c r="B427" t="s">
        <v>994</v>
      </c>
      <c r="C427">
        <v>0</v>
      </c>
      <c r="H427">
        <v>0</v>
      </c>
      <c r="J427">
        <v>1000</v>
      </c>
      <c r="K427">
        <v>0</v>
      </c>
      <c r="M427">
        <v>0</v>
      </c>
      <c r="N427">
        <v>1</v>
      </c>
      <c r="O427">
        <v>1</v>
      </c>
      <c r="P427">
        <v>1</v>
      </c>
      <c r="Q427">
        <v>1</v>
      </c>
      <c r="U427" t="s">
        <v>72</v>
      </c>
      <c r="V427">
        <v>35</v>
      </c>
      <c r="X427" t="s">
        <v>80</v>
      </c>
      <c r="Y427">
        <v>0</v>
      </c>
      <c r="Z427">
        <v>63.503</v>
      </c>
      <c r="AB427" t="s">
        <v>74</v>
      </c>
      <c r="AD427" t="s">
        <v>995</v>
      </c>
      <c r="AE427">
        <v>0</v>
      </c>
      <c r="AF427">
        <v>4</v>
      </c>
      <c r="AG427">
        <v>1</v>
      </c>
      <c r="AH427">
        <v>1.5</v>
      </c>
      <c r="AI427">
        <v>256</v>
      </c>
      <c r="AJ427">
        <v>256</v>
      </c>
      <c r="AK427">
        <v>56</v>
      </c>
      <c r="AL427" t="s">
        <v>75</v>
      </c>
      <c r="AM427">
        <v>2.5</v>
      </c>
      <c r="AN427" t="s">
        <v>1072</v>
      </c>
      <c r="AO427" t="s">
        <v>67</v>
      </c>
      <c r="AP427" t="s">
        <v>997</v>
      </c>
      <c r="AQ427">
        <v>15</v>
      </c>
      <c r="AR427">
        <v>34</v>
      </c>
      <c r="AS427">
        <v>68</v>
      </c>
      <c r="AT427">
        <v>4.2</v>
      </c>
      <c r="AU427">
        <v>8.9</v>
      </c>
      <c r="AV427" t="s">
        <v>1536</v>
      </c>
      <c r="AW427" t="s">
        <v>1537</v>
      </c>
      <c r="AX427" t="s">
        <v>1538</v>
      </c>
    </row>
    <row r="428" spans="1:50" x14ac:dyDescent="0.25">
      <c r="A428" t="s">
        <v>1539</v>
      </c>
      <c r="B428" t="s">
        <v>994</v>
      </c>
      <c r="C428">
        <v>0</v>
      </c>
      <c r="H428">
        <v>0</v>
      </c>
      <c r="J428">
        <v>1050</v>
      </c>
      <c r="K428">
        <v>0</v>
      </c>
      <c r="M428">
        <v>0</v>
      </c>
      <c r="N428">
        <v>1</v>
      </c>
      <c r="O428">
        <v>0</v>
      </c>
      <c r="P428">
        <v>1</v>
      </c>
      <c r="Q428">
        <v>0</v>
      </c>
      <c r="U428" t="s">
        <v>93</v>
      </c>
      <c r="V428">
        <v>44</v>
      </c>
      <c r="X428" t="s">
        <v>80</v>
      </c>
      <c r="Y428">
        <v>0</v>
      </c>
      <c r="Z428">
        <v>104.32599999999999</v>
      </c>
      <c r="AB428" t="s">
        <v>56</v>
      </c>
      <c r="AD428" t="s">
        <v>995</v>
      </c>
      <c r="AE428">
        <v>0</v>
      </c>
      <c r="AF428">
        <v>3</v>
      </c>
      <c r="AG428">
        <v>1</v>
      </c>
      <c r="AH428">
        <v>1.5</v>
      </c>
      <c r="AI428">
        <v>256</v>
      </c>
      <c r="AJ428">
        <v>256</v>
      </c>
      <c r="AK428">
        <v>78</v>
      </c>
      <c r="AL428" t="s">
        <v>1394</v>
      </c>
      <c r="AM428">
        <v>2.5</v>
      </c>
      <c r="AN428" t="s">
        <v>1072</v>
      </c>
      <c r="AO428" t="s">
        <v>67</v>
      </c>
      <c r="AP428" t="s">
        <v>659</v>
      </c>
      <c r="AQ428">
        <v>15</v>
      </c>
      <c r="AR428">
        <v>109</v>
      </c>
      <c r="AS428">
        <v>218</v>
      </c>
      <c r="AT428">
        <v>4.2</v>
      </c>
      <c r="AU428">
        <v>8.6120000000000001</v>
      </c>
      <c r="AV428" t="s">
        <v>1540</v>
      </c>
      <c r="AW428" t="s">
        <v>1541</v>
      </c>
      <c r="AX428" t="s">
        <v>1542</v>
      </c>
    </row>
    <row r="429" spans="1:50" x14ac:dyDescent="0.25">
      <c r="A429" t="s">
        <v>1543</v>
      </c>
      <c r="B429" t="s">
        <v>994</v>
      </c>
      <c r="C429">
        <v>0</v>
      </c>
      <c r="H429">
        <v>0</v>
      </c>
      <c r="J429">
        <v>1126</v>
      </c>
      <c r="K429">
        <v>0</v>
      </c>
      <c r="M429">
        <v>0</v>
      </c>
      <c r="N429">
        <v>1</v>
      </c>
      <c r="O429">
        <v>1</v>
      </c>
      <c r="P429">
        <v>0</v>
      </c>
      <c r="Q429">
        <v>0</v>
      </c>
      <c r="U429" t="s">
        <v>93</v>
      </c>
      <c r="V429">
        <v>59</v>
      </c>
      <c r="X429" t="s">
        <v>55</v>
      </c>
      <c r="Y429">
        <v>0</v>
      </c>
      <c r="Z429">
        <v>100.69799999999999</v>
      </c>
      <c r="AB429" t="s">
        <v>56</v>
      </c>
      <c r="AD429" t="s">
        <v>995</v>
      </c>
      <c r="AE429">
        <v>0</v>
      </c>
      <c r="AF429">
        <v>3</v>
      </c>
      <c r="AG429">
        <v>1</v>
      </c>
      <c r="AH429">
        <v>1.5</v>
      </c>
      <c r="AI429">
        <v>256</v>
      </c>
      <c r="AJ429">
        <v>256</v>
      </c>
      <c r="AK429">
        <v>58</v>
      </c>
      <c r="AL429" t="s">
        <v>1010</v>
      </c>
      <c r="AM429">
        <v>2.5</v>
      </c>
      <c r="AN429" t="s">
        <v>1072</v>
      </c>
      <c r="AO429" t="s">
        <v>67</v>
      </c>
      <c r="AP429" t="s">
        <v>659</v>
      </c>
      <c r="AQ429">
        <v>15</v>
      </c>
      <c r="AR429">
        <v>351</v>
      </c>
      <c r="AS429">
        <v>703</v>
      </c>
      <c r="AT429">
        <v>4.2</v>
      </c>
      <c r="AU429">
        <v>8.7040000000000006</v>
      </c>
      <c r="AV429" t="s">
        <v>1544</v>
      </c>
      <c r="AW429" t="s">
        <v>1545</v>
      </c>
      <c r="AX429" t="s">
        <v>1546</v>
      </c>
    </row>
    <row r="430" spans="1:50" x14ac:dyDescent="0.25">
      <c r="A430" t="s">
        <v>1547</v>
      </c>
      <c r="B430" t="s">
        <v>994</v>
      </c>
      <c r="C430">
        <v>0</v>
      </c>
      <c r="H430">
        <v>0</v>
      </c>
      <c r="J430">
        <v>476</v>
      </c>
      <c r="K430">
        <v>274</v>
      </c>
      <c r="M430">
        <v>476</v>
      </c>
      <c r="N430">
        <v>0</v>
      </c>
      <c r="O430">
        <v>0</v>
      </c>
      <c r="P430">
        <v>0</v>
      </c>
      <c r="Q430">
        <v>0</v>
      </c>
      <c r="U430" t="s">
        <v>65</v>
      </c>
      <c r="V430">
        <v>37</v>
      </c>
      <c r="X430" t="s">
        <v>80</v>
      </c>
      <c r="Y430">
        <v>0</v>
      </c>
      <c r="AD430" t="s">
        <v>995</v>
      </c>
      <c r="AE430">
        <v>0</v>
      </c>
      <c r="AF430">
        <v>3</v>
      </c>
      <c r="AG430">
        <v>1</v>
      </c>
      <c r="AH430">
        <v>1.5</v>
      </c>
      <c r="AI430">
        <v>256</v>
      </c>
      <c r="AJ430">
        <v>256</v>
      </c>
      <c r="AK430">
        <v>64</v>
      </c>
      <c r="AL430" t="s">
        <v>1010</v>
      </c>
      <c r="AM430">
        <v>2</v>
      </c>
      <c r="AN430" t="s">
        <v>1011</v>
      </c>
      <c r="AO430" t="s">
        <v>59</v>
      </c>
      <c r="AP430" t="s">
        <v>1123</v>
      </c>
      <c r="AQ430">
        <v>11</v>
      </c>
      <c r="AR430">
        <v>53</v>
      </c>
      <c r="AS430">
        <v>138</v>
      </c>
      <c r="AT430">
        <v>4.76</v>
      </c>
      <c r="AU430">
        <v>27</v>
      </c>
      <c r="AV430" t="s">
        <v>1548</v>
      </c>
      <c r="AW430" t="s">
        <v>1549</v>
      </c>
      <c r="AX430" t="s">
        <v>1550</v>
      </c>
    </row>
    <row r="431" spans="1:50" x14ac:dyDescent="0.25">
      <c r="A431" t="s">
        <v>1551</v>
      </c>
      <c r="B431" t="s">
        <v>994</v>
      </c>
      <c r="C431">
        <v>0</v>
      </c>
      <c r="H431">
        <v>0</v>
      </c>
      <c r="J431">
        <v>1507</v>
      </c>
      <c r="K431">
        <v>0</v>
      </c>
      <c r="M431">
        <v>0</v>
      </c>
      <c r="N431">
        <v>1</v>
      </c>
      <c r="O431">
        <v>1</v>
      </c>
      <c r="P431">
        <v>1</v>
      </c>
      <c r="Q431">
        <v>0</v>
      </c>
      <c r="U431" t="s">
        <v>93</v>
      </c>
      <c r="V431">
        <v>50</v>
      </c>
      <c r="X431" t="s">
        <v>80</v>
      </c>
      <c r="Y431">
        <v>0</v>
      </c>
      <c r="Z431">
        <v>154</v>
      </c>
      <c r="AB431" t="s">
        <v>269</v>
      </c>
      <c r="AD431" t="s">
        <v>995</v>
      </c>
      <c r="AE431">
        <v>0</v>
      </c>
      <c r="AF431">
        <v>3</v>
      </c>
      <c r="AG431">
        <v>1</v>
      </c>
      <c r="AH431">
        <v>1.5</v>
      </c>
      <c r="AI431">
        <v>512</v>
      </c>
      <c r="AJ431">
        <v>512</v>
      </c>
      <c r="AK431">
        <v>44</v>
      </c>
      <c r="AL431" t="s">
        <v>1272</v>
      </c>
      <c r="AM431">
        <v>3</v>
      </c>
      <c r="AN431" t="s">
        <v>1020</v>
      </c>
      <c r="AO431" t="s">
        <v>59</v>
      </c>
      <c r="AP431" t="s">
        <v>1021</v>
      </c>
      <c r="AQ431">
        <v>11</v>
      </c>
      <c r="AR431">
        <v>52</v>
      </c>
      <c r="AS431">
        <v>13</v>
      </c>
      <c r="AT431">
        <v>4.5</v>
      </c>
      <c r="AU431">
        <v>11</v>
      </c>
      <c r="AV431" t="s">
        <v>1552</v>
      </c>
      <c r="AW431" t="s">
        <v>1553</v>
      </c>
      <c r="AX431" t="s">
        <v>1554</v>
      </c>
    </row>
    <row r="432" spans="1:50" x14ac:dyDescent="0.25">
      <c r="A432" t="s">
        <v>1555</v>
      </c>
      <c r="B432" t="s">
        <v>994</v>
      </c>
      <c r="C432">
        <v>0</v>
      </c>
      <c r="H432">
        <v>1</v>
      </c>
      <c r="J432">
        <v>1441</v>
      </c>
      <c r="K432">
        <v>0</v>
      </c>
      <c r="M432">
        <v>0</v>
      </c>
      <c r="N432">
        <v>1</v>
      </c>
      <c r="O432">
        <v>1</v>
      </c>
      <c r="P432">
        <v>0</v>
      </c>
      <c r="Q432">
        <v>0</v>
      </c>
      <c r="U432" t="s">
        <v>93</v>
      </c>
      <c r="V432">
        <v>53</v>
      </c>
      <c r="X432" t="s">
        <v>80</v>
      </c>
      <c r="Y432">
        <v>0</v>
      </c>
      <c r="Z432">
        <v>136</v>
      </c>
      <c r="AB432" t="s">
        <v>269</v>
      </c>
      <c r="AD432" t="s">
        <v>995</v>
      </c>
      <c r="AE432">
        <v>0</v>
      </c>
      <c r="AF432">
        <v>3</v>
      </c>
      <c r="AG432">
        <v>1</v>
      </c>
      <c r="AH432">
        <v>1.5</v>
      </c>
      <c r="AI432">
        <v>512</v>
      </c>
      <c r="AJ432">
        <v>512</v>
      </c>
      <c r="AK432">
        <v>44</v>
      </c>
      <c r="AL432" t="s">
        <v>1272</v>
      </c>
      <c r="AM432">
        <v>3</v>
      </c>
      <c r="AN432" t="s">
        <v>1020</v>
      </c>
      <c r="AO432" t="s">
        <v>59</v>
      </c>
      <c r="AP432" t="s">
        <v>1021</v>
      </c>
      <c r="AQ432">
        <v>11</v>
      </c>
      <c r="AR432">
        <v>45</v>
      </c>
      <c r="AS432">
        <v>12</v>
      </c>
      <c r="AT432">
        <v>4.5</v>
      </c>
      <c r="AU432">
        <v>11</v>
      </c>
      <c r="AV432" t="s">
        <v>1556</v>
      </c>
      <c r="AW432" t="s">
        <v>1557</v>
      </c>
      <c r="AX432" t="s">
        <v>1558</v>
      </c>
    </row>
    <row r="433" spans="1:50" x14ac:dyDescent="0.25">
      <c r="A433" t="s">
        <v>1559</v>
      </c>
      <c r="B433" t="s">
        <v>994</v>
      </c>
      <c r="C433">
        <v>0</v>
      </c>
      <c r="H433">
        <v>0</v>
      </c>
      <c r="J433">
        <v>1371</v>
      </c>
      <c r="K433">
        <v>1303</v>
      </c>
      <c r="M433">
        <v>0</v>
      </c>
      <c r="N433">
        <v>1</v>
      </c>
      <c r="O433">
        <v>1</v>
      </c>
      <c r="P433">
        <v>1</v>
      </c>
      <c r="Q433">
        <v>0</v>
      </c>
      <c r="U433" t="s">
        <v>93</v>
      </c>
      <c r="V433">
        <v>42</v>
      </c>
      <c r="X433" t="s">
        <v>80</v>
      </c>
      <c r="Y433">
        <v>0</v>
      </c>
      <c r="AD433" t="s">
        <v>995</v>
      </c>
      <c r="AE433">
        <v>0</v>
      </c>
      <c r="AF433">
        <v>3</v>
      </c>
      <c r="AG433">
        <v>1</v>
      </c>
      <c r="AH433">
        <v>1.5</v>
      </c>
      <c r="AI433">
        <v>256</v>
      </c>
      <c r="AJ433">
        <v>256</v>
      </c>
      <c r="AK433">
        <v>64</v>
      </c>
      <c r="AL433" t="s">
        <v>1010</v>
      </c>
      <c r="AM433">
        <v>2</v>
      </c>
      <c r="AN433" t="s">
        <v>1011</v>
      </c>
      <c r="AO433" t="s">
        <v>59</v>
      </c>
      <c r="AP433" t="s">
        <v>1123</v>
      </c>
      <c r="AQ433">
        <v>11</v>
      </c>
      <c r="AR433">
        <v>57</v>
      </c>
      <c r="AS433">
        <v>152</v>
      </c>
      <c r="AT433">
        <v>4.76</v>
      </c>
      <c r="AU433">
        <v>27</v>
      </c>
      <c r="AV433" t="s">
        <v>1560</v>
      </c>
      <c r="AW433" t="s">
        <v>1561</v>
      </c>
      <c r="AX433" t="s">
        <v>1562</v>
      </c>
    </row>
    <row r="434" spans="1:50" x14ac:dyDescent="0.25">
      <c r="A434" t="s">
        <v>1563</v>
      </c>
      <c r="B434" t="s">
        <v>994</v>
      </c>
      <c r="C434">
        <v>0</v>
      </c>
      <c r="H434">
        <v>0</v>
      </c>
      <c r="J434">
        <v>1307</v>
      </c>
      <c r="K434">
        <v>0</v>
      </c>
      <c r="M434">
        <v>0</v>
      </c>
      <c r="N434">
        <v>0</v>
      </c>
      <c r="O434">
        <v>0</v>
      </c>
      <c r="P434">
        <v>0</v>
      </c>
      <c r="Q434">
        <v>0</v>
      </c>
      <c r="U434" t="s">
        <v>65</v>
      </c>
      <c r="V434">
        <v>39</v>
      </c>
      <c r="X434" t="s">
        <v>80</v>
      </c>
      <c r="Y434">
        <v>0</v>
      </c>
      <c r="Z434">
        <v>75.75</v>
      </c>
      <c r="AB434" t="s">
        <v>94</v>
      </c>
      <c r="AD434" t="s">
        <v>995</v>
      </c>
      <c r="AE434">
        <v>0</v>
      </c>
      <c r="AF434">
        <v>3</v>
      </c>
      <c r="AG434">
        <v>1</v>
      </c>
      <c r="AH434">
        <v>1.5</v>
      </c>
      <c r="AI434">
        <v>256</v>
      </c>
      <c r="AJ434">
        <v>256</v>
      </c>
      <c r="AK434">
        <v>60</v>
      </c>
      <c r="AL434" t="s">
        <v>1564</v>
      </c>
      <c r="AM434">
        <v>2.8</v>
      </c>
      <c r="AN434" t="s">
        <v>996</v>
      </c>
      <c r="AO434" t="s">
        <v>67</v>
      </c>
      <c r="AP434" t="s">
        <v>997</v>
      </c>
      <c r="AQ434">
        <v>15</v>
      </c>
      <c r="AR434">
        <v>46</v>
      </c>
      <c r="AS434">
        <v>92</v>
      </c>
      <c r="AT434">
        <v>4.2</v>
      </c>
      <c r="AU434">
        <v>8.4</v>
      </c>
      <c r="AV434" t="s">
        <v>1565</v>
      </c>
      <c r="AW434" t="s">
        <v>1557</v>
      </c>
      <c r="AX434" t="s">
        <v>1566</v>
      </c>
    </row>
    <row r="435" spans="1:50" x14ac:dyDescent="0.25">
      <c r="A435" t="s">
        <v>1567</v>
      </c>
      <c r="B435" t="s">
        <v>994</v>
      </c>
      <c r="C435">
        <v>0</v>
      </c>
      <c r="H435">
        <v>1</v>
      </c>
      <c r="J435">
        <v>1357</v>
      </c>
      <c r="K435">
        <v>0</v>
      </c>
      <c r="M435">
        <v>0</v>
      </c>
      <c r="N435">
        <v>0</v>
      </c>
      <c r="O435">
        <v>0</v>
      </c>
      <c r="P435">
        <v>0</v>
      </c>
      <c r="Q435">
        <v>0</v>
      </c>
      <c r="U435" t="s">
        <v>65</v>
      </c>
      <c r="V435">
        <v>36</v>
      </c>
      <c r="X435" t="s">
        <v>80</v>
      </c>
      <c r="Y435">
        <v>0</v>
      </c>
      <c r="Z435">
        <v>68.945999999999998</v>
      </c>
      <c r="AB435" t="s">
        <v>94</v>
      </c>
      <c r="AD435" t="s">
        <v>995</v>
      </c>
      <c r="AE435">
        <v>0</v>
      </c>
      <c r="AF435">
        <v>3</v>
      </c>
      <c r="AG435">
        <v>1</v>
      </c>
      <c r="AH435">
        <v>1.5</v>
      </c>
      <c r="AI435">
        <v>256</v>
      </c>
      <c r="AJ435">
        <v>256</v>
      </c>
      <c r="AK435">
        <v>60</v>
      </c>
      <c r="AL435" t="s">
        <v>1411</v>
      </c>
      <c r="AM435">
        <v>2.5</v>
      </c>
      <c r="AN435" t="s">
        <v>996</v>
      </c>
      <c r="AO435" t="s">
        <v>67</v>
      </c>
      <c r="AP435" t="s">
        <v>997</v>
      </c>
      <c r="AQ435">
        <v>15</v>
      </c>
      <c r="AR435">
        <v>100</v>
      </c>
      <c r="AS435">
        <v>201</v>
      </c>
      <c r="AT435">
        <v>4.2</v>
      </c>
      <c r="AU435">
        <v>8.9</v>
      </c>
      <c r="AV435" t="s">
        <v>1568</v>
      </c>
      <c r="AW435" t="s">
        <v>1569</v>
      </c>
      <c r="AX435" t="s">
        <v>1570</v>
      </c>
    </row>
    <row r="436" spans="1:50" x14ac:dyDescent="0.25">
      <c r="A436" t="s">
        <v>1571</v>
      </c>
      <c r="B436" t="s">
        <v>994</v>
      </c>
      <c r="C436">
        <v>0</v>
      </c>
      <c r="H436">
        <v>1</v>
      </c>
      <c r="J436">
        <v>1309</v>
      </c>
      <c r="K436">
        <v>0</v>
      </c>
      <c r="M436">
        <v>0</v>
      </c>
      <c r="N436">
        <v>0</v>
      </c>
      <c r="O436">
        <v>0</v>
      </c>
      <c r="P436">
        <v>0</v>
      </c>
      <c r="Q436">
        <v>0</v>
      </c>
      <c r="U436" t="s">
        <v>65</v>
      </c>
      <c r="V436">
        <v>42</v>
      </c>
      <c r="X436" t="s">
        <v>80</v>
      </c>
      <c r="Y436">
        <v>0</v>
      </c>
      <c r="AD436" t="s">
        <v>995</v>
      </c>
      <c r="AE436">
        <v>0</v>
      </c>
      <c r="AF436">
        <v>3</v>
      </c>
      <c r="AG436">
        <v>1</v>
      </c>
      <c r="AH436">
        <v>1.5</v>
      </c>
      <c r="AI436">
        <v>256</v>
      </c>
      <c r="AJ436">
        <v>256</v>
      </c>
      <c r="AK436">
        <v>64</v>
      </c>
      <c r="AL436" t="s">
        <v>75</v>
      </c>
      <c r="AM436">
        <v>2</v>
      </c>
      <c r="AN436" t="s">
        <v>1011</v>
      </c>
      <c r="AO436" t="s">
        <v>59</v>
      </c>
      <c r="AP436" t="s">
        <v>1123</v>
      </c>
      <c r="AQ436">
        <v>11</v>
      </c>
      <c r="AR436">
        <v>93</v>
      </c>
      <c r="AS436">
        <v>186</v>
      </c>
      <c r="AT436">
        <v>4.76</v>
      </c>
      <c r="AU436">
        <v>27</v>
      </c>
      <c r="AV436" t="s">
        <v>1572</v>
      </c>
      <c r="AW436" t="s">
        <v>1573</v>
      </c>
      <c r="AX436" t="s">
        <v>1574</v>
      </c>
    </row>
    <row r="437" spans="1:50" x14ac:dyDescent="0.25">
      <c r="A437" t="s">
        <v>1575</v>
      </c>
      <c r="B437" t="s">
        <v>994</v>
      </c>
      <c r="C437">
        <v>0</v>
      </c>
      <c r="H437">
        <v>0</v>
      </c>
      <c r="J437">
        <v>970</v>
      </c>
      <c r="K437">
        <v>0</v>
      </c>
      <c r="M437">
        <v>0</v>
      </c>
      <c r="N437">
        <v>1</v>
      </c>
      <c r="O437">
        <v>1</v>
      </c>
      <c r="P437">
        <v>0</v>
      </c>
      <c r="Q437">
        <v>0</v>
      </c>
      <c r="U437" t="s">
        <v>93</v>
      </c>
      <c r="V437">
        <v>43</v>
      </c>
      <c r="X437" t="s">
        <v>80</v>
      </c>
      <c r="Y437">
        <v>0</v>
      </c>
      <c r="Z437">
        <v>54.430999999999997</v>
      </c>
      <c r="AB437" t="s">
        <v>74</v>
      </c>
      <c r="AD437" t="s">
        <v>995</v>
      </c>
      <c r="AE437">
        <v>0</v>
      </c>
      <c r="AF437">
        <v>3</v>
      </c>
      <c r="AG437">
        <v>1</v>
      </c>
      <c r="AH437">
        <v>1.5</v>
      </c>
      <c r="AI437">
        <v>256</v>
      </c>
      <c r="AJ437">
        <v>256</v>
      </c>
      <c r="AK437">
        <v>56</v>
      </c>
      <c r="AL437" t="s">
        <v>1010</v>
      </c>
      <c r="AM437">
        <v>2.5</v>
      </c>
      <c r="AN437" t="s">
        <v>1072</v>
      </c>
      <c r="AO437" t="s">
        <v>67</v>
      </c>
      <c r="AP437" t="s">
        <v>997</v>
      </c>
      <c r="AQ437">
        <v>15</v>
      </c>
      <c r="AR437">
        <v>29</v>
      </c>
      <c r="AS437">
        <v>58</v>
      </c>
      <c r="AT437">
        <v>4.1989999999999998</v>
      </c>
      <c r="AU437">
        <v>9</v>
      </c>
      <c r="AV437" t="s">
        <v>1576</v>
      </c>
      <c r="AW437" t="s">
        <v>1577</v>
      </c>
      <c r="AX437" t="s">
        <v>1578</v>
      </c>
    </row>
    <row r="438" spans="1:50" x14ac:dyDescent="0.25">
      <c r="A438" t="s">
        <v>1579</v>
      </c>
      <c r="B438" t="s">
        <v>994</v>
      </c>
      <c r="C438">
        <v>0</v>
      </c>
      <c r="H438">
        <v>0</v>
      </c>
      <c r="J438">
        <v>1256</v>
      </c>
      <c r="K438">
        <v>0</v>
      </c>
      <c r="M438">
        <v>0</v>
      </c>
      <c r="N438">
        <v>1</v>
      </c>
      <c r="O438">
        <v>1</v>
      </c>
      <c r="P438">
        <v>1</v>
      </c>
      <c r="Q438">
        <v>0</v>
      </c>
      <c r="U438" t="s">
        <v>93</v>
      </c>
      <c r="V438">
        <v>40</v>
      </c>
      <c r="X438" t="s">
        <v>80</v>
      </c>
      <c r="Y438">
        <v>0</v>
      </c>
      <c r="AD438" t="s">
        <v>995</v>
      </c>
      <c r="AE438">
        <v>0</v>
      </c>
      <c r="AF438">
        <v>3</v>
      </c>
      <c r="AG438">
        <v>1</v>
      </c>
      <c r="AH438">
        <v>1.5</v>
      </c>
      <c r="AI438">
        <v>256</v>
      </c>
      <c r="AJ438">
        <v>256</v>
      </c>
      <c r="AK438">
        <v>64</v>
      </c>
      <c r="AL438" t="s">
        <v>1010</v>
      </c>
      <c r="AM438">
        <v>2</v>
      </c>
      <c r="AN438" t="s">
        <v>1011</v>
      </c>
      <c r="AO438" t="s">
        <v>59</v>
      </c>
      <c r="AP438" t="s">
        <v>1123</v>
      </c>
      <c r="AQ438">
        <v>11</v>
      </c>
      <c r="AR438">
        <v>118</v>
      </c>
      <c r="AS438">
        <v>232</v>
      </c>
      <c r="AT438">
        <v>4.76</v>
      </c>
      <c r="AU438">
        <v>27</v>
      </c>
      <c r="AV438" t="s">
        <v>1580</v>
      </c>
      <c r="AW438" t="s">
        <v>1581</v>
      </c>
      <c r="AX438" t="s">
        <v>1582</v>
      </c>
    </row>
    <row r="439" spans="1:50" x14ac:dyDescent="0.25">
      <c r="A439" t="s">
        <v>1583</v>
      </c>
      <c r="B439" t="s">
        <v>994</v>
      </c>
      <c r="C439">
        <v>0</v>
      </c>
      <c r="H439">
        <v>1</v>
      </c>
      <c r="J439">
        <v>953</v>
      </c>
      <c r="K439">
        <v>0</v>
      </c>
      <c r="M439">
        <v>0</v>
      </c>
      <c r="N439">
        <v>0</v>
      </c>
      <c r="O439">
        <v>0</v>
      </c>
      <c r="P439">
        <v>0</v>
      </c>
      <c r="Q439">
        <v>1</v>
      </c>
      <c r="U439" t="s">
        <v>53</v>
      </c>
      <c r="V439">
        <v>52</v>
      </c>
      <c r="X439" t="s">
        <v>55</v>
      </c>
      <c r="Y439">
        <v>0</v>
      </c>
      <c r="Z439">
        <v>49</v>
      </c>
      <c r="AB439" t="s">
        <v>247</v>
      </c>
      <c r="AD439" t="s">
        <v>995</v>
      </c>
      <c r="AE439">
        <v>0</v>
      </c>
      <c r="AF439">
        <v>6</v>
      </c>
      <c r="AG439">
        <v>1</v>
      </c>
      <c r="AH439">
        <v>1.5</v>
      </c>
      <c r="AI439">
        <v>256</v>
      </c>
      <c r="AJ439">
        <v>256</v>
      </c>
      <c r="AK439">
        <v>60</v>
      </c>
      <c r="AL439" t="s">
        <v>75</v>
      </c>
      <c r="AM439">
        <v>4</v>
      </c>
      <c r="AN439" t="s">
        <v>1154</v>
      </c>
      <c r="AO439" t="s">
        <v>1155</v>
      </c>
      <c r="AP439" t="s">
        <v>1305</v>
      </c>
      <c r="AQ439">
        <v>11</v>
      </c>
      <c r="AR439">
        <v>1440</v>
      </c>
      <c r="AS439">
        <v>2879</v>
      </c>
      <c r="AT439">
        <v>6.3220999999999998</v>
      </c>
      <c r="AU439">
        <v>32.587000000000003</v>
      </c>
      <c r="AW439" t="s">
        <v>1584</v>
      </c>
      <c r="AX439" t="s">
        <v>1585</v>
      </c>
    </row>
    <row r="440" spans="1:50" x14ac:dyDescent="0.25">
      <c r="A440" t="s">
        <v>1586</v>
      </c>
      <c r="B440" t="s">
        <v>994</v>
      </c>
      <c r="C440">
        <v>1</v>
      </c>
      <c r="D440">
        <v>0</v>
      </c>
      <c r="H440">
        <v>1</v>
      </c>
      <c r="J440">
        <v>836</v>
      </c>
      <c r="K440">
        <v>478</v>
      </c>
      <c r="M440">
        <v>0</v>
      </c>
      <c r="N440">
        <v>1</v>
      </c>
      <c r="O440">
        <v>1</v>
      </c>
      <c r="P440">
        <v>1</v>
      </c>
      <c r="Q440">
        <v>1</v>
      </c>
      <c r="U440" t="s">
        <v>72</v>
      </c>
      <c r="V440">
        <v>49</v>
      </c>
      <c r="X440" t="s">
        <v>80</v>
      </c>
      <c r="Y440">
        <v>0</v>
      </c>
      <c r="Z440">
        <v>69</v>
      </c>
      <c r="AB440" t="s">
        <v>94</v>
      </c>
      <c r="AD440" t="s">
        <v>995</v>
      </c>
      <c r="AE440">
        <v>0</v>
      </c>
      <c r="AF440">
        <v>6</v>
      </c>
      <c r="AG440">
        <v>1</v>
      </c>
      <c r="AH440">
        <v>1.5</v>
      </c>
      <c r="AI440">
        <v>256</v>
      </c>
      <c r="AJ440">
        <v>256</v>
      </c>
      <c r="AK440">
        <v>60</v>
      </c>
      <c r="AL440" t="s">
        <v>75</v>
      </c>
      <c r="AM440">
        <v>4</v>
      </c>
      <c r="AN440" t="s">
        <v>1154</v>
      </c>
      <c r="AO440" t="s">
        <v>1155</v>
      </c>
      <c r="AP440" t="s">
        <v>1305</v>
      </c>
      <c r="AQ440">
        <v>11</v>
      </c>
      <c r="AR440">
        <v>2536</v>
      </c>
      <c r="AS440">
        <v>4554</v>
      </c>
      <c r="AT440">
        <v>6.1741000000000001</v>
      </c>
      <c r="AU440">
        <v>32.411200000000001</v>
      </c>
      <c r="AW440" t="s">
        <v>1587</v>
      </c>
      <c r="AX440" t="s">
        <v>1588</v>
      </c>
    </row>
    <row r="441" spans="1:50" x14ac:dyDescent="0.25">
      <c r="A441" t="s">
        <v>1589</v>
      </c>
      <c r="B441" t="s">
        <v>994</v>
      </c>
      <c r="C441">
        <v>0</v>
      </c>
      <c r="H441">
        <v>1</v>
      </c>
      <c r="J441">
        <v>1302</v>
      </c>
      <c r="K441">
        <v>644</v>
      </c>
      <c r="M441">
        <v>0</v>
      </c>
      <c r="N441">
        <v>0</v>
      </c>
      <c r="O441">
        <v>0</v>
      </c>
      <c r="P441">
        <v>0</v>
      </c>
      <c r="Q441">
        <v>0</v>
      </c>
      <c r="U441" t="s">
        <v>65</v>
      </c>
      <c r="V441">
        <v>34</v>
      </c>
      <c r="X441" t="s">
        <v>80</v>
      </c>
      <c r="Y441">
        <v>0</v>
      </c>
      <c r="Z441">
        <v>61.234999999999999</v>
      </c>
      <c r="AB441" t="s">
        <v>74</v>
      </c>
      <c r="AD441" t="s">
        <v>995</v>
      </c>
      <c r="AE441">
        <v>0</v>
      </c>
      <c r="AF441">
        <v>3</v>
      </c>
      <c r="AG441">
        <v>1</v>
      </c>
      <c r="AH441">
        <v>1.5</v>
      </c>
      <c r="AI441">
        <v>256</v>
      </c>
      <c r="AJ441">
        <v>256</v>
      </c>
      <c r="AK441">
        <v>60</v>
      </c>
      <c r="AL441" t="s">
        <v>1590</v>
      </c>
      <c r="AM441">
        <v>2.4</v>
      </c>
      <c r="AN441" t="s">
        <v>996</v>
      </c>
      <c r="AO441" t="s">
        <v>67</v>
      </c>
      <c r="AP441" t="s">
        <v>997</v>
      </c>
      <c r="AQ441">
        <v>15</v>
      </c>
      <c r="AR441">
        <v>12</v>
      </c>
      <c r="AS441">
        <v>24</v>
      </c>
      <c r="AT441">
        <v>4.2</v>
      </c>
      <c r="AU441">
        <v>8.9</v>
      </c>
      <c r="AV441" t="s">
        <v>1591</v>
      </c>
      <c r="AW441" t="s">
        <v>1592</v>
      </c>
      <c r="AX441" t="s">
        <v>1593</v>
      </c>
    </row>
    <row r="442" spans="1:50" x14ac:dyDescent="0.25">
      <c r="A442" t="s">
        <v>1594</v>
      </c>
      <c r="B442" t="s">
        <v>994</v>
      </c>
      <c r="C442">
        <v>0</v>
      </c>
      <c r="H442">
        <v>0</v>
      </c>
      <c r="J442">
        <v>1213</v>
      </c>
      <c r="K442">
        <v>0</v>
      </c>
      <c r="M442">
        <v>0</v>
      </c>
      <c r="N442">
        <v>1</v>
      </c>
      <c r="O442">
        <v>1</v>
      </c>
      <c r="P442">
        <v>1</v>
      </c>
      <c r="Q442">
        <v>0</v>
      </c>
      <c r="U442" t="s">
        <v>93</v>
      </c>
      <c r="V442">
        <v>50</v>
      </c>
      <c r="X442" t="s">
        <v>80</v>
      </c>
      <c r="Y442">
        <v>0</v>
      </c>
      <c r="Z442">
        <v>68.039000000000001</v>
      </c>
      <c r="AB442" t="s">
        <v>74</v>
      </c>
      <c r="AD442" t="s">
        <v>995</v>
      </c>
      <c r="AE442">
        <v>0</v>
      </c>
      <c r="AF442">
        <v>3</v>
      </c>
      <c r="AG442">
        <v>1</v>
      </c>
      <c r="AH442">
        <v>1.5</v>
      </c>
      <c r="AI442">
        <v>256</v>
      </c>
      <c r="AJ442">
        <v>256</v>
      </c>
      <c r="AK442">
        <v>56</v>
      </c>
      <c r="AL442" t="s">
        <v>1010</v>
      </c>
      <c r="AM442">
        <v>2.5</v>
      </c>
      <c r="AN442" t="s">
        <v>1072</v>
      </c>
      <c r="AO442" t="s">
        <v>67</v>
      </c>
      <c r="AP442" t="s">
        <v>659</v>
      </c>
      <c r="AQ442">
        <v>15</v>
      </c>
      <c r="AR442">
        <v>299</v>
      </c>
      <c r="AS442">
        <v>599</v>
      </c>
      <c r="AT442">
        <v>4.2</v>
      </c>
      <c r="AU442">
        <v>8.7040000000000006</v>
      </c>
      <c r="AV442" t="s">
        <v>1595</v>
      </c>
      <c r="AW442" t="s">
        <v>1596</v>
      </c>
      <c r="AX442" t="s">
        <v>1597</v>
      </c>
    </row>
    <row r="443" spans="1:50" x14ac:dyDescent="0.25">
      <c r="A443" t="s">
        <v>1598</v>
      </c>
      <c r="B443" t="s">
        <v>994</v>
      </c>
      <c r="C443">
        <v>0</v>
      </c>
      <c r="H443">
        <v>0</v>
      </c>
      <c r="J443">
        <v>1379</v>
      </c>
      <c r="K443">
        <v>0</v>
      </c>
      <c r="M443">
        <v>0</v>
      </c>
      <c r="N443">
        <v>0</v>
      </c>
      <c r="O443">
        <v>0</v>
      </c>
      <c r="P443">
        <v>0</v>
      </c>
      <c r="Q443">
        <v>0</v>
      </c>
      <c r="U443" t="s">
        <v>65</v>
      </c>
      <c r="V443">
        <v>47</v>
      </c>
      <c r="X443" t="s">
        <v>55</v>
      </c>
      <c r="Y443">
        <v>0</v>
      </c>
      <c r="Z443">
        <v>110</v>
      </c>
      <c r="AB443" t="s">
        <v>269</v>
      </c>
      <c r="AD443" t="s">
        <v>995</v>
      </c>
      <c r="AE443">
        <v>0</v>
      </c>
      <c r="AF443">
        <v>3</v>
      </c>
      <c r="AG443">
        <v>1</v>
      </c>
      <c r="AH443">
        <v>1.5</v>
      </c>
      <c r="AI443">
        <v>512</v>
      </c>
      <c r="AJ443">
        <v>512</v>
      </c>
      <c r="AK443">
        <v>44</v>
      </c>
      <c r="AL443" t="s">
        <v>1272</v>
      </c>
      <c r="AM443">
        <v>3.4090910000000001</v>
      </c>
      <c r="AN443" t="s">
        <v>1020</v>
      </c>
      <c r="AO443" t="s">
        <v>59</v>
      </c>
      <c r="AP443" t="s">
        <v>1021</v>
      </c>
      <c r="AQ443">
        <v>11</v>
      </c>
      <c r="AR443">
        <v>46</v>
      </c>
      <c r="AS443">
        <v>12</v>
      </c>
      <c r="AT443">
        <v>4.5</v>
      </c>
      <c r="AU443">
        <v>11</v>
      </c>
      <c r="AV443" t="s">
        <v>1599</v>
      </c>
      <c r="AW443" t="s">
        <v>1600</v>
      </c>
      <c r="AX443" t="s">
        <v>1601</v>
      </c>
    </row>
    <row r="444" spans="1:50" x14ac:dyDescent="0.25">
      <c r="A444" t="s">
        <v>1602</v>
      </c>
      <c r="B444" t="s">
        <v>994</v>
      </c>
      <c r="C444">
        <v>0</v>
      </c>
      <c r="H444">
        <v>0</v>
      </c>
      <c r="J444">
        <v>1140</v>
      </c>
      <c r="K444">
        <v>0</v>
      </c>
      <c r="M444">
        <v>0</v>
      </c>
      <c r="N444">
        <v>1</v>
      </c>
      <c r="O444">
        <v>1</v>
      </c>
      <c r="P444">
        <v>1</v>
      </c>
      <c r="Q444">
        <v>0</v>
      </c>
      <c r="U444" t="s">
        <v>93</v>
      </c>
      <c r="V444">
        <v>45</v>
      </c>
      <c r="X444" t="s">
        <v>80</v>
      </c>
      <c r="Y444">
        <v>0</v>
      </c>
      <c r="AD444" t="s">
        <v>995</v>
      </c>
      <c r="AE444">
        <v>0</v>
      </c>
      <c r="AF444">
        <v>3</v>
      </c>
      <c r="AG444">
        <v>1</v>
      </c>
      <c r="AH444">
        <v>1.5</v>
      </c>
      <c r="AI444">
        <v>256</v>
      </c>
      <c r="AJ444">
        <v>256</v>
      </c>
      <c r="AK444">
        <v>64</v>
      </c>
      <c r="AL444" t="s">
        <v>75</v>
      </c>
      <c r="AM444">
        <v>2</v>
      </c>
      <c r="AN444" t="s">
        <v>1011</v>
      </c>
      <c r="AO444" t="s">
        <v>59</v>
      </c>
      <c r="AP444" t="s">
        <v>1123</v>
      </c>
      <c r="AQ444">
        <v>11</v>
      </c>
      <c r="AR444">
        <v>68</v>
      </c>
      <c r="AS444">
        <v>179</v>
      </c>
      <c r="AT444">
        <v>4.76</v>
      </c>
      <c r="AU444">
        <v>27</v>
      </c>
      <c r="AV444" t="s">
        <v>1603</v>
      </c>
      <c r="AW444" t="s">
        <v>1604</v>
      </c>
      <c r="AX444" t="s">
        <v>1605</v>
      </c>
    </row>
    <row r="445" spans="1:50" x14ac:dyDescent="0.25">
      <c r="A445" t="s">
        <v>1606</v>
      </c>
      <c r="B445" t="s">
        <v>994</v>
      </c>
      <c r="C445">
        <v>0</v>
      </c>
      <c r="H445">
        <v>1</v>
      </c>
      <c r="J445">
        <v>1227</v>
      </c>
      <c r="K445">
        <v>0</v>
      </c>
      <c r="M445">
        <v>0</v>
      </c>
      <c r="N445">
        <v>0</v>
      </c>
      <c r="O445">
        <v>0</v>
      </c>
      <c r="P445">
        <v>0</v>
      </c>
      <c r="Q445">
        <v>0</v>
      </c>
      <c r="U445" t="s">
        <v>65</v>
      </c>
      <c r="V445">
        <v>43</v>
      </c>
      <c r="X445" t="s">
        <v>80</v>
      </c>
      <c r="Y445">
        <v>0</v>
      </c>
      <c r="Z445">
        <v>72.575000000000003</v>
      </c>
      <c r="AB445" t="s">
        <v>94</v>
      </c>
      <c r="AD445" t="s">
        <v>995</v>
      </c>
      <c r="AE445">
        <v>0</v>
      </c>
      <c r="AF445">
        <v>3</v>
      </c>
      <c r="AG445">
        <v>1</v>
      </c>
      <c r="AH445">
        <v>1.5</v>
      </c>
      <c r="AI445">
        <v>256</v>
      </c>
      <c r="AJ445">
        <v>256</v>
      </c>
      <c r="AK445">
        <v>60</v>
      </c>
      <c r="AL445" t="s">
        <v>1564</v>
      </c>
      <c r="AM445">
        <v>2.8</v>
      </c>
      <c r="AN445" t="s">
        <v>996</v>
      </c>
      <c r="AO445" t="s">
        <v>67</v>
      </c>
      <c r="AP445" t="s">
        <v>997</v>
      </c>
      <c r="AQ445">
        <v>15</v>
      </c>
      <c r="AR445">
        <v>12</v>
      </c>
      <c r="AS445">
        <v>24</v>
      </c>
      <c r="AT445">
        <v>4.2</v>
      </c>
      <c r="AU445">
        <v>8.4</v>
      </c>
      <c r="AV445" t="s">
        <v>1607</v>
      </c>
      <c r="AW445" t="s">
        <v>1608</v>
      </c>
      <c r="AX445" t="s">
        <v>1609</v>
      </c>
    </row>
    <row r="446" spans="1:50" x14ac:dyDescent="0.25">
      <c r="A446" t="s">
        <v>1610</v>
      </c>
      <c r="B446" t="s">
        <v>994</v>
      </c>
      <c r="C446">
        <v>0</v>
      </c>
      <c r="H446">
        <v>0</v>
      </c>
      <c r="J446">
        <v>1280</v>
      </c>
      <c r="K446">
        <v>644</v>
      </c>
      <c r="M446">
        <v>0</v>
      </c>
      <c r="N446">
        <v>1</v>
      </c>
      <c r="O446">
        <v>1</v>
      </c>
      <c r="P446">
        <v>0</v>
      </c>
      <c r="Q446">
        <v>1</v>
      </c>
      <c r="U446" t="s">
        <v>72</v>
      </c>
      <c r="V446">
        <v>52</v>
      </c>
      <c r="X446" t="s">
        <v>80</v>
      </c>
      <c r="Y446">
        <v>0</v>
      </c>
      <c r="AD446" t="s">
        <v>995</v>
      </c>
      <c r="AE446">
        <v>0</v>
      </c>
      <c r="AF446">
        <v>3</v>
      </c>
      <c r="AG446">
        <v>1</v>
      </c>
      <c r="AH446">
        <v>1.5</v>
      </c>
      <c r="AI446">
        <v>256</v>
      </c>
      <c r="AJ446">
        <v>256</v>
      </c>
      <c r="AK446">
        <v>64</v>
      </c>
      <c r="AL446" t="s">
        <v>1010</v>
      </c>
      <c r="AM446">
        <v>2.2999999999999998</v>
      </c>
      <c r="AN446" t="s">
        <v>1011</v>
      </c>
      <c r="AO446" t="s">
        <v>59</v>
      </c>
      <c r="AP446" t="s">
        <v>1123</v>
      </c>
      <c r="AQ446">
        <v>11</v>
      </c>
      <c r="AR446">
        <v>51</v>
      </c>
      <c r="AS446">
        <v>139</v>
      </c>
      <c r="AT446">
        <v>4.76</v>
      </c>
      <c r="AU446">
        <v>27</v>
      </c>
      <c r="AV446" t="s">
        <v>1611</v>
      </c>
      <c r="AW446" t="s">
        <v>1612</v>
      </c>
      <c r="AX446" t="s">
        <v>1613</v>
      </c>
    </row>
    <row r="447" spans="1:50" x14ac:dyDescent="0.25">
      <c r="A447" t="s">
        <v>1614</v>
      </c>
      <c r="B447" t="s">
        <v>994</v>
      </c>
      <c r="C447">
        <v>0</v>
      </c>
      <c r="H447">
        <v>0</v>
      </c>
      <c r="J447">
        <v>1148</v>
      </c>
      <c r="K447">
        <v>0</v>
      </c>
      <c r="M447">
        <v>0</v>
      </c>
      <c r="N447">
        <v>0</v>
      </c>
      <c r="O447">
        <v>0</v>
      </c>
      <c r="P447">
        <v>0</v>
      </c>
      <c r="Q447">
        <v>1</v>
      </c>
      <c r="U447" t="s">
        <v>53</v>
      </c>
      <c r="V447">
        <v>55</v>
      </c>
      <c r="X447" t="s">
        <v>80</v>
      </c>
      <c r="Y447">
        <v>0</v>
      </c>
      <c r="Z447">
        <v>61.234999999999999</v>
      </c>
      <c r="AB447" t="s">
        <v>74</v>
      </c>
      <c r="AD447" t="s">
        <v>995</v>
      </c>
      <c r="AE447">
        <v>0</v>
      </c>
      <c r="AF447">
        <v>3</v>
      </c>
      <c r="AG447">
        <v>1</v>
      </c>
      <c r="AH447">
        <v>1.5</v>
      </c>
      <c r="AI447">
        <v>256</v>
      </c>
      <c r="AJ447">
        <v>256</v>
      </c>
      <c r="AK447">
        <v>60</v>
      </c>
      <c r="AL447" t="s">
        <v>1503</v>
      </c>
      <c r="AM447">
        <v>2</v>
      </c>
      <c r="AN447" t="s">
        <v>996</v>
      </c>
      <c r="AO447" t="s">
        <v>67</v>
      </c>
      <c r="AP447" t="s">
        <v>997</v>
      </c>
      <c r="AQ447">
        <v>15</v>
      </c>
      <c r="AR447">
        <v>13</v>
      </c>
      <c r="AS447">
        <v>26</v>
      </c>
      <c r="AT447">
        <v>4.2</v>
      </c>
      <c r="AU447">
        <v>8.9</v>
      </c>
      <c r="AV447" t="s">
        <v>1615</v>
      </c>
      <c r="AW447" t="s">
        <v>1612</v>
      </c>
      <c r="AX447" t="s">
        <v>1616</v>
      </c>
    </row>
    <row r="448" spans="1:50" x14ac:dyDescent="0.25">
      <c r="A448" t="s">
        <v>1617</v>
      </c>
      <c r="B448" t="s">
        <v>994</v>
      </c>
      <c r="C448">
        <v>0</v>
      </c>
      <c r="H448">
        <v>0</v>
      </c>
      <c r="J448">
        <v>1303</v>
      </c>
      <c r="K448">
        <v>0</v>
      </c>
      <c r="M448">
        <v>0</v>
      </c>
      <c r="N448">
        <v>1</v>
      </c>
      <c r="O448">
        <v>1</v>
      </c>
      <c r="P448">
        <v>1</v>
      </c>
      <c r="Q448">
        <v>0</v>
      </c>
      <c r="U448" t="s">
        <v>93</v>
      </c>
      <c r="V448">
        <v>59</v>
      </c>
      <c r="X448" t="s">
        <v>80</v>
      </c>
      <c r="Y448">
        <v>0</v>
      </c>
      <c r="Z448">
        <v>78.471000000000004</v>
      </c>
      <c r="AB448" t="s">
        <v>94</v>
      </c>
      <c r="AD448" t="s">
        <v>995</v>
      </c>
      <c r="AE448">
        <v>0</v>
      </c>
      <c r="AF448">
        <v>3</v>
      </c>
      <c r="AG448">
        <v>1</v>
      </c>
      <c r="AH448">
        <v>1.5</v>
      </c>
      <c r="AI448">
        <v>256</v>
      </c>
      <c r="AJ448">
        <v>256</v>
      </c>
      <c r="AK448">
        <v>60</v>
      </c>
      <c r="AL448" t="s">
        <v>1394</v>
      </c>
      <c r="AM448">
        <v>2</v>
      </c>
      <c r="AN448" t="s">
        <v>996</v>
      </c>
      <c r="AO448" t="s">
        <v>67</v>
      </c>
      <c r="AP448" t="s">
        <v>997</v>
      </c>
      <c r="AQ448">
        <v>15</v>
      </c>
      <c r="AR448">
        <v>25</v>
      </c>
      <c r="AS448">
        <v>50</v>
      </c>
      <c r="AT448">
        <v>4.2</v>
      </c>
      <c r="AU448">
        <v>8.4</v>
      </c>
      <c r="AV448" t="s">
        <v>1618</v>
      </c>
      <c r="AW448" t="s">
        <v>1612</v>
      </c>
      <c r="AX448" t="s">
        <v>1619</v>
      </c>
    </row>
    <row r="449" spans="1:50" x14ac:dyDescent="0.25">
      <c r="A449" t="s">
        <v>1620</v>
      </c>
      <c r="B449" t="s">
        <v>994</v>
      </c>
      <c r="C449">
        <v>0</v>
      </c>
      <c r="H449">
        <v>0</v>
      </c>
      <c r="J449">
        <v>1048</v>
      </c>
      <c r="K449">
        <v>0</v>
      </c>
      <c r="M449">
        <v>0</v>
      </c>
      <c r="N449">
        <v>1</v>
      </c>
      <c r="O449">
        <v>1</v>
      </c>
      <c r="P449">
        <v>0</v>
      </c>
      <c r="Q449">
        <v>1</v>
      </c>
      <c r="U449" t="s">
        <v>72</v>
      </c>
      <c r="V449">
        <v>61</v>
      </c>
      <c r="X449" t="s">
        <v>55</v>
      </c>
      <c r="Y449">
        <v>0</v>
      </c>
      <c r="Z449">
        <v>136</v>
      </c>
      <c r="AB449" t="s">
        <v>269</v>
      </c>
      <c r="AD449" t="s">
        <v>995</v>
      </c>
      <c r="AE449">
        <v>0</v>
      </c>
      <c r="AF449">
        <v>3</v>
      </c>
      <c r="AG449">
        <v>1</v>
      </c>
      <c r="AH449">
        <v>1.5</v>
      </c>
      <c r="AI449">
        <v>512</v>
      </c>
      <c r="AJ449">
        <v>512</v>
      </c>
      <c r="AK449">
        <v>48</v>
      </c>
      <c r="AL449" t="s">
        <v>1272</v>
      </c>
      <c r="AM449">
        <v>3</v>
      </c>
      <c r="AN449" t="s">
        <v>1020</v>
      </c>
      <c r="AO449" t="s">
        <v>59</v>
      </c>
      <c r="AP449" t="s">
        <v>1021</v>
      </c>
      <c r="AQ449">
        <v>11</v>
      </c>
      <c r="AR449">
        <v>49</v>
      </c>
      <c r="AS449">
        <v>13</v>
      </c>
      <c r="AT449">
        <v>4.5</v>
      </c>
      <c r="AU449">
        <v>11</v>
      </c>
      <c r="AV449" t="s">
        <v>1621</v>
      </c>
      <c r="AW449" t="s">
        <v>1622</v>
      </c>
      <c r="AX449" t="s">
        <v>1623</v>
      </c>
    </row>
    <row r="450" spans="1:50" x14ac:dyDescent="0.25">
      <c r="A450" t="s">
        <v>1624</v>
      </c>
      <c r="B450" t="s">
        <v>994</v>
      </c>
      <c r="C450">
        <v>0</v>
      </c>
      <c r="H450">
        <v>0</v>
      </c>
      <c r="J450">
        <v>1115</v>
      </c>
      <c r="K450">
        <v>0</v>
      </c>
      <c r="M450">
        <v>0</v>
      </c>
      <c r="N450">
        <v>1</v>
      </c>
      <c r="O450">
        <v>1</v>
      </c>
      <c r="P450">
        <v>1</v>
      </c>
      <c r="Q450">
        <v>0</v>
      </c>
      <c r="U450" t="s">
        <v>93</v>
      </c>
      <c r="V450">
        <v>47</v>
      </c>
      <c r="X450" t="s">
        <v>80</v>
      </c>
      <c r="Y450">
        <v>0</v>
      </c>
      <c r="AD450" t="s">
        <v>995</v>
      </c>
      <c r="AE450">
        <v>0</v>
      </c>
      <c r="AF450">
        <v>3</v>
      </c>
      <c r="AG450">
        <v>1</v>
      </c>
      <c r="AH450">
        <v>1.5</v>
      </c>
      <c r="AI450">
        <v>256</v>
      </c>
      <c r="AJ450">
        <v>256</v>
      </c>
      <c r="AK450">
        <v>64</v>
      </c>
      <c r="AL450" t="s">
        <v>1010</v>
      </c>
      <c r="AM450">
        <v>2</v>
      </c>
      <c r="AN450" t="s">
        <v>1011</v>
      </c>
      <c r="AO450" t="s">
        <v>59</v>
      </c>
      <c r="AP450" t="s">
        <v>1123</v>
      </c>
      <c r="AQ450">
        <v>11</v>
      </c>
      <c r="AR450">
        <v>177</v>
      </c>
      <c r="AS450">
        <v>456</v>
      </c>
      <c r="AT450">
        <v>4.76</v>
      </c>
      <c r="AU450">
        <v>27</v>
      </c>
      <c r="AV450" t="s">
        <v>1625</v>
      </c>
      <c r="AW450" t="s">
        <v>1626</v>
      </c>
      <c r="AX450" t="s">
        <v>1627</v>
      </c>
    </row>
    <row r="451" spans="1:50" x14ac:dyDescent="0.25">
      <c r="A451" t="s">
        <v>1628</v>
      </c>
      <c r="B451" t="s">
        <v>994</v>
      </c>
      <c r="C451">
        <v>0</v>
      </c>
      <c r="H451">
        <v>0</v>
      </c>
      <c r="J451">
        <v>1272</v>
      </c>
      <c r="K451">
        <v>0</v>
      </c>
      <c r="M451">
        <v>0</v>
      </c>
      <c r="N451">
        <v>1</v>
      </c>
      <c r="O451">
        <v>1</v>
      </c>
      <c r="P451">
        <v>1</v>
      </c>
      <c r="Q451">
        <v>0</v>
      </c>
      <c r="U451" t="s">
        <v>93</v>
      </c>
      <c r="V451">
        <v>42</v>
      </c>
      <c r="X451" t="s">
        <v>80</v>
      </c>
      <c r="Y451">
        <v>0</v>
      </c>
      <c r="Z451">
        <v>57.152999999999999</v>
      </c>
      <c r="AB451" t="s">
        <v>74</v>
      </c>
      <c r="AD451" t="s">
        <v>995</v>
      </c>
      <c r="AE451">
        <v>0</v>
      </c>
      <c r="AF451">
        <v>3</v>
      </c>
      <c r="AG451">
        <v>1</v>
      </c>
      <c r="AH451">
        <v>1.5</v>
      </c>
      <c r="AI451">
        <v>256</v>
      </c>
      <c r="AJ451">
        <v>256</v>
      </c>
      <c r="AK451">
        <v>60</v>
      </c>
      <c r="AL451" t="s">
        <v>1564</v>
      </c>
      <c r="AM451">
        <v>2</v>
      </c>
      <c r="AN451" t="s">
        <v>996</v>
      </c>
      <c r="AO451" t="s">
        <v>67</v>
      </c>
      <c r="AP451" t="s">
        <v>997</v>
      </c>
      <c r="AQ451">
        <v>15</v>
      </c>
      <c r="AR451">
        <v>13</v>
      </c>
      <c r="AS451">
        <v>27</v>
      </c>
      <c r="AT451">
        <v>4.2</v>
      </c>
      <c r="AU451">
        <v>8.4</v>
      </c>
      <c r="AV451" t="s">
        <v>1629</v>
      </c>
      <c r="AW451" t="s">
        <v>1630</v>
      </c>
      <c r="AX451" t="s">
        <v>1631</v>
      </c>
    </row>
    <row r="452" spans="1:50" x14ac:dyDescent="0.25">
      <c r="A452" t="s">
        <v>1632</v>
      </c>
      <c r="B452" t="s">
        <v>994</v>
      </c>
      <c r="C452">
        <v>0</v>
      </c>
      <c r="H452">
        <v>1</v>
      </c>
      <c r="J452">
        <v>1234</v>
      </c>
      <c r="K452">
        <v>0</v>
      </c>
      <c r="M452">
        <v>0</v>
      </c>
      <c r="N452">
        <v>0</v>
      </c>
      <c r="O452">
        <v>0</v>
      </c>
      <c r="P452">
        <v>0</v>
      </c>
      <c r="Q452">
        <v>0</v>
      </c>
      <c r="U452" t="s">
        <v>65</v>
      </c>
      <c r="V452">
        <v>42</v>
      </c>
      <c r="X452" t="s">
        <v>80</v>
      </c>
      <c r="Y452">
        <v>0</v>
      </c>
      <c r="Z452">
        <v>52.162999999999997</v>
      </c>
      <c r="AB452" t="s">
        <v>74</v>
      </c>
      <c r="AD452" t="s">
        <v>995</v>
      </c>
      <c r="AE452">
        <v>0</v>
      </c>
      <c r="AF452">
        <v>3</v>
      </c>
      <c r="AG452">
        <v>1</v>
      </c>
      <c r="AH452">
        <v>1.5</v>
      </c>
      <c r="AI452">
        <v>256</v>
      </c>
      <c r="AJ452">
        <v>256</v>
      </c>
      <c r="AK452">
        <v>60</v>
      </c>
      <c r="AL452" t="s">
        <v>1394</v>
      </c>
      <c r="AM452">
        <v>2.2999999999999998</v>
      </c>
      <c r="AN452" t="s">
        <v>996</v>
      </c>
      <c r="AO452" t="s">
        <v>67</v>
      </c>
      <c r="AP452" t="s">
        <v>997</v>
      </c>
      <c r="AQ452">
        <v>15</v>
      </c>
      <c r="AR452">
        <v>20</v>
      </c>
      <c r="AS452">
        <v>41</v>
      </c>
      <c r="AT452">
        <v>4.2</v>
      </c>
      <c r="AU452">
        <v>8.4</v>
      </c>
      <c r="AV452" t="s">
        <v>1633</v>
      </c>
      <c r="AW452" t="s">
        <v>1604</v>
      </c>
      <c r="AX452" t="s">
        <v>1634</v>
      </c>
    </row>
    <row r="453" spans="1:50" x14ac:dyDescent="0.25">
      <c r="A453" t="s">
        <v>1635</v>
      </c>
      <c r="B453" t="s">
        <v>994</v>
      </c>
      <c r="C453">
        <v>0</v>
      </c>
      <c r="D453">
        <v>0</v>
      </c>
      <c r="H453">
        <v>1</v>
      </c>
      <c r="J453">
        <v>1251</v>
      </c>
      <c r="K453">
        <v>0</v>
      </c>
      <c r="M453">
        <v>0</v>
      </c>
      <c r="N453">
        <v>0</v>
      </c>
      <c r="O453">
        <v>0</v>
      </c>
      <c r="P453">
        <v>0</v>
      </c>
      <c r="Q453">
        <v>1</v>
      </c>
      <c r="U453" t="s">
        <v>53</v>
      </c>
      <c r="V453">
        <v>53</v>
      </c>
      <c r="X453" t="s">
        <v>55</v>
      </c>
      <c r="Y453">
        <v>0</v>
      </c>
      <c r="Z453">
        <v>92.533000000000001</v>
      </c>
      <c r="AB453" t="s">
        <v>118</v>
      </c>
      <c r="AD453" t="s">
        <v>995</v>
      </c>
      <c r="AE453">
        <v>1</v>
      </c>
      <c r="AF453">
        <v>3</v>
      </c>
      <c r="AG453">
        <v>1</v>
      </c>
      <c r="AH453">
        <v>1.5</v>
      </c>
      <c r="AI453">
        <v>256</v>
      </c>
      <c r="AJ453">
        <v>256</v>
      </c>
      <c r="AK453">
        <v>256</v>
      </c>
      <c r="AL453" t="s">
        <v>1034</v>
      </c>
      <c r="AM453">
        <v>3</v>
      </c>
      <c r="AN453" t="s">
        <v>1419</v>
      </c>
      <c r="AO453" t="s">
        <v>67</v>
      </c>
      <c r="AP453" t="s">
        <v>659</v>
      </c>
      <c r="AQ453">
        <v>15</v>
      </c>
      <c r="AR453">
        <v>1117</v>
      </c>
      <c r="AS453">
        <v>2234</v>
      </c>
      <c r="AT453">
        <v>4.2</v>
      </c>
      <c r="AU453">
        <v>6.484</v>
      </c>
      <c r="AV453" t="s">
        <v>1636</v>
      </c>
      <c r="AW453" t="s">
        <v>1637</v>
      </c>
      <c r="AX453" t="s">
        <v>1638</v>
      </c>
    </row>
    <row r="454" spans="1:50" x14ac:dyDescent="0.25">
      <c r="A454" t="s">
        <v>1639</v>
      </c>
      <c r="B454" t="s">
        <v>994</v>
      </c>
      <c r="C454">
        <v>0</v>
      </c>
      <c r="H454">
        <v>1</v>
      </c>
      <c r="J454">
        <v>1117</v>
      </c>
      <c r="K454">
        <v>0</v>
      </c>
      <c r="M454">
        <v>0</v>
      </c>
      <c r="N454">
        <v>0</v>
      </c>
      <c r="O454">
        <v>0</v>
      </c>
      <c r="P454">
        <v>0</v>
      </c>
      <c r="Q454">
        <v>0</v>
      </c>
      <c r="U454" t="s">
        <v>65</v>
      </c>
      <c r="V454">
        <v>50</v>
      </c>
      <c r="X454" t="s">
        <v>80</v>
      </c>
      <c r="Y454">
        <v>0</v>
      </c>
      <c r="Z454">
        <v>67.132000000000005</v>
      </c>
      <c r="AB454" t="s">
        <v>74</v>
      </c>
      <c r="AD454" t="s">
        <v>995</v>
      </c>
      <c r="AE454">
        <v>0</v>
      </c>
      <c r="AF454">
        <v>3</v>
      </c>
      <c r="AG454">
        <v>1</v>
      </c>
      <c r="AH454">
        <v>1.5</v>
      </c>
      <c r="AI454">
        <v>256</v>
      </c>
      <c r="AJ454">
        <v>256</v>
      </c>
      <c r="AK454">
        <v>60</v>
      </c>
      <c r="AL454" t="s">
        <v>1394</v>
      </c>
      <c r="AM454">
        <v>2.2000000000000002</v>
      </c>
      <c r="AN454" t="s">
        <v>996</v>
      </c>
      <c r="AO454" t="s">
        <v>67</v>
      </c>
      <c r="AP454" t="s">
        <v>997</v>
      </c>
      <c r="AQ454">
        <v>15</v>
      </c>
      <c r="AR454">
        <v>13</v>
      </c>
      <c r="AS454">
        <v>27</v>
      </c>
      <c r="AT454">
        <v>4.2</v>
      </c>
      <c r="AU454">
        <v>8.4</v>
      </c>
      <c r="AV454" t="s">
        <v>1640</v>
      </c>
      <c r="AW454" t="s">
        <v>1641</v>
      </c>
      <c r="AX454" t="s">
        <v>1642</v>
      </c>
    </row>
    <row r="455" spans="1:50" x14ac:dyDescent="0.25">
      <c r="A455" t="s">
        <v>1643</v>
      </c>
      <c r="B455" t="s">
        <v>994</v>
      </c>
      <c r="C455">
        <v>0</v>
      </c>
      <c r="H455">
        <v>0</v>
      </c>
      <c r="J455">
        <v>187</v>
      </c>
      <c r="K455">
        <v>180</v>
      </c>
      <c r="M455">
        <v>187</v>
      </c>
      <c r="N455">
        <v>1</v>
      </c>
      <c r="O455">
        <v>0</v>
      </c>
      <c r="P455">
        <v>1</v>
      </c>
      <c r="Q455">
        <v>0</v>
      </c>
      <c r="U455" t="s">
        <v>93</v>
      </c>
      <c r="V455">
        <v>53</v>
      </c>
      <c r="X455" t="s">
        <v>55</v>
      </c>
      <c r="Y455">
        <v>0</v>
      </c>
      <c r="Z455">
        <v>154</v>
      </c>
      <c r="AB455" t="s">
        <v>269</v>
      </c>
      <c r="AD455" t="s">
        <v>995</v>
      </c>
      <c r="AE455">
        <v>0</v>
      </c>
      <c r="AF455">
        <v>3</v>
      </c>
      <c r="AG455">
        <v>1</v>
      </c>
      <c r="AH455">
        <v>1.5</v>
      </c>
      <c r="AI455">
        <v>512</v>
      </c>
      <c r="AJ455">
        <v>512</v>
      </c>
      <c r="AK455">
        <v>54</v>
      </c>
      <c r="AL455" t="s">
        <v>1272</v>
      </c>
      <c r="AM455">
        <v>2.5925919999999998</v>
      </c>
      <c r="AN455" t="s">
        <v>1020</v>
      </c>
      <c r="AO455" t="s">
        <v>59</v>
      </c>
      <c r="AP455" t="s">
        <v>1021</v>
      </c>
      <c r="AQ455">
        <v>11</v>
      </c>
      <c r="AR455">
        <v>81</v>
      </c>
      <c r="AS455">
        <v>24</v>
      </c>
      <c r="AT455">
        <v>4.5</v>
      </c>
      <c r="AU455">
        <v>11</v>
      </c>
      <c r="AV455" t="s">
        <v>1644</v>
      </c>
      <c r="AW455" t="s">
        <v>1645</v>
      </c>
      <c r="AX455" t="s">
        <v>1646</v>
      </c>
    </row>
    <row r="456" spans="1:50" x14ac:dyDescent="0.25">
      <c r="A456" t="s">
        <v>1647</v>
      </c>
      <c r="B456" t="s">
        <v>994</v>
      </c>
      <c r="C456">
        <v>0</v>
      </c>
      <c r="H456">
        <v>0</v>
      </c>
      <c r="J456">
        <v>1251</v>
      </c>
      <c r="K456">
        <v>0</v>
      </c>
      <c r="M456">
        <v>0</v>
      </c>
      <c r="N456">
        <v>1</v>
      </c>
      <c r="O456">
        <v>1</v>
      </c>
      <c r="P456">
        <v>1</v>
      </c>
      <c r="Q456">
        <v>0</v>
      </c>
      <c r="U456" t="s">
        <v>93</v>
      </c>
      <c r="V456">
        <v>45</v>
      </c>
      <c r="X456" t="s">
        <v>80</v>
      </c>
      <c r="Y456">
        <v>0</v>
      </c>
      <c r="Z456">
        <v>72.575000000000003</v>
      </c>
      <c r="AB456" t="s">
        <v>94</v>
      </c>
      <c r="AD456" t="s">
        <v>995</v>
      </c>
      <c r="AE456">
        <v>0</v>
      </c>
      <c r="AF456">
        <v>3</v>
      </c>
      <c r="AG456">
        <v>1</v>
      </c>
      <c r="AH456">
        <v>1.5</v>
      </c>
      <c r="AI456">
        <v>256</v>
      </c>
      <c r="AJ456">
        <v>256</v>
      </c>
      <c r="AK456">
        <v>60</v>
      </c>
      <c r="AL456" t="s">
        <v>1394</v>
      </c>
      <c r="AM456">
        <v>2.2000000000000002</v>
      </c>
      <c r="AN456" t="s">
        <v>996</v>
      </c>
      <c r="AO456" t="s">
        <v>67</v>
      </c>
      <c r="AP456" t="s">
        <v>997</v>
      </c>
      <c r="AQ456">
        <v>15</v>
      </c>
      <c r="AR456">
        <v>9</v>
      </c>
      <c r="AS456">
        <v>18</v>
      </c>
      <c r="AT456">
        <v>4.2</v>
      </c>
      <c r="AU456">
        <v>8.4</v>
      </c>
      <c r="AV456" t="s">
        <v>1648</v>
      </c>
      <c r="AW456" t="s">
        <v>1649</v>
      </c>
      <c r="AX456" t="s">
        <v>1650</v>
      </c>
    </row>
    <row r="457" spans="1:50" x14ac:dyDescent="0.25">
      <c r="A457" t="s">
        <v>1651</v>
      </c>
      <c r="B457" t="s">
        <v>994</v>
      </c>
      <c r="C457">
        <v>0</v>
      </c>
      <c r="H457">
        <v>0</v>
      </c>
      <c r="J457">
        <v>1076</v>
      </c>
      <c r="K457">
        <v>0</v>
      </c>
      <c r="M457">
        <v>0</v>
      </c>
      <c r="N457">
        <v>1</v>
      </c>
      <c r="O457">
        <v>1</v>
      </c>
      <c r="P457">
        <v>0</v>
      </c>
      <c r="Q457">
        <v>0</v>
      </c>
      <c r="U457" t="s">
        <v>93</v>
      </c>
      <c r="V457">
        <v>27</v>
      </c>
      <c r="X457" t="s">
        <v>55</v>
      </c>
      <c r="Y457">
        <v>0</v>
      </c>
      <c r="Z457">
        <v>136</v>
      </c>
      <c r="AB457" t="s">
        <v>269</v>
      </c>
      <c r="AD457" t="s">
        <v>995</v>
      </c>
      <c r="AE457">
        <v>0</v>
      </c>
      <c r="AF457">
        <v>3</v>
      </c>
      <c r="AG457">
        <v>1</v>
      </c>
      <c r="AH457">
        <v>1.5</v>
      </c>
      <c r="AI457">
        <v>512</v>
      </c>
      <c r="AJ457">
        <v>512</v>
      </c>
      <c r="AK457">
        <v>44</v>
      </c>
      <c r="AL457" t="s">
        <v>1272</v>
      </c>
      <c r="AM457">
        <v>3</v>
      </c>
      <c r="AN457" t="s">
        <v>1020</v>
      </c>
      <c r="AO457" t="s">
        <v>59</v>
      </c>
      <c r="AP457" t="s">
        <v>1021</v>
      </c>
      <c r="AQ457">
        <v>11</v>
      </c>
      <c r="AR457">
        <v>45</v>
      </c>
      <c r="AS457">
        <v>12</v>
      </c>
      <c r="AT457">
        <v>4.5</v>
      </c>
      <c r="AU457">
        <v>11</v>
      </c>
      <c r="AV457" t="s">
        <v>1652</v>
      </c>
      <c r="AW457" t="s">
        <v>1653</v>
      </c>
      <c r="AX457" t="s">
        <v>1654</v>
      </c>
    </row>
    <row r="458" spans="1:50" x14ac:dyDescent="0.25">
      <c r="A458" t="s">
        <v>1655</v>
      </c>
      <c r="B458" t="s">
        <v>994</v>
      </c>
      <c r="C458">
        <v>0</v>
      </c>
      <c r="H458">
        <v>1</v>
      </c>
      <c r="J458">
        <v>694</v>
      </c>
      <c r="K458">
        <v>0</v>
      </c>
      <c r="M458">
        <v>0</v>
      </c>
      <c r="N458">
        <v>1</v>
      </c>
      <c r="O458">
        <v>1</v>
      </c>
      <c r="P458">
        <v>1</v>
      </c>
      <c r="Q458">
        <v>1</v>
      </c>
      <c r="U458" t="s">
        <v>72</v>
      </c>
      <c r="V458">
        <v>38</v>
      </c>
      <c r="X458" t="s">
        <v>80</v>
      </c>
      <c r="Y458">
        <v>0</v>
      </c>
      <c r="Z458">
        <v>60.328000000000003</v>
      </c>
      <c r="AB458" t="s">
        <v>74</v>
      </c>
      <c r="AD458" t="s">
        <v>995</v>
      </c>
      <c r="AE458">
        <v>0</v>
      </c>
      <c r="AF458">
        <v>3</v>
      </c>
      <c r="AG458">
        <v>1</v>
      </c>
      <c r="AH458">
        <v>1.5</v>
      </c>
      <c r="AI458">
        <v>256</v>
      </c>
      <c r="AJ458">
        <v>256</v>
      </c>
      <c r="AK458">
        <v>52</v>
      </c>
      <c r="AL458" t="s">
        <v>1010</v>
      </c>
      <c r="AM458">
        <v>2.5</v>
      </c>
      <c r="AN458" t="s">
        <v>1072</v>
      </c>
      <c r="AO458" t="s">
        <v>67</v>
      </c>
      <c r="AP458" t="s">
        <v>997</v>
      </c>
      <c r="AQ458">
        <v>15</v>
      </c>
      <c r="AR458">
        <v>29</v>
      </c>
      <c r="AS458">
        <v>58</v>
      </c>
      <c r="AT458">
        <v>4.1989999999999998</v>
      </c>
      <c r="AU458">
        <v>9</v>
      </c>
      <c r="AV458" t="s">
        <v>1656</v>
      </c>
      <c r="AW458" t="s">
        <v>1657</v>
      </c>
      <c r="AX458" t="s">
        <v>1658</v>
      </c>
    </row>
    <row r="459" spans="1:50" x14ac:dyDescent="0.25">
      <c r="A459" t="s">
        <v>1659</v>
      </c>
      <c r="B459" t="s">
        <v>994</v>
      </c>
      <c r="C459">
        <v>0</v>
      </c>
      <c r="H459">
        <v>1</v>
      </c>
      <c r="J459">
        <v>1026</v>
      </c>
      <c r="K459">
        <v>0</v>
      </c>
      <c r="M459">
        <v>0</v>
      </c>
      <c r="N459">
        <v>0</v>
      </c>
      <c r="O459">
        <v>0</v>
      </c>
      <c r="P459">
        <v>0</v>
      </c>
      <c r="Q459">
        <v>1</v>
      </c>
      <c r="U459" t="s">
        <v>53</v>
      </c>
      <c r="V459">
        <v>64</v>
      </c>
      <c r="X459" t="s">
        <v>80</v>
      </c>
      <c r="Y459">
        <v>0</v>
      </c>
      <c r="Z459">
        <v>136</v>
      </c>
      <c r="AB459" t="s">
        <v>269</v>
      </c>
      <c r="AD459" t="s">
        <v>995</v>
      </c>
      <c r="AE459">
        <v>0</v>
      </c>
      <c r="AF459">
        <v>3</v>
      </c>
      <c r="AG459">
        <v>1</v>
      </c>
      <c r="AH459">
        <v>1.5</v>
      </c>
      <c r="AI459">
        <v>512</v>
      </c>
      <c r="AJ459">
        <v>512</v>
      </c>
      <c r="AK459">
        <v>44</v>
      </c>
      <c r="AL459" t="s">
        <v>1272</v>
      </c>
      <c r="AM459">
        <v>3</v>
      </c>
      <c r="AN459" t="s">
        <v>1020</v>
      </c>
      <c r="AO459" t="s">
        <v>59</v>
      </c>
      <c r="AP459" t="s">
        <v>1021</v>
      </c>
      <c r="AQ459">
        <v>11</v>
      </c>
      <c r="AR459">
        <v>49</v>
      </c>
      <c r="AS459">
        <v>12</v>
      </c>
      <c r="AT459">
        <v>4.5</v>
      </c>
      <c r="AU459">
        <v>11</v>
      </c>
      <c r="AV459" t="s">
        <v>1660</v>
      </c>
      <c r="AW459" t="s">
        <v>1661</v>
      </c>
      <c r="AX459" t="s">
        <v>1662</v>
      </c>
    </row>
    <row r="460" spans="1:50" x14ac:dyDescent="0.25">
      <c r="A460" t="s">
        <v>1663</v>
      </c>
      <c r="B460" t="s">
        <v>994</v>
      </c>
      <c r="C460">
        <v>0</v>
      </c>
      <c r="H460">
        <v>0</v>
      </c>
      <c r="J460">
        <v>832</v>
      </c>
      <c r="K460">
        <v>510</v>
      </c>
      <c r="M460">
        <v>832</v>
      </c>
      <c r="N460">
        <v>1</v>
      </c>
      <c r="O460">
        <v>0</v>
      </c>
      <c r="P460">
        <v>1</v>
      </c>
      <c r="Q460">
        <v>0</v>
      </c>
      <c r="U460" t="s">
        <v>93</v>
      </c>
      <c r="V460">
        <v>38</v>
      </c>
      <c r="X460" t="s">
        <v>55</v>
      </c>
      <c r="Y460">
        <v>0</v>
      </c>
      <c r="Z460">
        <v>136</v>
      </c>
      <c r="AB460" t="s">
        <v>269</v>
      </c>
      <c r="AD460" t="s">
        <v>995</v>
      </c>
      <c r="AE460">
        <v>0</v>
      </c>
      <c r="AF460">
        <v>3</v>
      </c>
      <c r="AG460">
        <v>1</v>
      </c>
      <c r="AH460">
        <v>1.5</v>
      </c>
      <c r="AI460">
        <v>512</v>
      </c>
      <c r="AJ460">
        <v>512</v>
      </c>
      <c r="AK460">
        <v>44</v>
      </c>
      <c r="AL460" t="s">
        <v>1272</v>
      </c>
      <c r="AM460">
        <v>3</v>
      </c>
      <c r="AN460" t="s">
        <v>1020</v>
      </c>
      <c r="AO460" t="s">
        <v>59</v>
      </c>
      <c r="AP460" t="s">
        <v>1021</v>
      </c>
      <c r="AQ460">
        <v>11</v>
      </c>
      <c r="AR460">
        <v>45</v>
      </c>
      <c r="AS460">
        <v>12</v>
      </c>
      <c r="AT460">
        <v>4.5</v>
      </c>
      <c r="AU460">
        <v>11</v>
      </c>
      <c r="AV460" t="s">
        <v>1664</v>
      </c>
      <c r="AW460" t="s">
        <v>1665</v>
      </c>
      <c r="AX460" t="s">
        <v>1666</v>
      </c>
    </row>
    <row r="461" spans="1:50" x14ac:dyDescent="0.25">
      <c r="A461" t="s">
        <v>1667</v>
      </c>
      <c r="B461" t="s">
        <v>994</v>
      </c>
      <c r="C461">
        <v>0</v>
      </c>
      <c r="H461">
        <v>0</v>
      </c>
      <c r="J461">
        <v>1031</v>
      </c>
      <c r="K461">
        <v>0</v>
      </c>
      <c r="M461">
        <v>0</v>
      </c>
      <c r="N461">
        <v>1</v>
      </c>
      <c r="O461">
        <v>1</v>
      </c>
      <c r="P461">
        <v>1</v>
      </c>
      <c r="Q461">
        <v>1</v>
      </c>
      <c r="U461" t="s">
        <v>72</v>
      </c>
      <c r="V461">
        <v>46</v>
      </c>
      <c r="X461" t="s">
        <v>80</v>
      </c>
      <c r="Y461">
        <v>0</v>
      </c>
      <c r="Z461">
        <v>68</v>
      </c>
      <c r="AB461" t="s">
        <v>74</v>
      </c>
      <c r="AD461" t="s">
        <v>995</v>
      </c>
      <c r="AE461">
        <v>0</v>
      </c>
      <c r="AF461">
        <v>3</v>
      </c>
      <c r="AG461">
        <v>1</v>
      </c>
      <c r="AH461">
        <v>1.5</v>
      </c>
      <c r="AI461">
        <v>512</v>
      </c>
      <c r="AJ461">
        <v>512</v>
      </c>
      <c r="AK461">
        <v>44</v>
      </c>
      <c r="AL461" t="s">
        <v>1272</v>
      </c>
      <c r="AM461">
        <v>3</v>
      </c>
      <c r="AN461" t="s">
        <v>1020</v>
      </c>
      <c r="AO461" t="s">
        <v>59</v>
      </c>
      <c r="AP461" t="s">
        <v>1021</v>
      </c>
      <c r="AQ461">
        <v>11</v>
      </c>
      <c r="AR461">
        <v>45</v>
      </c>
      <c r="AS461">
        <v>12</v>
      </c>
      <c r="AT461">
        <v>4.5</v>
      </c>
      <c r="AU461">
        <v>11</v>
      </c>
      <c r="AV461" t="s">
        <v>1668</v>
      </c>
      <c r="AW461" t="s">
        <v>1669</v>
      </c>
      <c r="AX461" t="s">
        <v>1670</v>
      </c>
    </row>
    <row r="462" spans="1:50" x14ac:dyDescent="0.25">
      <c r="A462" t="s">
        <v>1671</v>
      </c>
      <c r="B462" t="s">
        <v>994</v>
      </c>
      <c r="C462">
        <v>0</v>
      </c>
      <c r="H462">
        <v>0</v>
      </c>
      <c r="J462">
        <v>1248</v>
      </c>
      <c r="K462">
        <v>0</v>
      </c>
      <c r="M462">
        <v>0</v>
      </c>
      <c r="N462">
        <v>1</v>
      </c>
      <c r="O462">
        <v>1</v>
      </c>
      <c r="P462">
        <v>1</v>
      </c>
      <c r="Q462">
        <v>1</v>
      </c>
      <c r="U462" t="s">
        <v>72</v>
      </c>
      <c r="V462">
        <v>59</v>
      </c>
      <c r="X462" t="s">
        <v>55</v>
      </c>
      <c r="Y462">
        <v>0</v>
      </c>
      <c r="AD462" t="s">
        <v>995</v>
      </c>
      <c r="AE462">
        <v>0</v>
      </c>
      <c r="AF462">
        <v>3</v>
      </c>
      <c r="AG462">
        <v>1</v>
      </c>
      <c r="AH462">
        <v>1.5</v>
      </c>
      <c r="AI462">
        <v>256</v>
      </c>
      <c r="AJ462">
        <v>256</v>
      </c>
      <c r="AK462">
        <v>64</v>
      </c>
      <c r="AL462" t="s">
        <v>75</v>
      </c>
      <c r="AM462">
        <v>2</v>
      </c>
      <c r="AN462" t="s">
        <v>1011</v>
      </c>
      <c r="AO462" t="s">
        <v>59</v>
      </c>
      <c r="AP462" t="s">
        <v>1123</v>
      </c>
      <c r="AQ462">
        <v>11</v>
      </c>
      <c r="AR462">
        <v>144</v>
      </c>
      <c r="AS462">
        <v>361</v>
      </c>
      <c r="AT462">
        <v>4.76</v>
      </c>
      <c r="AU462">
        <v>27</v>
      </c>
      <c r="AV462" t="s">
        <v>1672</v>
      </c>
      <c r="AW462" t="s">
        <v>1665</v>
      </c>
      <c r="AX462" t="s">
        <v>1673</v>
      </c>
    </row>
    <row r="463" spans="1:50" x14ac:dyDescent="0.25">
      <c r="A463" t="s">
        <v>1674</v>
      </c>
      <c r="B463" t="s">
        <v>994</v>
      </c>
      <c r="C463">
        <v>0</v>
      </c>
      <c r="H463">
        <v>0</v>
      </c>
      <c r="J463">
        <v>1155</v>
      </c>
      <c r="K463">
        <v>0</v>
      </c>
      <c r="M463">
        <v>0</v>
      </c>
      <c r="N463">
        <v>1</v>
      </c>
      <c r="O463">
        <v>1</v>
      </c>
      <c r="P463">
        <v>1</v>
      </c>
      <c r="Q463">
        <v>0</v>
      </c>
      <c r="U463" t="s">
        <v>93</v>
      </c>
      <c r="V463">
        <v>48</v>
      </c>
      <c r="X463" t="s">
        <v>111</v>
      </c>
      <c r="Y463">
        <v>0</v>
      </c>
      <c r="Z463">
        <v>63.503</v>
      </c>
      <c r="AB463" t="s">
        <v>74</v>
      </c>
      <c r="AD463" t="s">
        <v>995</v>
      </c>
      <c r="AE463">
        <v>0</v>
      </c>
      <c r="AF463">
        <v>3</v>
      </c>
      <c r="AG463">
        <v>1</v>
      </c>
      <c r="AH463">
        <v>1.5</v>
      </c>
      <c r="AI463">
        <v>256</v>
      </c>
      <c r="AJ463">
        <v>256</v>
      </c>
      <c r="AK463">
        <v>60</v>
      </c>
      <c r="AL463" t="s">
        <v>1406</v>
      </c>
      <c r="AM463">
        <v>2.2000000000000002</v>
      </c>
      <c r="AN463" t="s">
        <v>996</v>
      </c>
      <c r="AO463" t="s">
        <v>67</v>
      </c>
      <c r="AP463" t="s">
        <v>997</v>
      </c>
      <c r="AQ463">
        <v>15</v>
      </c>
      <c r="AR463">
        <v>11</v>
      </c>
      <c r="AS463">
        <v>23</v>
      </c>
      <c r="AT463">
        <v>4.2</v>
      </c>
      <c r="AU463">
        <v>8.4</v>
      </c>
      <c r="AV463" t="s">
        <v>1675</v>
      </c>
      <c r="AW463" t="s">
        <v>1676</v>
      </c>
      <c r="AX463" t="s">
        <v>1677</v>
      </c>
    </row>
    <row r="464" spans="1:50" x14ac:dyDescent="0.25">
      <c r="A464" t="s">
        <v>1678</v>
      </c>
      <c r="B464" t="s">
        <v>1679</v>
      </c>
      <c r="C464">
        <v>0</v>
      </c>
      <c r="D464">
        <v>1</v>
      </c>
      <c r="E464" t="s">
        <v>1680</v>
      </c>
      <c r="H464">
        <v>0</v>
      </c>
      <c r="N464">
        <v>0</v>
      </c>
      <c r="Q464">
        <v>0</v>
      </c>
      <c r="R464">
        <v>1</v>
      </c>
      <c r="U464" t="s">
        <v>65</v>
      </c>
      <c r="V464">
        <v>53</v>
      </c>
      <c r="W464" t="s">
        <v>79</v>
      </c>
      <c r="X464" t="s">
        <v>80</v>
      </c>
      <c r="Y464">
        <v>0</v>
      </c>
      <c r="AD464" t="s">
        <v>57</v>
      </c>
      <c r="AE464">
        <v>0</v>
      </c>
      <c r="AF464">
        <v>6</v>
      </c>
      <c r="AG464">
        <v>1</v>
      </c>
      <c r="AH464">
        <v>1.5</v>
      </c>
      <c r="AI464">
        <v>512</v>
      </c>
      <c r="AJ464">
        <v>512</v>
      </c>
      <c r="AK464">
        <v>80</v>
      </c>
      <c r="AL464" t="s">
        <v>81</v>
      </c>
      <c r="AM464">
        <v>2</v>
      </c>
      <c r="AN464" t="s">
        <v>1681</v>
      </c>
      <c r="AO464" t="s">
        <v>67</v>
      </c>
      <c r="AP464" t="s">
        <v>68</v>
      </c>
      <c r="AQ464">
        <v>15</v>
      </c>
      <c r="AR464">
        <v>262</v>
      </c>
      <c r="AS464">
        <v>525</v>
      </c>
      <c r="AT464">
        <v>2.6040000000000001</v>
      </c>
      <c r="AU464">
        <v>5.6239999999999997</v>
      </c>
      <c r="AV464" t="s">
        <v>1682</v>
      </c>
      <c r="AW464" t="s">
        <v>1683</v>
      </c>
      <c r="AX464" t="s">
        <v>1684</v>
      </c>
    </row>
    <row r="465" spans="1:50" x14ac:dyDescent="0.25">
      <c r="A465" t="s">
        <v>1685</v>
      </c>
      <c r="B465" t="s">
        <v>1679</v>
      </c>
      <c r="C465">
        <v>0</v>
      </c>
      <c r="D465">
        <v>0</v>
      </c>
      <c r="E465" t="s">
        <v>1686</v>
      </c>
      <c r="H465">
        <v>1</v>
      </c>
      <c r="N465">
        <v>1</v>
      </c>
      <c r="Q465">
        <v>0</v>
      </c>
      <c r="R465">
        <v>1</v>
      </c>
      <c r="U465" t="s">
        <v>1687</v>
      </c>
      <c r="V465">
        <v>32</v>
      </c>
      <c r="W465" t="s">
        <v>1688</v>
      </c>
      <c r="X465" t="s">
        <v>55</v>
      </c>
      <c r="Y465">
        <v>0</v>
      </c>
      <c r="Z465">
        <v>113.398</v>
      </c>
      <c r="AB465" t="s">
        <v>269</v>
      </c>
      <c r="AD465" t="s">
        <v>57</v>
      </c>
      <c r="AE465">
        <v>0</v>
      </c>
      <c r="AF465">
        <v>6</v>
      </c>
      <c r="AG465">
        <v>1</v>
      </c>
      <c r="AH465">
        <v>1.5</v>
      </c>
      <c r="AI465">
        <v>512</v>
      </c>
      <c r="AJ465">
        <v>512</v>
      </c>
      <c r="AK465">
        <v>72</v>
      </c>
      <c r="AL465" t="s">
        <v>119</v>
      </c>
      <c r="AM465">
        <v>2.2000000000000002</v>
      </c>
      <c r="AN465" t="s">
        <v>1072</v>
      </c>
      <c r="AO465" t="s">
        <v>67</v>
      </c>
      <c r="AP465" t="s">
        <v>68</v>
      </c>
      <c r="AQ465">
        <v>15</v>
      </c>
      <c r="AR465">
        <v>200</v>
      </c>
      <c r="AS465">
        <v>400</v>
      </c>
      <c r="AT465">
        <v>4.2359999999999998</v>
      </c>
      <c r="AU465">
        <v>8.6679999999999993</v>
      </c>
      <c r="AV465" t="s">
        <v>1689</v>
      </c>
      <c r="AW465" t="s">
        <v>1690</v>
      </c>
      <c r="AX465" t="s">
        <v>1691</v>
      </c>
    </row>
    <row r="466" spans="1:50" x14ac:dyDescent="0.25">
      <c r="A466" t="s">
        <v>1692</v>
      </c>
      <c r="B466" t="s">
        <v>1679</v>
      </c>
      <c r="C466">
        <v>0</v>
      </c>
      <c r="D466">
        <v>0</v>
      </c>
      <c r="E466" t="s">
        <v>1693</v>
      </c>
      <c r="H466">
        <v>0</v>
      </c>
      <c r="N466">
        <v>0</v>
      </c>
      <c r="Q466">
        <v>0</v>
      </c>
      <c r="R466">
        <v>0</v>
      </c>
      <c r="U466" t="s">
        <v>65</v>
      </c>
      <c r="V466">
        <v>26</v>
      </c>
      <c r="W466" t="s">
        <v>1688</v>
      </c>
      <c r="X466" t="s">
        <v>80</v>
      </c>
      <c r="Y466">
        <v>0</v>
      </c>
      <c r="Z466">
        <v>54.430999999999997</v>
      </c>
      <c r="AB466" t="s">
        <v>74</v>
      </c>
      <c r="AD466" t="s">
        <v>57</v>
      </c>
      <c r="AE466">
        <v>0</v>
      </c>
      <c r="AF466">
        <v>6</v>
      </c>
      <c r="AG466">
        <v>1</v>
      </c>
      <c r="AH466">
        <v>1.5</v>
      </c>
      <c r="AI466">
        <v>512</v>
      </c>
      <c r="AJ466">
        <v>512</v>
      </c>
      <c r="AK466">
        <v>80</v>
      </c>
      <c r="AL466" t="s">
        <v>113</v>
      </c>
      <c r="AM466">
        <v>2</v>
      </c>
      <c r="AN466" t="s">
        <v>996</v>
      </c>
      <c r="AO466" t="s">
        <v>67</v>
      </c>
      <c r="AP466" t="s">
        <v>68</v>
      </c>
      <c r="AQ466">
        <v>15</v>
      </c>
      <c r="AR466">
        <v>207</v>
      </c>
      <c r="AS466">
        <v>414</v>
      </c>
      <c r="AT466">
        <v>4.2</v>
      </c>
      <c r="AU466">
        <v>7</v>
      </c>
      <c r="AV466" t="s">
        <v>1694</v>
      </c>
      <c r="AW466" t="s">
        <v>1695</v>
      </c>
      <c r="AX466" t="s">
        <v>1696</v>
      </c>
    </row>
    <row r="467" spans="1:50" x14ac:dyDescent="0.25">
      <c r="A467" t="s">
        <v>1697</v>
      </c>
      <c r="B467" t="s">
        <v>1679</v>
      </c>
      <c r="C467">
        <v>0</v>
      </c>
      <c r="D467">
        <v>0</v>
      </c>
      <c r="E467" t="s">
        <v>1698</v>
      </c>
      <c r="H467">
        <v>0</v>
      </c>
      <c r="N467">
        <v>1</v>
      </c>
      <c r="Q467">
        <v>0</v>
      </c>
      <c r="R467">
        <v>0</v>
      </c>
      <c r="U467" t="s">
        <v>1687</v>
      </c>
      <c r="V467">
        <v>59</v>
      </c>
      <c r="W467" t="s">
        <v>79</v>
      </c>
      <c r="X467" t="s">
        <v>80</v>
      </c>
      <c r="Y467">
        <v>0</v>
      </c>
      <c r="Z467">
        <v>63.048999999999999</v>
      </c>
      <c r="AB467" t="s">
        <v>74</v>
      </c>
      <c r="AD467" t="s">
        <v>57</v>
      </c>
      <c r="AE467">
        <v>0</v>
      </c>
      <c r="AF467">
        <v>6</v>
      </c>
      <c r="AG467">
        <v>1</v>
      </c>
      <c r="AH467">
        <v>1.5</v>
      </c>
      <c r="AI467">
        <v>512</v>
      </c>
      <c r="AJ467">
        <v>512</v>
      </c>
      <c r="AK467">
        <v>80</v>
      </c>
      <c r="AL467" t="s">
        <v>497</v>
      </c>
      <c r="AM467">
        <v>2</v>
      </c>
      <c r="AN467" t="s">
        <v>1681</v>
      </c>
      <c r="AO467" t="s">
        <v>67</v>
      </c>
      <c r="AP467" t="s">
        <v>68</v>
      </c>
      <c r="AQ467">
        <v>15</v>
      </c>
      <c r="AR467">
        <v>407</v>
      </c>
      <c r="AS467">
        <v>814</v>
      </c>
      <c r="AT467">
        <v>2.7280000000000002</v>
      </c>
      <c r="AU467">
        <v>6.8449999999999998</v>
      </c>
      <c r="AV467" t="s">
        <v>1699</v>
      </c>
      <c r="AW467" t="s">
        <v>1700</v>
      </c>
      <c r="AX467" t="s">
        <v>1701</v>
      </c>
    </row>
    <row r="468" spans="1:50" x14ac:dyDescent="0.25">
      <c r="A468" t="s">
        <v>1702</v>
      </c>
      <c r="B468" t="s">
        <v>1679</v>
      </c>
      <c r="C468">
        <v>0</v>
      </c>
      <c r="D468">
        <v>1</v>
      </c>
      <c r="E468" t="s">
        <v>1703</v>
      </c>
      <c r="H468">
        <v>0</v>
      </c>
      <c r="N468">
        <v>1</v>
      </c>
      <c r="Q468">
        <v>0</v>
      </c>
      <c r="R468">
        <v>0</v>
      </c>
      <c r="U468" t="s">
        <v>1687</v>
      </c>
      <c r="V468">
        <v>51</v>
      </c>
      <c r="W468" t="s">
        <v>1704</v>
      </c>
      <c r="X468" t="s">
        <v>80</v>
      </c>
      <c r="Y468">
        <v>0</v>
      </c>
      <c r="Z468">
        <v>42.7</v>
      </c>
      <c r="AB468" t="s">
        <v>247</v>
      </c>
      <c r="AD468" t="s">
        <v>57</v>
      </c>
      <c r="AE468">
        <v>0</v>
      </c>
      <c r="AF468">
        <v>6</v>
      </c>
      <c r="AG468">
        <v>1</v>
      </c>
      <c r="AH468">
        <v>1.5</v>
      </c>
      <c r="AI468">
        <v>512</v>
      </c>
      <c r="AJ468">
        <v>512</v>
      </c>
      <c r="AK468">
        <v>64</v>
      </c>
      <c r="AL468" t="s">
        <v>66</v>
      </c>
      <c r="AM468">
        <v>2.5</v>
      </c>
      <c r="AN468" t="s">
        <v>1705</v>
      </c>
      <c r="AO468" t="s">
        <v>67</v>
      </c>
      <c r="AP468" t="s">
        <v>89</v>
      </c>
      <c r="AQ468">
        <v>15</v>
      </c>
      <c r="AR468">
        <v>405</v>
      </c>
      <c r="AS468">
        <v>810</v>
      </c>
      <c r="AT468">
        <v>2.6</v>
      </c>
      <c r="AU468">
        <v>6.1520000000000001</v>
      </c>
      <c r="AV468" t="s">
        <v>1706</v>
      </c>
      <c r="AW468" t="s">
        <v>1707</v>
      </c>
      <c r="AX468" t="s">
        <v>1708</v>
      </c>
    </row>
    <row r="469" spans="1:50" x14ac:dyDescent="0.25">
      <c r="A469" t="s">
        <v>1709</v>
      </c>
      <c r="B469" t="s">
        <v>1679</v>
      </c>
      <c r="C469">
        <v>0</v>
      </c>
      <c r="D469">
        <v>0</v>
      </c>
      <c r="E469" t="s">
        <v>1703</v>
      </c>
      <c r="H469">
        <v>0</v>
      </c>
      <c r="N469">
        <v>0</v>
      </c>
      <c r="Q469">
        <v>0</v>
      </c>
      <c r="R469">
        <v>1</v>
      </c>
      <c r="U469" t="s">
        <v>65</v>
      </c>
      <c r="V469">
        <v>50</v>
      </c>
      <c r="X469" t="s">
        <v>55</v>
      </c>
      <c r="Y469">
        <v>0</v>
      </c>
      <c r="Z469">
        <v>63.502939877999999</v>
      </c>
      <c r="AB469" t="s">
        <v>74</v>
      </c>
      <c r="AD469" t="s">
        <v>57</v>
      </c>
      <c r="AE469">
        <v>0</v>
      </c>
      <c r="AF469">
        <v>6</v>
      </c>
      <c r="AG469">
        <v>1</v>
      </c>
      <c r="AH469">
        <v>1.5</v>
      </c>
      <c r="AI469">
        <v>512</v>
      </c>
      <c r="AJ469">
        <v>512</v>
      </c>
      <c r="AK469">
        <v>80</v>
      </c>
      <c r="AL469" t="s">
        <v>1010</v>
      </c>
      <c r="AM469">
        <v>2</v>
      </c>
      <c r="AN469" t="s">
        <v>1011</v>
      </c>
      <c r="AO469" t="s">
        <v>59</v>
      </c>
      <c r="AP469" t="s">
        <v>60</v>
      </c>
      <c r="AQ469">
        <v>11</v>
      </c>
      <c r="AR469">
        <v>182</v>
      </c>
      <c r="AS469">
        <v>433</v>
      </c>
      <c r="AT469">
        <v>1.67</v>
      </c>
      <c r="AU469">
        <v>4.51</v>
      </c>
      <c r="AV469" t="s">
        <v>1710</v>
      </c>
      <c r="AW469" t="s">
        <v>1711</v>
      </c>
      <c r="AX469" t="s">
        <v>1712</v>
      </c>
    </row>
    <row r="470" spans="1:50" x14ac:dyDescent="0.25">
      <c r="A470" t="s">
        <v>1713</v>
      </c>
      <c r="B470" t="s">
        <v>1679</v>
      </c>
      <c r="C470">
        <v>0</v>
      </c>
      <c r="D470">
        <v>0</v>
      </c>
      <c r="E470" t="s">
        <v>1698</v>
      </c>
      <c r="H470">
        <v>0</v>
      </c>
      <c r="N470">
        <v>1</v>
      </c>
      <c r="Q470">
        <v>0</v>
      </c>
      <c r="R470">
        <v>1</v>
      </c>
      <c r="U470" t="s">
        <v>1687</v>
      </c>
      <c r="V470">
        <v>42</v>
      </c>
      <c r="W470" t="s">
        <v>1688</v>
      </c>
      <c r="X470" t="s">
        <v>1714</v>
      </c>
      <c r="Y470">
        <v>0</v>
      </c>
      <c r="Z470">
        <v>70.31</v>
      </c>
      <c r="AB470" t="s">
        <v>94</v>
      </c>
      <c r="AD470" t="s">
        <v>57</v>
      </c>
      <c r="AE470">
        <v>0</v>
      </c>
      <c r="AF470">
        <v>6</v>
      </c>
      <c r="AG470">
        <v>1</v>
      </c>
      <c r="AH470">
        <v>1.5</v>
      </c>
      <c r="AI470">
        <v>512</v>
      </c>
      <c r="AJ470">
        <v>512</v>
      </c>
      <c r="AK470">
        <v>80</v>
      </c>
      <c r="AL470" t="s">
        <v>196</v>
      </c>
      <c r="AM470">
        <v>2</v>
      </c>
      <c r="AN470" t="s">
        <v>996</v>
      </c>
      <c r="AO470" t="s">
        <v>67</v>
      </c>
      <c r="AP470" t="s">
        <v>68</v>
      </c>
      <c r="AQ470">
        <v>15</v>
      </c>
      <c r="AR470">
        <v>39</v>
      </c>
      <c r="AS470">
        <v>79</v>
      </c>
      <c r="AT470">
        <v>4.2</v>
      </c>
      <c r="AU470">
        <v>7.0359999999999996</v>
      </c>
      <c r="AV470" t="s">
        <v>1715</v>
      </c>
      <c r="AW470" t="s">
        <v>1716</v>
      </c>
      <c r="AX470" t="s">
        <v>1717</v>
      </c>
    </row>
    <row r="471" spans="1:50" x14ac:dyDescent="0.25">
      <c r="A471" t="s">
        <v>1718</v>
      </c>
      <c r="B471" t="s">
        <v>1679</v>
      </c>
      <c r="C471">
        <v>0</v>
      </c>
      <c r="D471">
        <v>0</v>
      </c>
      <c r="E471" t="s">
        <v>1680</v>
      </c>
      <c r="H471">
        <v>0</v>
      </c>
      <c r="N471">
        <v>1</v>
      </c>
      <c r="Q471">
        <v>0</v>
      </c>
      <c r="R471">
        <v>0</v>
      </c>
      <c r="U471" t="s">
        <v>1687</v>
      </c>
      <c r="V471">
        <v>65</v>
      </c>
      <c r="X471" t="s">
        <v>80</v>
      </c>
      <c r="Y471">
        <v>0</v>
      </c>
      <c r="Z471">
        <v>86.71</v>
      </c>
      <c r="AB471" t="s">
        <v>118</v>
      </c>
      <c r="AD471" t="s">
        <v>57</v>
      </c>
      <c r="AE471">
        <v>1</v>
      </c>
      <c r="AF471">
        <v>6</v>
      </c>
      <c r="AG471">
        <v>1</v>
      </c>
      <c r="AH471">
        <v>1.5</v>
      </c>
      <c r="AI471">
        <v>384</v>
      </c>
      <c r="AJ471">
        <v>384</v>
      </c>
      <c r="AK471">
        <v>176</v>
      </c>
      <c r="AL471" t="s">
        <v>1719</v>
      </c>
      <c r="AM471">
        <v>1.1000000238000001</v>
      </c>
      <c r="AN471" t="s">
        <v>1720</v>
      </c>
      <c r="AO471" t="s">
        <v>59</v>
      </c>
      <c r="AP471" t="s">
        <v>60</v>
      </c>
      <c r="AQ471">
        <v>11</v>
      </c>
      <c r="AR471">
        <v>295</v>
      </c>
      <c r="AS471">
        <v>676</v>
      </c>
      <c r="AT471">
        <v>1.46</v>
      </c>
      <c r="AU471">
        <v>4.0999999999999996</v>
      </c>
      <c r="AV471" t="s">
        <v>1721</v>
      </c>
      <c r="AW471" t="s">
        <v>1722</v>
      </c>
      <c r="AX471" t="s">
        <v>1723</v>
      </c>
    </row>
    <row r="472" spans="1:50" x14ac:dyDescent="0.25">
      <c r="A472" t="s">
        <v>1724</v>
      </c>
      <c r="B472" t="s">
        <v>1679</v>
      </c>
      <c r="C472">
        <v>0</v>
      </c>
      <c r="D472">
        <v>0</v>
      </c>
      <c r="E472" t="s">
        <v>1725</v>
      </c>
      <c r="H472">
        <v>1</v>
      </c>
      <c r="N472">
        <v>1</v>
      </c>
      <c r="Q472">
        <v>0</v>
      </c>
      <c r="R472">
        <v>1</v>
      </c>
      <c r="U472" t="s">
        <v>1687</v>
      </c>
      <c r="V472">
        <v>48</v>
      </c>
      <c r="W472" t="s">
        <v>1726</v>
      </c>
      <c r="X472" t="s">
        <v>80</v>
      </c>
      <c r="Y472">
        <v>0</v>
      </c>
      <c r="AD472" t="s">
        <v>57</v>
      </c>
      <c r="AE472">
        <v>1</v>
      </c>
      <c r="AF472">
        <v>6</v>
      </c>
      <c r="AG472">
        <v>1</v>
      </c>
      <c r="AH472">
        <v>1.5</v>
      </c>
      <c r="AI472">
        <v>384</v>
      </c>
      <c r="AJ472">
        <v>384</v>
      </c>
      <c r="AK472">
        <v>160</v>
      </c>
      <c r="AL472" t="s">
        <v>1727</v>
      </c>
      <c r="AM472">
        <v>1</v>
      </c>
      <c r="AN472" t="s">
        <v>1728</v>
      </c>
      <c r="AO472" t="s">
        <v>59</v>
      </c>
      <c r="AP472" t="s">
        <v>1729</v>
      </c>
      <c r="AQ472">
        <v>11</v>
      </c>
      <c r="AR472">
        <v>63</v>
      </c>
      <c r="AS472">
        <v>172</v>
      </c>
      <c r="AT472">
        <v>1.81</v>
      </c>
      <c r="AU472">
        <v>5.05</v>
      </c>
      <c r="AV472" t="s">
        <v>1730</v>
      </c>
      <c r="AW472" t="s">
        <v>1731</v>
      </c>
      <c r="AX472" t="s">
        <v>1732</v>
      </c>
    </row>
    <row r="473" spans="1:50" x14ac:dyDescent="0.25">
      <c r="A473" t="s">
        <v>1733</v>
      </c>
      <c r="B473" t="s">
        <v>1679</v>
      </c>
      <c r="C473">
        <v>0</v>
      </c>
      <c r="D473">
        <v>0</v>
      </c>
      <c r="E473" t="s">
        <v>1734</v>
      </c>
      <c r="H473">
        <v>0</v>
      </c>
      <c r="N473">
        <v>1</v>
      </c>
      <c r="Q473">
        <v>1</v>
      </c>
      <c r="R473">
        <v>0</v>
      </c>
      <c r="U473" t="s">
        <v>1735</v>
      </c>
      <c r="V473">
        <v>68</v>
      </c>
      <c r="W473" t="s">
        <v>79</v>
      </c>
      <c r="X473" t="s">
        <v>111</v>
      </c>
      <c r="Y473">
        <v>0</v>
      </c>
      <c r="Z473">
        <v>58.06</v>
      </c>
      <c r="AB473" t="s">
        <v>74</v>
      </c>
      <c r="AD473" t="s">
        <v>57</v>
      </c>
      <c r="AE473">
        <v>0</v>
      </c>
      <c r="AF473">
        <v>6</v>
      </c>
      <c r="AG473">
        <v>1</v>
      </c>
      <c r="AH473">
        <v>1.5</v>
      </c>
      <c r="AI473">
        <v>512</v>
      </c>
      <c r="AJ473">
        <v>512</v>
      </c>
      <c r="AK473">
        <v>80</v>
      </c>
      <c r="AL473" t="s">
        <v>81</v>
      </c>
      <c r="AM473">
        <v>2</v>
      </c>
      <c r="AN473" t="s">
        <v>996</v>
      </c>
      <c r="AO473" t="s">
        <v>67</v>
      </c>
      <c r="AP473" t="s">
        <v>68</v>
      </c>
      <c r="AQ473">
        <v>15</v>
      </c>
      <c r="AR473">
        <v>157</v>
      </c>
      <c r="AS473">
        <v>315</v>
      </c>
      <c r="AT473">
        <v>4.2</v>
      </c>
      <c r="AU473">
        <v>7</v>
      </c>
      <c r="AV473" t="s">
        <v>1736</v>
      </c>
      <c r="AW473" t="s">
        <v>1737</v>
      </c>
      <c r="AX473" t="s">
        <v>1738</v>
      </c>
    </row>
    <row r="474" spans="1:50" x14ac:dyDescent="0.25">
      <c r="A474" t="s">
        <v>1739</v>
      </c>
      <c r="B474" t="s">
        <v>1679</v>
      </c>
      <c r="C474">
        <v>0</v>
      </c>
      <c r="D474">
        <v>0</v>
      </c>
      <c r="E474" t="s">
        <v>1740</v>
      </c>
      <c r="H474">
        <v>1</v>
      </c>
      <c r="N474">
        <v>1</v>
      </c>
      <c r="Q474">
        <v>1</v>
      </c>
      <c r="R474">
        <v>0</v>
      </c>
      <c r="U474" t="s">
        <v>1735</v>
      </c>
      <c r="V474">
        <v>34</v>
      </c>
      <c r="W474" t="s">
        <v>1726</v>
      </c>
      <c r="X474" t="s">
        <v>80</v>
      </c>
      <c r="Y474">
        <v>0</v>
      </c>
      <c r="AD474" t="s">
        <v>57</v>
      </c>
      <c r="AE474">
        <v>1</v>
      </c>
      <c r="AF474">
        <v>6</v>
      </c>
      <c r="AG474">
        <v>1</v>
      </c>
      <c r="AH474">
        <v>1.5</v>
      </c>
      <c r="AI474">
        <v>384</v>
      </c>
      <c r="AJ474">
        <v>384</v>
      </c>
      <c r="AK474">
        <v>160</v>
      </c>
      <c r="AL474" t="s">
        <v>75</v>
      </c>
      <c r="AM474">
        <v>1</v>
      </c>
      <c r="AN474" t="s">
        <v>1741</v>
      </c>
      <c r="AO474" t="s">
        <v>59</v>
      </c>
      <c r="AP474" t="s">
        <v>60</v>
      </c>
      <c r="AQ474">
        <v>11</v>
      </c>
      <c r="AR474">
        <v>177</v>
      </c>
      <c r="AS474">
        <v>436</v>
      </c>
      <c r="AT474">
        <v>2.37</v>
      </c>
      <c r="AU474">
        <v>5.15</v>
      </c>
      <c r="AV474" t="s">
        <v>1742</v>
      </c>
      <c r="AW474" t="s">
        <v>1743</v>
      </c>
      <c r="AX474" t="s">
        <v>1744</v>
      </c>
    </row>
    <row r="475" spans="1:50" x14ac:dyDescent="0.25">
      <c r="A475" t="s">
        <v>1745</v>
      </c>
      <c r="B475" t="s">
        <v>1679</v>
      </c>
      <c r="C475">
        <v>0</v>
      </c>
      <c r="D475">
        <v>1</v>
      </c>
      <c r="E475" t="s">
        <v>1740</v>
      </c>
      <c r="H475">
        <v>1</v>
      </c>
      <c r="N475">
        <v>0</v>
      </c>
      <c r="Q475">
        <v>1</v>
      </c>
      <c r="R475">
        <v>0</v>
      </c>
      <c r="U475" t="s">
        <v>72</v>
      </c>
      <c r="V475">
        <v>64</v>
      </c>
      <c r="W475" t="s">
        <v>79</v>
      </c>
      <c r="X475" t="s">
        <v>80</v>
      </c>
      <c r="Y475">
        <v>0</v>
      </c>
      <c r="Z475">
        <v>76.203527853599994</v>
      </c>
      <c r="AB475" t="s">
        <v>94</v>
      </c>
      <c r="AD475" t="s">
        <v>57</v>
      </c>
      <c r="AE475">
        <v>0</v>
      </c>
      <c r="AF475">
        <v>6</v>
      </c>
      <c r="AG475">
        <v>1</v>
      </c>
      <c r="AH475">
        <v>1.5</v>
      </c>
      <c r="AI475">
        <v>512</v>
      </c>
      <c r="AJ475">
        <v>512</v>
      </c>
      <c r="AK475">
        <v>80</v>
      </c>
      <c r="AL475" t="s">
        <v>1010</v>
      </c>
      <c r="AM475">
        <v>2</v>
      </c>
      <c r="AN475" t="s">
        <v>1011</v>
      </c>
      <c r="AO475" t="s">
        <v>59</v>
      </c>
      <c r="AP475" t="s">
        <v>60</v>
      </c>
      <c r="AQ475">
        <v>11</v>
      </c>
      <c r="AR475">
        <v>44</v>
      </c>
      <c r="AS475">
        <v>117</v>
      </c>
      <c r="AT475">
        <v>1.67</v>
      </c>
      <c r="AU475">
        <v>4.51</v>
      </c>
      <c r="AV475" t="s">
        <v>1746</v>
      </c>
      <c r="AW475" t="s">
        <v>1747</v>
      </c>
      <c r="AX475" t="s">
        <v>1748</v>
      </c>
    </row>
    <row r="476" spans="1:50" x14ac:dyDescent="0.25">
      <c r="A476" t="s">
        <v>1749</v>
      </c>
      <c r="B476" t="s">
        <v>1679</v>
      </c>
      <c r="C476">
        <v>0</v>
      </c>
      <c r="D476">
        <v>0</v>
      </c>
      <c r="E476" t="s">
        <v>1686</v>
      </c>
      <c r="H476">
        <v>0</v>
      </c>
      <c r="N476">
        <v>1</v>
      </c>
      <c r="Q476">
        <v>0</v>
      </c>
      <c r="R476">
        <v>0</v>
      </c>
      <c r="U476" t="s">
        <v>1687</v>
      </c>
      <c r="V476">
        <v>44</v>
      </c>
      <c r="W476" t="s">
        <v>1688</v>
      </c>
      <c r="X476" t="s">
        <v>80</v>
      </c>
      <c r="Y476">
        <v>0</v>
      </c>
      <c r="Z476">
        <v>51.256</v>
      </c>
      <c r="AB476" t="s">
        <v>74</v>
      </c>
      <c r="AD476" t="s">
        <v>57</v>
      </c>
      <c r="AE476">
        <v>0</v>
      </c>
      <c r="AF476">
        <v>6</v>
      </c>
      <c r="AG476">
        <v>1</v>
      </c>
      <c r="AH476">
        <v>1.5</v>
      </c>
      <c r="AI476">
        <v>512</v>
      </c>
      <c r="AJ476">
        <v>512</v>
      </c>
      <c r="AK476">
        <v>80</v>
      </c>
      <c r="AL476" t="s">
        <v>497</v>
      </c>
      <c r="AM476">
        <v>2</v>
      </c>
      <c r="AN476" t="s">
        <v>996</v>
      </c>
      <c r="AO476" t="s">
        <v>67</v>
      </c>
      <c r="AP476" t="s">
        <v>68</v>
      </c>
      <c r="AQ476">
        <v>15</v>
      </c>
      <c r="AR476">
        <v>211</v>
      </c>
      <c r="AS476">
        <v>422</v>
      </c>
      <c r="AT476">
        <v>4.2</v>
      </c>
      <c r="AU476">
        <v>7.0359999999999996</v>
      </c>
      <c r="AV476" t="s">
        <v>1750</v>
      </c>
      <c r="AW476" t="s">
        <v>1751</v>
      </c>
      <c r="AX476" t="s">
        <v>1752</v>
      </c>
    </row>
    <row r="477" spans="1:50" x14ac:dyDescent="0.25">
      <c r="A477" t="s">
        <v>1753</v>
      </c>
      <c r="B477" t="s">
        <v>1679</v>
      </c>
      <c r="C477">
        <v>0</v>
      </c>
      <c r="D477">
        <v>0</v>
      </c>
      <c r="E477" t="s">
        <v>1725</v>
      </c>
      <c r="H477">
        <v>1</v>
      </c>
      <c r="N477">
        <v>0</v>
      </c>
      <c r="Q477">
        <v>0</v>
      </c>
      <c r="R477">
        <v>1</v>
      </c>
      <c r="U477" t="s">
        <v>65</v>
      </c>
      <c r="V477">
        <v>43</v>
      </c>
      <c r="W477" t="s">
        <v>1688</v>
      </c>
      <c r="X477" t="s">
        <v>111</v>
      </c>
      <c r="Y477">
        <v>0</v>
      </c>
      <c r="AD477" t="s">
        <v>57</v>
      </c>
      <c r="AE477">
        <v>0</v>
      </c>
      <c r="AF477">
        <v>6</v>
      </c>
      <c r="AG477">
        <v>1</v>
      </c>
      <c r="AH477">
        <v>1.5</v>
      </c>
      <c r="AI477">
        <v>512</v>
      </c>
      <c r="AJ477">
        <v>512</v>
      </c>
      <c r="AK477">
        <v>80</v>
      </c>
      <c r="AL477" t="s">
        <v>331</v>
      </c>
      <c r="AM477">
        <v>2</v>
      </c>
      <c r="AN477" t="s">
        <v>1681</v>
      </c>
      <c r="AO477" t="s">
        <v>67</v>
      </c>
      <c r="AP477" t="s">
        <v>68</v>
      </c>
      <c r="AQ477">
        <v>15</v>
      </c>
      <c r="AR477">
        <v>285</v>
      </c>
      <c r="AS477">
        <v>571</v>
      </c>
      <c r="AT477">
        <v>2.7559999999999998</v>
      </c>
      <c r="AU477">
        <v>7.149</v>
      </c>
      <c r="AV477" t="s">
        <v>1754</v>
      </c>
      <c r="AW477" t="s">
        <v>1755</v>
      </c>
      <c r="AX477" t="s">
        <v>1756</v>
      </c>
    </row>
    <row r="478" spans="1:50" x14ac:dyDescent="0.25">
      <c r="A478" t="s">
        <v>1757</v>
      </c>
      <c r="B478" t="s">
        <v>1679</v>
      </c>
      <c r="C478">
        <v>0</v>
      </c>
      <c r="D478">
        <v>1</v>
      </c>
      <c r="E478" t="s">
        <v>1740</v>
      </c>
      <c r="H478">
        <v>1</v>
      </c>
      <c r="N478">
        <v>1</v>
      </c>
      <c r="Q478">
        <v>1</v>
      </c>
      <c r="R478">
        <v>0</v>
      </c>
      <c r="U478" t="s">
        <v>1735</v>
      </c>
      <c r="V478">
        <v>53</v>
      </c>
      <c r="X478" t="s">
        <v>80</v>
      </c>
      <c r="Y478">
        <v>0</v>
      </c>
      <c r="AD478" t="s">
        <v>57</v>
      </c>
      <c r="AE478">
        <v>0</v>
      </c>
      <c r="AF478">
        <v>6</v>
      </c>
      <c r="AG478">
        <v>1</v>
      </c>
      <c r="AH478">
        <v>1.5</v>
      </c>
      <c r="AI478">
        <v>512</v>
      </c>
      <c r="AJ478">
        <v>512</v>
      </c>
      <c r="AK478">
        <v>80</v>
      </c>
      <c r="AL478" t="s">
        <v>350</v>
      </c>
      <c r="AM478">
        <v>2</v>
      </c>
      <c r="AN478" t="s">
        <v>1681</v>
      </c>
      <c r="AO478" t="s">
        <v>67</v>
      </c>
      <c r="AP478" t="s">
        <v>68</v>
      </c>
      <c r="AQ478">
        <v>15</v>
      </c>
      <c r="AR478">
        <v>445</v>
      </c>
      <c r="AS478">
        <v>891</v>
      </c>
      <c r="AT478">
        <v>2.492</v>
      </c>
      <c r="AU478">
        <v>5.1280000000000001</v>
      </c>
      <c r="AV478" t="s">
        <v>1758</v>
      </c>
      <c r="AW478" t="s">
        <v>1759</v>
      </c>
      <c r="AX478" t="s">
        <v>1760</v>
      </c>
    </row>
    <row r="479" spans="1:50" x14ac:dyDescent="0.25">
      <c r="A479" t="s">
        <v>1761</v>
      </c>
      <c r="B479" t="s">
        <v>1679</v>
      </c>
      <c r="C479">
        <v>0</v>
      </c>
      <c r="D479">
        <v>1</v>
      </c>
      <c r="E479" t="s">
        <v>1698</v>
      </c>
      <c r="H479">
        <v>0</v>
      </c>
      <c r="N479">
        <v>1</v>
      </c>
      <c r="Q479">
        <v>0</v>
      </c>
      <c r="R479">
        <v>0</v>
      </c>
      <c r="U479" t="s">
        <v>1687</v>
      </c>
      <c r="W479" t="s">
        <v>1688</v>
      </c>
      <c r="Y479">
        <v>0</v>
      </c>
      <c r="Z479">
        <v>99.79</v>
      </c>
      <c r="AB479" t="s">
        <v>56</v>
      </c>
      <c r="AD479" t="s">
        <v>57</v>
      </c>
      <c r="AE479">
        <v>0</v>
      </c>
      <c r="AF479">
        <v>6</v>
      </c>
      <c r="AG479">
        <v>1</v>
      </c>
      <c r="AH479">
        <v>1.5</v>
      </c>
      <c r="AI479">
        <v>512</v>
      </c>
      <c r="AJ479">
        <v>512</v>
      </c>
      <c r="AK479">
        <v>72</v>
      </c>
      <c r="AL479" t="s">
        <v>119</v>
      </c>
      <c r="AM479">
        <v>2.2000000000000002</v>
      </c>
      <c r="AN479" t="s">
        <v>996</v>
      </c>
      <c r="AO479" t="s">
        <v>67</v>
      </c>
      <c r="AP479" t="s">
        <v>68</v>
      </c>
      <c r="AQ479">
        <v>15</v>
      </c>
      <c r="AR479">
        <v>42</v>
      </c>
      <c r="AS479">
        <v>84</v>
      </c>
      <c r="AT479">
        <v>4.2</v>
      </c>
      <c r="AU479">
        <v>6.9720000000000004</v>
      </c>
      <c r="AV479" t="s">
        <v>1762</v>
      </c>
      <c r="AW479" t="s">
        <v>1763</v>
      </c>
      <c r="AX479" t="s">
        <v>1764</v>
      </c>
    </row>
    <row r="480" spans="1:50" x14ac:dyDescent="0.25">
      <c r="A480" t="s">
        <v>1765</v>
      </c>
      <c r="B480" t="s">
        <v>1679</v>
      </c>
      <c r="C480">
        <v>0</v>
      </c>
      <c r="D480">
        <v>0</v>
      </c>
      <c r="E480" t="s">
        <v>1725</v>
      </c>
      <c r="H480">
        <v>0</v>
      </c>
      <c r="N480">
        <v>0</v>
      </c>
      <c r="Q480">
        <v>0</v>
      </c>
      <c r="R480">
        <v>1</v>
      </c>
      <c r="U480" t="s">
        <v>65</v>
      </c>
      <c r="V480">
        <v>28</v>
      </c>
      <c r="W480" t="s">
        <v>1726</v>
      </c>
      <c r="X480" t="s">
        <v>80</v>
      </c>
      <c r="Y480">
        <v>0</v>
      </c>
      <c r="Z480">
        <v>84</v>
      </c>
      <c r="AB480" t="s">
        <v>118</v>
      </c>
      <c r="AD480" t="s">
        <v>57</v>
      </c>
      <c r="AE480">
        <v>0</v>
      </c>
      <c r="AF480">
        <v>6</v>
      </c>
      <c r="AG480">
        <v>1</v>
      </c>
      <c r="AH480">
        <v>1.5</v>
      </c>
      <c r="AI480">
        <v>432</v>
      </c>
      <c r="AJ480">
        <v>432</v>
      </c>
      <c r="AK480">
        <v>64</v>
      </c>
      <c r="AL480" t="s">
        <v>1766</v>
      </c>
      <c r="AM480">
        <v>2.5</v>
      </c>
      <c r="AN480" t="s">
        <v>1531</v>
      </c>
      <c r="AO480" t="s">
        <v>1155</v>
      </c>
      <c r="AP480" t="s">
        <v>1767</v>
      </c>
      <c r="AQ480">
        <v>11</v>
      </c>
      <c r="AR480">
        <v>76.260000000000005</v>
      </c>
      <c r="AS480">
        <v>132.62</v>
      </c>
      <c r="AT480">
        <v>2.59</v>
      </c>
      <c r="AU480">
        <v>5.1898999999999997</v>
      </c>
      <c r="AV480" t="s">
        <v>1768</v>
      </c>
      <c r="AW480" t="s">
        <v>1769</v>
      </c>
      <c r="AX480" t="s">
        <v>1770</v>
      </c>
    </row>
    <row r="481" spans="1:50" x14ac:dyDescent="0.25">
      <c r="A481" t="s">
        <v>1771</v>
      </c>
      <c r="B481" t="s">
        <v>1679</v>
      </c>
      <c r="C481">
        <v>0</v>
      </c>
      <c r="D481">
        <v>1</v>
      </c>
      <c r="E481" t="s">
        <v>1725</v>
      </c>
      <c r="H481">
        <v>0</v>
      </c>
      <c r="N481">
        <v>1</v>
      </c>
      <c r="Q481">
        <v>0</v>
      </c>
      <c r="R481">
        <v>1</v>
      </c>
      <c r="U481" t="s">
        <v>1687</v>
      </c>
      <c r="V481">
        <v>55</v>
      </c>
      <c r="W481" t="s">
        <v>79</v>
      </c>
      <c r="X481" t="s">
        <v>80</v>
      </c>
      <c r="Y481">
        <v>0</v>
      </c>
      <c r="Z481">
        <v>98</v>
      </c>
      <c r="AB481" t="s">
        <v>56</v>
      </c>
      <c r="AD481" t="s">
        <v>57</v>
      </c>
      <c r="AE481">
        <v>0</v>
      </c>
      <c r="AF481">
        <v>6</v>
      </c>
      <c r="AG481">
        <v>1</v>
      </c>
      <c r="AH481">
        <v>1.5</v>
      </c>
      <c r="AI481">
        <v>512</v>
      </c>
      <c r="AJ481">
        <v>512</v>
      </c>
      <c r="AK481">
        <v>180</v>
      </c>
      <c r="AL481" t="s">
        <v>1010</v>
      </c>
      <c r="AM481">
        <v>2</v>
      </c>
      <c r="AN481" t="s">
        <v>1154</v>
      </c>
      <c r="AO481" t="s">
        <v>1155</v>
      </c>
      <c r="AP481" t="s">
        <v>1305</v>
      </c>
      <c r="AQ481">
        <v>11</v>
      </c>
      <c r="AR481">
        <v>732</v>
      </c>
      <c r="AS481">
        <v>1272</v>
      </c>
      <c r="AT481">
        <v>2.8140000000000001</v>
      </c>
      <c r="AU481">
        <v>5.4090999999999996</v>
      </c>
      <c r="AV481" t="s">
        <v>1772</v>
      </c>
      <c r="AW481" t="s">
        <v>1773</v>
      </c>
      <c r="AX481" t="s">
        <v>1774</v>
      </c>
    </row>
    <row r="482" spans="1:50" x14ac:dyDescent="0.25">
      <c r="A482" t="s">
        <v>1775</v>
      </c>
      <c r="B482" t="s">
        <v>1679</v>
      </c>
      <c r="C482">
        <v>0</v>
      </c>
      <c r="D482">
        <v>0</v>
      </c>
      <c r="E482" t="s">
        <v>1686</v>
      </c>
      <c r="H482">
        <v>0</v>
      </c>
      <c r="N482">
        <v>1</v>
      </c>
      <c r="Q482">
        <v>0</v>
      </c>
      <c r="R482">
        <v>0</v>
      </c>
      <c r="U482" t="s">
        <v>1687</v>
      </c>
      <c r="V482">
        <v>66</v>
      </c>
      <c r="X482" t="s">
        <v>80</v>
      </c>
      <c r="Y482">
        <v>0</v>
      </c>
      <c r="Z482">
        <v>109.32</v>
      </c>
      <c r="AB482" t="s">
        <v>269</v>
      </c>
      <c r="AD482" t="s">
        <v>57</v>
      </c>
      <c r="AE482">
        <v>0</v>
      </c>
      <c r="AF482">
        <v>6</v>
      </c>
      <c r="AG482">
        <v>1</v>
      </c>
      <c r="AH482">
        <v>1.5</v>
      </c>
      <c r="AI482">
        <v>512</v>
      </c>
      <c r="AJ482">
        <v>512</v>
      </c>
      <c r="AK482">
        <v>80</v>
      </c>
      <c r="AL482" t="s">
        <v>153</v>
      </c>
      <c r="AM482">
        <v>2</v>
      </c>
      <c r="AN482" t="s">
        <v>996</v>
      </c>
      <c r="AO482" t="s">
        <v>67</v>
      </c>
      <c r="AP482" t="s">
        <v>68</v>
      </c>
      <c r="AQ482">
        <v>15</v>
      </c>
      <c r="AR482">
        <v>42</v>
      </c>
      <c r="AS482">
        <v>84</v>
      </c>
      <c r="AT482">
        <v>4.2</v>
      </c>
      <c r="AU482">
        <v>7.02</v>
      </c>
      <c r="AV482" t="s">
        <v>1776</v>
      </c>
      <c r="AW482" t="s">
        <v>1777</v>
      </c>
      <c r="AX482" t="s">
        <v>1778</v>
      </c>
    </row>
    <row r="483" spans="1:50" x14ac:dyDescent="0.25">
      <c r="A483" t="s">
        <v>1779</v>
      </c>
      <c r="B483" t="s">
        <v>1679</v>
      </c>
      <c r="C483">
        <v>0</v>
      </c>
      <c r="D483">
        <v>0</v>
      </c>
      <c r="E483" t="s">
        <v>1780</v>
      </c>
      <c r="H483">
        <v>1</v>
      </c>
      <c r="N483">
        <v>0</v>
      </c>
      <c r="Q483">
        <v>0</v>
      </c>
      <c r="R483">
        <v>0</v>
      </c>
      <c r="U483" t="s">
        <v>65</v>
      </c>
      <c r="V483">
        <v>30</v>
      </c>
      <c r="W483" t="s">
        <v>1726</v>
      </c>
      <c r="X483" t="s">
        <v>80</v>
      </c>
      <c r="Y483">
        <v>0</v>
      </c>
      <c r="AD483" t="s">
        <v>57</v>
      </c>
      <c r="AE483">
        <v>1</v>
      </c>
      <c r="AF483">
        <v>6</v>
      </c>
      <c r="AG483">
        <v>1</v>
      </c>
      <c r="AH483">
        <v>3</v>
      </c>
      <c r="AI483">
        <v>384</v>
      </c>
      <c r="AJ483">
        <v>384</v>
      </c>
      <c r="AK483">
        <v>72</v>
      </c>
      <c r="AL483" t="s">
        <v>1394</v>
      </c>
      <c r="AM483">
        <v>2.5</v>
      </c>
      <c r="AN483" t="s">
        <v>1114</v>
      </c>
      <c r="AO483" t="s">
        <v>59</v>
      </c>
      <c r="AP483" t="s">
        <v>1781</v>
      </c>
      <c r="AQ483">
        <v>11</v>
      </c>
      <c r="AR483">
        <v>54</v>
      </c>
      <c r="AS483">
        <v>146</v>
      </c>
      <c r="AT483">
        <v>1.37</v>
      </c>
      <c r="AU483">
        <v>4.32</v>
      </c>
      <c r="AV483" t="s">
        <v>1782</v>
      </c>
      <c r="AW483" t="s">
        <v>1783</v>
      </c>
      <c r="AX483" t="s">
        <v>1784</v>
      </c>
    </row>
    <row r="484" spans="1:50" x14ac:dyDescent="0.25">
      <c r="A484" t="s">
        <v>1785</v>
      </c>
      <c r="B484" t="s">
        <v>1679</v>
      </c>
      <c r="C484">
        <v>0</v>
      </c>
      <c r="D484">
        <v>1</v>
      </c>
      <c r="E484" t="s">
        <v>1740</v>
      </c>
      <c r="H484">
        <v>1</v>
      </c>
      <c r="N484">
        <v>1</v>
      </c>
      <c r="Q484">
        <v>1</v>
      </c>
      <c r="R484">
        <v>1</v>
      </c>
      <c r="U484" t="s">
        <v>1735</v>
      </c>
      <c r="V484">
        <v>37</v>
      </c>
      <c r="W484" t="s">
        <v>1688</v>
      </c>
      <c r="X484" t="s">
        <v>80</v>
      </c>
      <c r="Y484">
        <v>0</v>
      </c>
      <c r="AD484" t="s">
        <v>57</v>
      </c>
      <c r="AE484">
        <v>0</v>
      </c>
      <c r="AF484">
        <v>6</v>
      </c>
      <c r="AG484">
        <v>1</v>
      </c>
      <c r="AH484">
        <v>3</v>
      </c>
      <c r="AI484">
        <v>512</v>
      </c>
      <c r="AJ484">
        <v>512</v>
      </c>
      <c r="AK484">
        <v>134</v>
      </c>
      <c r="AL484" t="s">
        <v>81</v>
      </c>
      <c r="AM484">
        <v>2.4</v>
      </c>
      <c r="AN484" t="s">
        <v>1786</v>
      </c>
      <c r="AO484" t="s">
        <v>67</v>
      </c>
      <c r="AP484" t="s">
        <v>68</v>
      </c>
      <c r="AQ484">
        <v>15</v>
      </c>
      <c r="AR484">
        <v>392</v>
      </c>
      <c r="AS484">
        <v>784</v>
      </c>
      <c r="AT484">
        <v>4.25</v>
      </c>
      <c r="AU484">
        <v>7.8849999999999998</v>
      </c>
      <c r="AV484" t="s">
        <v>1787</v>
      </c>
      <c r="AW484" t="s">
        <v>1788</v>
      </c>
      <c r="AX484" t="s">
        <v>1789</v>
      </c>
    </row>
    <row r="485" spans="1:50" x14ac:dyDescent="0.25">
      <c r="A485" t="s">
        <v>1790</v>
      </c>
      <c r="B485" t="s">
        <v>1679</v>
      </c>
      <c r="C485">
        <v>0</v>
      </c>
      <c r="D485">
        <v>0</v>
      </c>
      <c r="E485" t="s">
        <v>1791</v>
      </c>
      <c r="H485">
        <v>0</v>
      </c>
      <c r="N485">
        <v>1</v>
      </c>
      <c r="Q485">
        <v>1</v>
      </c>
      <c r="R485">
        <v>0</v>
      </c>
      <c r="U485" t="s">
        <v>1735</v>
      </c>
      <c r="V485">
        <v>57</v>
      </c>
      <c r="W485" t="s">
        <v>79</v>
      </c>
      <c r="X485" t="s">
        <v>80</v>
      </c>
      <c r="Y485">
        <v>0</v>
      </c>
      <c r="Z485">
        <v>86.980883935799994</v>
      </c>
      <c r="AB485" t="s">
        <v>118</v>
      </c>
      <c r="AD485" t="s">
        <v>57</v>
      </c>
      <c r="AE485">
        <v>1</v>
      </c>
      <c r="AF485">
        <v>6</v>
      </c>
      <c r="AG485">
        <v>1</v>
      </c>
      <c r="AH485">
        <v>1.5</v>
      </c>
      <c r="AI485">
        <v>384</v>
      </c>
      <c r="AJ485">
        <v>384</v>
      </c>
      <c r="AK485">
        <v>160</v>
      </c>
      <c r="AL485" t="s">
        <v>1034</v>
      </c>
      <c r="AM485">
        <v>1.2999999523000001</v>
      </c>
      <c r="AN485" t="s">
        <v>1720</v>
      </c>
      <c r="AO485" t="s">
        <v>59</v>
      </c>
      <c r="AP485" t="s">
        <v>60</v>
      </c>
      <c r="AQ485">
        <v>11</v>
      </c>
      <c r="AR485">
        <v>263</v>
      </c>
      <c r="AS485">
        <v>434</v>
      </c>
      <c r="AT485">
        <v>1.51</v>
      </c>
      <c r="AU485">
        <v>4.99</v>
      </c>
      <c r="AV485" t="s">
        <v>1792</v>
      </c>
      <c r="AW485" t="s">
        <v>1793</v>
      </c>
      <c r="AX485" t="s">
        <v>1794</v>
      </c>
    </row>
    <row r="486" spans="1:50" x14ac:dyDescent="0.25">
      <c r="A486" t="s">
        <v>1795</v>
      </c>
      <c r="B486" t="s">
        <v>1679</v>
      </c>
      <c r="C486">
        <v>0</v>
      </c>
      <c r="D486">
        <v>1</v>
      </c>
      <c r="E486" t="s">
        <v>1698</v>
      </c>
      <c r="H486">
        <v>0</v>
      </c>
      <c r="N486">
        <v>1</v>
      </c>
      <c r="Q486">
        <v>0</v>
      </c>
      <c r="R486">
        <v>0</v>
      </c>
      <c r="U486" t="s">
        <v>1687</v>
      </c>
      <c r="V486">
        <v>46</v>
      </c>
      <c r="W486" t="s">
        <v>1688</v>
      </c>
      <c r="X486" t="s">
        <v>80</v>
      </c>
      <c r="Y486">
        <v>1</v>
      </c>
      <c r="AD486" t="s">
        <v>57</v>
      </c>
      <c r="AE486">
        <v>0</v>
      </c>
      <c r="AF486">
        <v>6</v>
      </c>
      <c r="AG486">
        <v>1</v>
      </c>
      <c r="AH486">
        <v>1.5</v>
      </c>
      <c r="AI486">
        <v>512</v>
      </c>
      <c r="AJ486">
        <v>512</v>
      </c>
      <c r="AK486">
        <v>64</v>
      </c>
      <c r="AL486" t="s">
        <v>153</v>
      </c>
      <c r="AM486">
        <v>2.5</v>
      </c>
      <c r="AN486" t="s">
        <v>1705</v>
      </c>
      <c r="AO486" t="s">
        <v>67</v>
      </c>
      <c r="AP486" t="s">
        <v>89</v>
      </c>
      <c r="AQ486">
        <v>15</v>
      </c>
      <c r="AR486">
        <v>322</v>
      </c>
      <c r="AS486">
        <v>645</v>
      </c>
      <c r="AT486">
        <v>2.548</v>
      </c>
      <c r="AU486">
        <v>5.49</v>
      </c>
      <c r="AV486" t="s">
        <v>1796</v>
      </c>
      <c r="AW486" t="s">
        <v>1797</v>
      </c>
      <c r="AX486" t="s">
        <v>1798</v>
      </c>
    </row>
    <row r="487" spans="1:50" x14ac:dyDescent="0.25">
      <c r="A487" t="s">
        <v>1799</v>
      </c>
      <c r="B487" t="s">
        <v>1679</v>
      </c>
      <c r="C487">
        <v>0</v>
      </c>
      <c r="D487">
        <v>1</v>
      </c>
      <c r="E487" t="s">
        <v>1680</v>
      </c>
      <c r="H487">
        <v>0</v>
      </c>
      <c r="N487">
        <v>0</v>
      </c>
      <c r="Q487">
        <v>0</v>
      </c>
      <c r="R487">
        <v>1</v>
      </c>
      <c r="U487" t="s">
        <v>65</v>
      </c>
      <c r="V487">
        <v>34</v>
      </c>
      <c r="W487" t="s">
        <v>1688</v>
      </c>
      <c r="X487" t="s">
        <v>80</v>
      </c>
      <c r="Y487">
        <v>0</v>
      </c>
      <c r="Z487">
        <v>90.981569148099993</v>
      </c>
      <c r="AB487" t="s">
        <v>118</v>
      </c>
      <c r="AD487" t="s">
        <v>57</v>
      </c>
      <c r="AE487">
        <v>1</v>
      </c>
      <c r="AF487">
        <v>6</v>
      </c>
      <c r="AG487">
        <v>1</v>
      </c>
      <c r="AH487">
        <v>1.5</v>
      </c>
      <c r="AI487">
        <v>384</v>
      </c>
      <c r="AJ487">
        <v>384</v>
      </c>
      <c r="AK487">
        <v>176</v>
      </c>
      <c r="AL487" t="s">
        <v>1800</v>
      </c>
      <c r="AM487">
        <v>1.1000000238000001</v>
      </c>
      <c r="AN487" t="s">
        <v>1720</v>
      </c>
      <c r="AO487" t="s">
        <v>59</v>
      </c>
      <c r="AP487" t="s">
        <v>60</v>
      </c>
      <c r="AQ487">
        <v>11</v>
      </c>
      <c r="AR487">
        <v>186</v>
      </c>
      <c r="AS487">
        <v>438</v>
      </c>
      <c r="AT487">
        <v>1.52</v>
      </c>
      <c r="AU487">
        <v>4.1399999999999997</v>
      </c>
      <c r="AV487" t="s">
        <v>1801</v>
      </c>
      <c r="AW487" t="s">
        <v>1802</v>
      </c>
      <c r="AX487" t="s">
        <v>1803</v>
      </c>
    </row>
    <row r="488" spans="1:50" x14ac:dyDescent="0.25">
      <c r="A488" t="s">
        <v>1804</v>
      </c>
      <c r="B488" t="s">
        <v>1679</v>
      </c>
      <c r="C488">
        <v>0</v>
      </c>
      <c r="D488">
        <v>1</v>
      </c>
      <c r="E488" t="s">
        <v>1680</v>
      </c>
      <c r="H488">
        <v>0</v>
      </c>
      <c r="N488">
        <v>0</v>
      </c>
      <c r="Q488">
        <v>0</v>
      </c>
      <c r="R488">
        <v>1</v>
      </c>
      <c r="U488" t="s">
        <v>65</v>
      </c>
      <c r="V488">
        <v>42</v>
      </c>
      <c r="X488" t="s">
        <v>80</v>
      </c>
      <c r="Y488">
        <v>1</v>
      </c>
      <c r="Z488">
        <v>66.677999999999997</v>
      </c>
      <c r="AB488" t="s">
        <v>74</v>
      </c>
      <c r="AD488" t="s">
        <v>57</v>
      </c>
      <c r="AE488">
        <v>0</v>
      </c>
      <c r="AF488">
        <v>6</v>
      </c>
      <c r="AG488">
        <v>1</v>
      </c>
      <c r="AH488">
        <v>1.5</v>
      </c>
      <c r="AI488">
        <v>512</v>
      </c>
      <c r="AJ488">
        <v>512</v>
      </c>
      <c r="AK488">
        <v>72</v>
      </c>
      <c r="AL488" t="s">
        <v>119</v>
      </c>
      <c r="AM488">
        <v>2.2000000000000002</v>
      </c>
      <c r="AN488" t="s">
        <v>1072</v>
      </c>
      <c r="AO488" t="s">
        <v>67</v>
      </c>
      <c r="AP488" t="s">
        <v>68</v>
      </c>
      <c r="AQ488">
        <v>15</v>
      </c>
      <c r="AR488">
        <v>284</v>
      </c>
      <c r="AS488">
        <v>568</v>
      </c>
      <c r="AT488">
        <v>4.2359999999999998</v>
      </c>
      <c r="AU488">
        <v>8.6679999999999993</v>
      </c>
      <c r="AV488" t="s">
        <v>1805</v>
      </c>
      <c r="AW488" t="s">
        <v>1806</v>
      </c>
      <c r="AX488" t="s">
        <v>1807</v>
      </c>
    </row>
    <row r="489" spans="1:50" x14ac:dyDescent="0.25">
      <c r="A489" t="s">
        <v>1808</v>
      </c>
      <c r="B489" t="s">
        <v>1679</v>
      </c>
      <c r="C489">
        <v>0</v>
      </c>
      <c r="D489">
        <v>0</v>
      </c>
      <c r="E489" t="s">
        <v>1698</v>
      </c>
      <c r="H489">
        <v>0</v>
      </c>
      <c r="N489">
        <v>1</v>
      </c>
      <c r="Q489">
        <v>0</v>
      </c>
      <c r="R489">
        <v>0</v>
      </c>
      <c r="U489" t="s">
        <v>1687</v>
      </c>
      <c r="V489">
        <v>55</v>
      </c>
      <c r="X489" t="s">
        <v>80</v>
      </c>
      <c r="Y489">
        <v>0</v>
      </c>
      <c r="Z489">
        <v>77.111000000000004</v>
      </c>
      <c r="AB489" t="s">
        <v>94</v>
      </c>
      <c r="AD489" t="s">
        <v>57</v>
      </c>
      <c r="AE489">
        <v>0</v>
      </c>
      <c r="AF489">
        <v>6</v>
      </c>
      <c r="AG489">
        <v>1</v>
      </c>
      <c r="AH489">
        <v>1.5</v>
      </c>
      <c r="AI489">
        <v>512</v>
      </c>
      <c r="AJ489">
        <v>512</v>
      </c>
      <c r="AK489">
        <v>72</v>
      </c>
      <c r="AL489" t="s">
        <v>119</v>
      </c>
      <c r="AM489">
        <v>2.2000000000000002</v>
      </c>
      <c r="AN489" t="s">
        <v>1072</v>
      </c>
      <c r="AO489" t="s">
        <v>67</v>
      </c>
      <c r="AP489" t="s">
        <v>68</v>
      </c>
      <c r="AQ489">
        <v>15</v>
      </c>
      <c r="AR489">
        <v>160</v>
      </c>
      <c r="AS489">
        <v>321</v>
      </c>
      <c r="AT489">
        <v>4.2359999999999998</v>
      </c>
      <c r="AU489">
        <v>8.6679999999999993</v>
      </c>
      <c r="AV489" t="s">
        <v>1809</v>
      </c>
      <c r="AW489" t="s">
        <v>1810</v>
      </c>
      <c r="AX489" t="s">
        <v>1811</v>
      </c>
    </row>
    <row r="490" spans="1:50" x14ac:dyDescent="0.25">
      <c r="A490" t="s">
        <v>1812</v>
      </c>
      <c r="B490" t="s">
        <v>1679</v>
      </c>
      <c r="C490">
        <v>0</v>
      </c>
      <c r="D490">
        <v>1</v>
      </c>
      <c r="E490" t="s">
        <v>1703</v>
      </c>
      <c r="H490">
        <v>0</v>
      </c>
      <c r="N490">
        <v>0</v>
      </c>
      <c r="Q490">
        <v>0</v>
      </c>
      <c r="R490">
        <v>1</v>
      </c>
      <c r="U490" t="s">
        <v>65</v>
      </c>
      <c r="V490">
        <v>39</v>
      </c>
      <c r="W490" t="s">
        <v>1688</v>
      </c>
      <c r="X490" t="s">
        <v>80</v>
      </c>
      <c r="Y490">
        <v>0</v>
      </c>
      <c r="Z490">
        <v>83.915000000000006</v>
      </c>
      <c r="AB490" t="s">
        <v>118</v>
      </c>
      <c r="AD490" t="s">
        <v>57</v>
      </c>
      <c r="AE490">
        <v>0</v>
      </c>
      <c r="AF490">
        <v>6</v>
      </c>
      <c r="AG490">
        <v>1</v>
      </c>
      <c r="AH490">
        <v>1.5</v>
      </c>
      <c r="AI490">
        <v>512</v>
      </c>
      <c r="AJ490">
        <v>512</v>
      </c>
      <c r="AK490">
        <v>80</v>
      </c>
      <c r="AL490" t="s">
        <v>240</v>
      </c>
      <c r="AM490">
        <v>2.2000000000000002</v>
      </c>
      <c r="AN490" t="s">
        <v>996</v>
      </c>
      <c r="AO490" t="s">
        <v>67</v>
      </c>
      <c r="AP490" t="s">
        <v>68</v>
      </c>
      <c r="AQ490">
        <v>15</v>
      </c>
      <c r="AR490">
        <v>91</v>
      </c>
      <c r="AS490">
        <v>182</v>
      </c>
      <c r="AT490">
        <v>4.2</v>
      </c>
      <c r="AU490">
        <v>7</v>
      </c>
      <c r="AV490" t="s">
        <v>1813</v>
      </c>
      <c r="AW490" t="s">
        <v>1814</v>
      </c>
      <c r="AX490" t="s">
        <v>1815</v>
      </c>
    </row>
    <row r="491" spans="1:50" x14ac:dyDescent="0.25">
      <c r="A491" t="s">
        <v>1816</v>
      </c>
      <c r="B491" t="s">
        <v>1679</v>
      </c>
      <c r="C491">
        <v>0</v>
      </c>
      <c r="D491">
        <v>0</v>
      </c>
      <c r="E491" t="s">
        <v>1740</v>
      </c>
      <c r="H491">
        <v>1</v>
      </c>
      <c r="N491">
        <v>0</v>
      </c>
      <c r="Q491">
        <v>0</v>
      </c>
      <c r="R491">
        <v>1</v>
      </c>
      <c r="U491" t="s">
        <v>65</v>
      </c>
      <c r="V491">
        <v>33</v>
      </c>
      <c r="W491" t="s">
        <v>1726</v>
      </c>
      <c r="X491" t="s">
        <v>80</v>
      </c>
      <c r="Y491">
        <v>0</v>
      </c>
      <c r="AD491" t="s">
        <v>57</v>
      </c>
      <c r="AE491">
        <v>0</v>
      </c>
      <c r="AF491">
        <v>6</v>
      </c>
      <c r="AG491">
        <v>1</v>
      </c>
      <c r="AH491">
        <v>3</v>
      </c>
      <c r="AI491">
        <v>512</v>
      </c>
      <c r="AJ491">
        <v>512</v>
      </c>
      <c r="AK491">
        <v>134</v>
      </c>
      <c r="AL491" t="s">
        <v>81</v>
      </c>
      <c r="AM491">
        <v>2.4</v>
      </c>
      <c r="AN491" t="s">
        <v>1786</v>
      </c>
      <c r="AO491" t="s">
        <v>67</v>
      </c>
      <c r="AP491" t="s">
        <v>68</v>
      </c>
      <c r="AQ491">
        <v>15</v>
      </c>
      <c r="AR491">
        <v>329</v>
      </c>
      <c r="AS491">
        <v>659</v>
      </c>
      <c r="AT491">
        <v>4.25</v>
      </c>
      <c r="AU491">
        <v>7.8810000000000002</v>
      </c>
      <c r="AV491" t="s">
        <v>1817</v>
      </c>
      <c r="AW491" t="s">
        <v>1818</v>
      </c>
      <c r="AX491" t="s">
        <v>1819</v>
      </c>
    </row>
    <row r="492" spans="1:50" x14ac:dyDescent="0.25">
      <c r="A492" t="s">
        <v>1820</v>
      </c>
      <c r="B492" t="s">
        <v>1679</v>
      </c>
      <c r="C492">
        <v>0</v>
      </c>
      <c r="D492">
        <v>0</v>
      </c>
      <c r="E492" t="s">
        <v>1686</v>
      </c>
      <c r="H492">
        <v>1</v>
      </c>
      <c r="N492">
        <v>0</v>
      </c>
      <c r="Q492">
        <v>0</v>
      </c>
      <c r="R492">
        <v>1</v>
      </c>
      <c r="U492" t="s">
        <v>65</v>
      </c>
      <c r="V492">
        <v>50</v>
      </c>
      <c r="W492" t="s">
        <v>1688</v>
      </c>
      <c r="X492" t="s">
        <v>55</v>
      </c>
      <c r="Y492">
        <v>0</v>
      </c>
      <c r="Z492">
        <v>94.347224961600006</v>
      </c>
      <c r="AB492" t="s">
        <v>118</v>
      </c>
      <c r="AD492" t="s">
        <v>57</v>
      </c>
      <c r="AE492">
        <v>0</v>
      </c>
      <c r="AF492">
        <v>6</v>
      </c>
      <c r="AG492">
        <v>1</v>
      </c>
      <c r="AH492">
        <v>1.5</v>
      </c>
      <c r="AI492">
        <v>512</v>
      </c>
      <c r="AJ492">
        <v>512</v>
      </c>
      <c r="AK492">
        <v>80</v>
      </c>
      <c r="AL492" t="s">
        <v>1821</v>
      </c>
      <c r="AM492">
        <v>2</v>
      </c>
      <c r="AN492" t="s">
        <v>1011</v>
      </c>
      <c r="AO492" t="s">
        <v>59</v>
      </c>
      <c r="AP492" t="s">
        <v>60</v>
      </c>
      <c r="AQ492">
        <v>11</v>
      </c>
      <c r="AR492">
        <v>183</v>
      </c>
      <c r="AS492">
        <v>340</v>
      </c>
      <c r="AT492">
        <v>1.77</v>
      </c>
      <c r="AU492">
        <v>4.33</v>
      </c>
      <c r="AV492" t="s">
        <v>1822</v>
      </c>
      <c r="AW492" t="s">
        <v>1823</v>
      </c>
      <c r="AX492" t="s">
        <v>1824</v>
      </c>
    </row>
    <row r="493" spans="1:50" x14ac:dyDescent="0.25">
      <c r="A493" t="s">
        <v>1825</v>
      </c>
      <c r="B493" t="s">
        <v>1679</v>
      </c>
      <c r="C493">
        <v>0</v>
      </c>
      <c r="D493">
        <v>1</v>
      </c>
      <c r="E493" t="s">
        <v>1725</v>
      </c>
      <c r="H493">
        <v>0</v>
      </c>
      <c r="N493">
        <v>0</v>
      </c>
      <c r="Q493">
        <v>0</v>
      </c>
      <c r="R493">
        <v>1</v>
      </c>
      <c r="U493" t="s">
        <v>65</v>
      </c>
      <c r="V493">
        <v>44</v>
      </c>
      <c r="W493" t="s">
        <v>1704</v>
      </c>
      <c r="X493" t="s">
        <v>80</v>
      </c>
      <c r="Y493">
        <v>0</v>
      </c>
      <c r="Z493">
        <v>81.647000000000006</v>
      </c>
      <c r="AB493" t="s">
        <v>94</v>
      </c>
      <c r="AD493" t="s">
        <v>57</v>
      </c>
      <c r="AE493">
        <v>0</v>
      </c>
      <c r="AF493">
        <v>6</v>
      </c>
      <c r="AG493">
        <v>1</v>
      </c>
      <c r="AH493">
        <v>1.5</v>
      </c>
      <c r="AI493">
        <v>512</v>
      </c>
      <c r="AJ493">
        <v>512</v>
      </c>
      <c r="AK493">
        <v>72</v>
      </c>
      <c r="AL493" t="s">
        <v>119</v>
      </c>
      <c r="AM493">
        <v>2.2000000000000002</v>
      </c>
      <c r="AN493" t="s">
        <v>1072</v>
      </c>
      <c r="AO493" t="s">
        <v>67</v>
      </c>
      <c r="AP493" t="s">
        <v>68</v>
      </c>
      <c r="AQ493">
        <v>15</v>
      </c>
      <c r="AR493">
        <v>184</v>
      </c>
      <c r="AS493">
        <v>368</v>
      </c>
      <c r="AT493">
        <v>4.2359999999999998</v>
      </c>
      <c r="AU493">
        <v>8.6679999999999993</v>
      </c>
      <c r="AV493" t="s">
        <v>1826</v>
      </c>
      <c r="AW493" t="s">
        <v>1827</v>
      </c>
      <c r="AX493" t="s">
        <v>1828</v>
      </c>
    </row>
    <row r="494" spans="1:50" x14ac:dyDescent="0.25">
      <c r="A494" t="s">
        <v>1829</v>
      </c>
      <c r="B494" t="s">
        <v>1679</v>
      </c>
      <c r="C494">
        <v>0</v>
      </c>
      <c r="D494">
        <v>0</v>
      </c>
      <c r="E494" t="s">
        <v>1686</v>
      </c>
      <c r="H494">
        <v>0</v>
      </c>
      <c r="N494">
        <v>0</v>
      </c>
      <c r="Q494">
        <v>0</v>
      </c>
      <c r="R494">
        <v>1</v>
      </c>
      <c r="U494" t="s">
        <v>65</v>
      </c>
      <c r="V494">
        <v>39</v>
      </c>
      <c r="W494" t="s">
        <v>1688</v>
      </c>
      <c r="X494" t="s">
        <v>80</v>
      </c>
      <c r="Y494">
        <v>0</v>
      </c>
      <c r="Z494">
        <v>63.58</v>
      </c>
      <c r="AB494" t="s">
        <v>74</v>
      </c>
      <c r="AD494" t="s">
        <v>57</v>
      </c>
      <c r="AE494">
        <v>1</v>
      </c>
      <c r="AF494">
        <v>6</v>
      </c>
      <c r="AG494">
        <v>1</v>
      </c>
      <c r="AH494">
        <v>1.5</v>
      </c>
      <c r="AI494">
        <v>384</v>
      </c>
      <c r="AJ494">
        <v>384</v>
      </c>
      <c r="AK494">
        <v>176</v>
      </c>
      <c r="AL494" t="s">
        <v>1830</v>
      </c>
      <c r="AM494">
        <v>1.1000000238000001</v>
      </c>
      <c r="AN494" t="s">
        <v>1720</v>
      </c>
      <c r="AO494" t="s">
        <v>59</v>
      </c>
      <c r="AP494" t="s">
        <v>60</v>
      </c>
      <c r="AQ494">
        <v>11</v>
      </c>
      <c r="AR494">
        <v>69</v>
      </c>
      <c r="AS494">
        <v>174</v>
      </c>
      <c r="AT494">
        <v>1.53</v>
      </c>
      <c r="AU494">
        <v>4.16</v>
      </c>
      <c r="AV494" t="s">
        <v>1831</v>
      </c>
      <c r="AW494" t="s">
        <v>1832</v>
      </c>
      <c r="AX494" t="s">
        <v>1833</v>
      </c>
    </row>
    <row r="495" spans="1:50" x14ac:dyDescent="0.25">
      <c r="A495" t="s">
        <v>1834</v>
      </c>
      <c r="B495" t="s">
        <v>1679</v>
      </c>
      <c r="C495">
        <v>0</v>
      </c>
      <c r="D495">
        <v>0</v>
      </c>
      <c r="E495" t="s">
        <v>1680</v>
      </c>
      <c r="H495">
        <v>1</v>
      </c>
      <c r="N495">
        <v>1</v>
      </c>
      <c r="Q495">
        <v>0</v>
      </c>
      <c r="R495">
        <v>1</v>
      </c>
      <c r="U495" t="s">
        <v>1687</v>
      </c>
      <c r="V495">
        <v>57</v>
      </c>
      <c r="W495" t="s">
        <v>79</v>
      </c>
      <c r="X495" t="s">
        <v>80</v>
      </c>
      <c r="Y495">
        <v>0</v>
      </c>
      <c r="AD495" t="s">
        <v>57</v>
      </c>
      <c r="AE495">
        <v>1</v>
      </c>
      <c r="AF495">
        <v>6</v>
      </c>
      <c r="AG495">
        <v>1</v>
      </c>
      <c r="AH495">
        <v>1.5</v>
      </c>
      <c r="AI495">
        <v>384</v>
      </c>
      <c r="AJ495">
        <v>384</v>
      </c>
      <c r="AK495">
        <v>160</v>
      </c>
      <c r="AL495" t="s">
        <v>1835</v>
      </c>
      <c r="AM495">
        <v>1</v>
      </c>
      <c r="AN495" t="s">
        <v>1728</v>
      </c>
      <c r="AO495" t="s">
        <v>59</v>
      </c>
      <c r="AP495" t="s">
        <v>1729</v>
      </c>
      <c r="AQ495">
        <v>11</v>
      </c>
      <c r="AR495">
        <v>55</v>
      </c>
      <c r="AS495">
        <v>152</v>
      </c>
      <c r="AT495">
        <v>1.81</v>
      </c>
      <c r="AU495">
        <v>5.05</v>
      </c>
      <c r="AV495" t="s">
        <v>1787</v>
      </c>
      <c r="AW495" t="s">
        <v>1836</v>
      </c>
      <c r="AX495" t="s">
        <v>1837</v>
      </c>
    </row>
    <row r="496" spans="1:50" x14ac:dyDescent="0.25">
      <c r="A496" t="s">
        <v>1838</v>
      </c>
      <c r="B496" t="s">
        <v>1679</v>
      </c>
      <c r="C496">
        <v>0</v>
      </c>
      <c r="D496">
        <v>1</v>
      </c>
      <c r="E496" t="s">
        <v>1839</v>
      </c>
      <c r="H496">
        <v>1</v>
      </c>
      <c r="N496">
        <v>1</v>
      </c>
      <c r="Q496">
        <v>1</v>
      </c>
      <c r="R496">
        <v>1</v>
      </c>
      <c r="U496" t="s">
        <v>1735</v>
      </c>
      <c r="V496">
        <v>54</v>
      </c>
      <c r="W496" t="s">
        <v>79</v>
      </c>
      <c r="X496" t="s">
        <v>80</v>
      </c>
      <c r="Y496">
        <v>0</v>
      </c>
      <c r="Z496">
        <v>61</v>
      </c>
      <c r="AB496" t="s">
        <v>74</v>
      </c>
      <c r="AD496" t="s">
        <v>57</v>
      </c>
      <c r="AE496">
        <v>0</v>
      </c>
      <c r="AF496">
        <v>6</v>
      </c>
      <c r="AG496">
        <v>1</v>
      </c>
      <c r="AH496">
        <v>1.5</v>
      </c>
      <c r="AI496">
        <v>560</v>
      </c>
      <c r="AJ496">
        <v>560</v>
      </c>
      <c r="AK496">
        <v>160</v>
      </c>
      <c r="AL496" t="s">
        <v>1840</v>
      </c>
      <c r="AM496">
        <v>2</v>
      </c>
      <c r="AN496" t="s">
        <v>1154</v>
      </c>
      <c r="AO496" t="s">
        <v>1155</v>
      </c>
      <c r="AP496" t="s">
        <v>1305</v>
      </c>
      <c r="AQ496">
        <v>11</v>
      </c>
      <c r="AR496">
        <v>978</v>
      </c>
      <c r="AS496">
        <v>1701</v>
      </c>
      <c r="AT496">
        <v>2.657</v>
      </c>
      <c r="AU496">
        <v>5.3902999999999999</v>
      </c>
      <c r="AV496" t="s">
        <v>1841</v>
      </c>
      <c r="AW496" t="s">
        <v>1842</v>
      </c>
      <c r="AX496" t="s">
        <v>1843</v>
      </c>
    </row>
    <row r="497" spans="1:50" x14ac:dyDescent="0.25">
      <c r="A497" t="s">
        <v>1844</v>
      </c>
      <c r="B497" t="s">
        <v>1679</v>
      </c>
      <c r="C497">
        <v>0</v>
      </c>
      <c r="D497">
        <v>1</v>
      </c>
      <c r="E497" t="s">
        <v>1703</v>
      </c>
      <c r="H497">
        <v>0</v>
      </c>
      <c r="N497">
        <v>1</v>
      </c>
      <c r="Q497">
        <v>0</v>
      </c>
      <c r="R497">
        <v>0</v>
      </c>
      <c r="U497" t="s">
        <v>1687</v>
      </c>
      <c r="V497">
        <v>57</v>
      </c>
      <c r="W497" t="s">
        <v>79</v>
      </c>
      <c r="X497" t="s">
        <v>80</v>
      </c>
      <c r="Y497">
        <v>0</v>
      </c>
      <c r="Z497">
        <v>66.680000000000007</v>
      </c>
      <c r="AB497" t="s">
        <v>74</v>
      </c>
      <c r="AD497" t="s">
        <v>57</v>
      </c>
      <c r="AE497">
        <v>0</v>
      </c>
      <c r="AF497">
        <v>6</v>
      </c>
      <c r="AG497">
        <v>1</v>
      </c>
      <c r="AH497">
        <v>3</v>
      </c>
      <c r="AI497">
        <v>512</v>
      </c>
      <c r="AJ497">
        <v>512</v>
      </c>
      <c r="AK497">
        <v>134</v>
      </c>
      <c r="AL497" t="s">
        <v>119</v>
      </c>
      <c r="AM497">
        <v>2.4</v>
      </c>
      <c r="AN497" t="s">
        <v>1786</v>
      </c>
      <c r="AO497" t="s">
        <v>67</v>
      </c>
      <c r="AP497" t="s">
        <v>1845</v>
      </c>
      <c r="AQ497">
        <v>15</v>
      </c>
      <c r="AR497">
        <v>570</v>
      </c>
      <c r="AS497">
        <v>1140</v>
      </c>
      <c r="AT497">
        <v>4.66</v>
      </c>
      <c r="AU497">
        <v>8.8879999999999999</v>
      </c>
      <c r="AV497" t="s">
        <v>1846</v>
      </c>
      <c r="AW497" t="s">
        <v>1847</v>
      </c>
      <c r="AX497" t="s">
        <v>1848</v>
      </c>
    </row>
    <row r="498" spans="1:50" x14ac:dyDescent="0.25">
      <c r="A498" t="s">
        <v>1849</v>
      </c>
      <c r="B498" t="s">
        <v>1679</v>
      </c>
      <c r="C498">
        <v>0</v>
      </c>
      <c r="D498">
        <v>1</v>
      </c>
      <c r="E498" t="s">
        <v>1680</v>
      </c>
      <c r="H498">
        <v>0</v>
      </c>
      <c r="N498">
        <v>0</v>
      </c>
      <c r="Q498">
        <v>0</v>
      </c>
      <c r="R498">
        <v>0</v>
      </c>
      <c r="U498" t="s">
        <v>65</v>
      </c>
      <c r="V498">
        <v>45</v>
      </c>
      <c r="W498" t="s">
        <v>1688</v>
      </c>
      <c r="X498" t="s">
        <v>80</v>
      </c>
      <c r="Y498">
        <v>0</v>
      </c>
      <c r="Z498">
        <v>61.689</v>
      </c>
      <c r="AB498" t="s">
        <v>74</v>
      </c>
      <c r="AD498" t="s">
        <v>57</v>
      </c>
      <c r="AE498">
        <v>0</v>
      </c>
      <c r="AF498">
        <v>6</v>
      </c>
      <c r="AG498">
        <v>1</v>
      </c>
      <c r="AH498">
        <v>1.5</v>
      </c>
      <c r="AI498">
        <v>512</v>
      </c>
      <c r="AJ498">
        <v>512</v>
      </c>
      <c r="AK498">
        <v>80</v>
      </c>
      <c r="AL498" t="s">
        <v>497</v>
      </c>
      <c r="AM498">
        <v>2</v>
      </c>
      <c r="AN498" t="s">
        <v>996</v>
      </c>
      <c r="AO498" t="s">
        <v>67</v>
      </c>
      <c r="AP498" t="s">
        <v>68</v>
      </c>
      <c r="AQ498">
        <v>15</v>
      </c>
      <c r="AR498">
        <v>160</v>
      </c>
      <c r="AS498">
        <v>320</v>
      </c>
      <c r="AT498">
        <v>4.2</v>
      </c>
      <c r="AU498">
        <v>7.0359999999999996</v>
      </c>
      <c r="AV498" t="s">
        <v>1850</v>
      </c>
      <c r="AW498" t="s">
        <v>1851</v>
      </c>
      <c r="AX498" t="s">
        <v>1852</v>
      </c>
    </row>
    <row r="499" spans="1:50" x14ac:dyDescent="0.25">
      <c r="A499" t="s">
        <v>1853</v>
      </c>
      <c r="B499" t="s">
        <v>1679</v>
      </c>
      <c r="C499">
        <v>0</v>
      </c>
      <c r="D499">
        <v>0</v>
      </c>
      <c r="E499" t="s">
        <v>1791</v>
      </c>
      <c r="H499">
        <v>0</v>
      </c>
      <c r="N499">
        <v>0</v>
      </c>
      <c r="Q499">
        <v>1</v>
      </c>
      <c r="R499">
        <v>0</v>
      </c>
      <c r="U499" t="s">
        <v>72</v>
      </c>
      <c r="V499">
        <v>71</v>
      </c>
      <c r="W499" t="s">
        <v>79</v>
      </c>
      <c r="X499" t="s">
        <v>111</v>
      </c>
      <c r="Y499">
        <v>0</v>
      </c>
      <c r="AD499" t="s">
        <v>57</v>
      </c>
      <c r="AE499">
        <v>1</v>
      </c>
      <c r="AF499">
        <v>6</v>
      </c>
      <c r="AG499">
        <v>1</v>
      </c>
      <c r="AH499">
        <v>1.5</v>
      </c>
      <c r="AI499">
        <v>384</v>
      </c>
      <c r="AJ499">
        <v>384</v>
      </c>
      <c r="AK499">
        <v>160</v>
      </c>
      <c r="AL499" t="s">
        <v>1835</v>
      </c>
      <c r="AM499">
        <v>1</v>
      </c>
      <c r="AN499" t="s">
        <v>1728</v>
      </c>
      <c r="AO499" t="s">
        <v>59</v>
      </c>
      <c r="AP499" t="s">
        <v>1729</v>
      </c>
      <c r="AQ499">
        <v>11</v>
      </c>
      <c r="AR499">
        <v>43</v>
      </c>
      <c r="AS499">
        <v>118</v>
      </c>
      <c r="AT499">
        <v>1.81</v>
      </c>
      <c r="AU499">
        <v>5.05</v>
      </c>
      <c r="AV499" t="s">
        <v>1787</v>
      </c>
      <c r="AW499" t="s">
        <v>1854</v>
      </c>
      <c r="AX499" t="s">
        <v>1855</v>
      </c>
    </row>
    <row r="500" spans="1:50" x14ac:dyDescent="0.25">
      <c r="A500" t="s">
        <v>1856</v>
      </c>
      <c r="B500" t="s">
        <v>1679</v>
      </c>
      <c r="C500">
        <v>0</v>
      </c>
      <c r="D500">
        <v>1</v>
      </c>
      <c r="E500" t="s">
        <v>1839</v>
      </c>
      <c r="H500">
        <v>1</v>
      </c>
      <c r="N500">
        <v>0</v>
      </c>
      <c r="Q500">
        <v>1</v>
      </c>
      <c r="R500">
        <v>1</v>
      </c>
      <c r="U500" t="s">
        <v>72</v>
      </c>
      <c r="V500">
        <v>48</v>
      </c>
      <c r="W500" t="s">
        <v>1688</v>
      </c>
      <c r="X500" t="s">
        <v>80</v>
      </c>
      <c r="Y500">
        <v>0</v>
      </c>
      <c r="AD500" t="s">
        <v>57</v>
      </c>
      <c r="AE500">
        <v>0</v>
      </c>
      <c r="AF500">
        <v>6</v>
      </c>
      <c r="AG500">
        <v>1</v>
      </c>
      <c r="AH500">
        <v>1.5</v>
      </c>
      <c r="AI500">
        <v>512</v>
      </c>
      <c r="AJ500">
        <v>512</v>
      </c>
      <c r="AK500">
        <v>80</v>
      </c>
      <c r="AL500" t="s">
        <v>153</v>
      </c>
      <c r="AM500">
        <v>2</v>
      </c>
      <c r="AN500" t="s">
        <v>1681</v>
      </c>
      <c r="AO500" t="s">
        <v>67</v>
      </c>
      <c r="AP500" t="s">
        <v>68</v>
      </c>
      <c r="AQ500">
        <v>15</v>
      </c>
      <c r="AR500">
        <v>248</v>
      </c>
      <c r="AS500">
        <v>496</v>
      </c>
      <c r="AT500">
        <v>2.62</v>
      </c>
      <c r="AU500">
        <v>5.8380000000000001</v>
      </c>
      <c r="AV500" t="s">
        <v>1857</v>
      </c>
      <c r="AW500" t="s">
        <v>1858</v>
      </c>
      <c r="AX500" t="s">
        <v>1859</v>
      </c>
    </row>
    <row r="501" spans="1:50" x14ac:dyDescent="0.25">
      <c r="A501" t="s">
        <v>1860</v>
      </c>
      <c r="B501" t="s">
        <v>1679</v>
      </c>
      <c r="C501">
        <v>0</v>
      </c>
      <c r="D501">
        <v>0</v>
      </c>
      <c r="E501" t="s">
        <v>1686</v>
      </c>
      <c r="H501">
        <v>0</v>
      </c>
      <c r="N501">
        <v>1</v>
      </c>
      <c r="Q501">
        <v>0</v>
      </c>
      <c r="R501">
        <v>0</v>
      </c>
      <c r="U501" t="s">
        <v>1687</v>
      </c>
      <c r="V501">
        <v>49</v>
      </c>
      <c r="W501" t="s">
        <v>1704</v>
      </c>
      <c r="X501" t="s">
        <v>80</v>
      </c>
      <c r="Y501">
        <v>0</v>
      </c>
      <c r="Z501">
        <v>58.967015601</v>
      </c>
      <c r="AA501">
        <v>1.6002032024999999</v>
      </c>
      <c r="AB501" t="s">
        <v>74</v>
      </c>
      <c r="AD501" t="s">
        <v>57</v>
      </c>
      <c r="AE501">
        <v>0</v>
      </c>
      <c r="AF501">
        <v>6</v>
      </c>
      <c r="AG501">
        <v>1</v>
      </c>
      <c r="AH501">
        <v>3</v>
      </c>
      <c r="AI501">
        <v>512</v>
      </c>
      <c r="AJ501">
        <v>512</v>
      </c>
      <c r="AK501">
        <v>124</v>
      </c>
      <c r="AL501" t="s">
        <v>1861</v>
      </c>
      <c r="AM501">
        <v>1.2999999523000001</v>
      </c>
      <c r="AN501" t="s">
        <v>1741</v>
      </c>
      <c r="AO501" t="s">
        <v>59</v>
      </c>
      <c r="AP501" t="s">
        <v>1862</v>
      </c>
      <c r="AQ501">
        <v>11</v>
      </c>
      <c r="AR501">
        <v>37</v>
      </c>
      <c r="AS501">
        <v>96</v>
      </c>
      <c r="AT501">
        <v>1.82</v>
      </c>
      <c r="AU501">
        <v>4.72</v>
      </c>
      <c r="AV501" t="s">
        <v>1863</v>
      </c>
      <c r="AW501" t="s">
        <v>1864</v>
      </c>
      <c r="AX501" t="s">
        <v>1865</v>
      </c>
    </row>
    <row r="502" spans="1:50" x14ac:dyDescent="0.25">
      <c r="A502" t="s">
        <v>1866</v>
      </c>
      <c r="B502" t="s">
        <v>1679</v>
      </c>
      <c r="C502">
        <v>0</v>
      </c>
      <c r="D502">
        <v>1</v>
      </c>
      <c r="E502" t="s">
        <v>1740</v>
      </c>
      <c r="H502">
        <v>0</v>
      </c>
      <c r="N502">
        <v>0</v>
      </c>
      <c r="Q502">
        <v>0</v>
      </c>
      <c r="R502">
        <v>0</v>
      </c>
      <c r="U502" t="s">
        <v>65</v>
      </c>
      <c r="V502">
        <v>59</v>
      </c>
      <c r="W502" t="s">
        <v>79</v>
      </c>
      <c r="X502" t="s">
        <v>80</v>
      </c>
      <c r="Y502">
        <v>0</v>
      </c>
      <c r="AD502" t="s">
        <v>57</v>
      </c>
      <c r="AE502">
        <v>0</v>
      </c>
      <c r="AF502">
        <v>6</v>
      </c>
      <c r="AG502">
        <v>1</v>
      </c>
      <c r="AH502">
        <v>3</v>
      </c>
      <c r="AI502">
        <v>512</v>
      </c>
      <c r="AJ502">
        <v>512</v>
      </c>
      <c r="AK502">
        <v>134</v>
      </c>
      <c r="AL502" t="s">
        <v>88</v>
      </c>
      <c r="AM502">
        <v>2.4</v>
      </c>
      <c r="AN502" t="s">
        <v>1786</v>
      </c>
      <c r="AO502" t="s">
        <v>67</v>
      </c>
      <c r="AP502" t="s">
        <v>68</v>
      </c>
      <c r="AQ502">
        <v>15</v>
      </c>
      <c r="AR502">
        <v>195</v>
      </c>
      <c r="AS502">
        <v>390</v>
      </c>
      <c r="AT502">
        <v>2.76</v>
      </c>
      <c r="AU502">
        <v>6.8680000000000003</v>
      </c>
      <c r="AV502" t="s">
        <v>1867</v>
      </c>
      <c r="AW502" t="s">
        <v>1868</v>
      </c>
      <c r="AX502" t="s">
        <v>1869</v>
      </c>
    </row>
    <row r="503" spans="1:50" x14ac:dyDescent="0.25">
      <c r="A503" t="s">
        <v>1870</v>
      </c>
      <c r="B503" t="s">
        <v>1679</v>
      </c>
      <c r="C503">
        <v>0</v>
      </c>
      <c r="D503">
        <v>1</v>
      </c>
      <c r="E503" t="s">
        <v>1871</v>
      </c>
      <c r="H503">
        <v>0</v>
      </c>
      <c r="N503">
        <v>1</v>
      </c>
      <c r="Q503">
        <v>1</v>
      </c>
      <c r="R503">
        <v>0</v>
      </c>
      <c r="U503" t="s">
        <v>1735</v>
      </c>
      <c r="V503">
        <v>44</v>
      </c>
      <c r="W503" t="s">
        <v>1688</v>
      </c>
      <c r="X503" t="s">
        <v>80</v>
      </c>
      <c r="Y503">
        <v>0</v>
      </c>
      <c r="Z503">
        <v>55</v>
      </c>
      <c r="AB503" t="s">
        <v>74</v>
      </c>
      <c r="AD503" t="s">
        <v>57</v>
      </c>
      <c r="AE503">
        <v>0</v>
      </c>
      <c r="AF503">
        <v>6</v>
      </c>
      <c r="AG503">
        <v>1</v>
      </c>
      <c r="AH503">
        <v>1.5</v>
      </c>
      <c r="AI503">
        <v>528</v>
      </c>
      <c r="AJ503">
        <v>528</v>
      </c>
      <c r="AK503">
        <v>160</v>
      </c>
      <c r="AL503" t="s">
        <v>1872</v>
      </c>
      <c r="AM503">
        <v>2</v>
      </c>
      <c r="AN503" t="s">
        <v>1154</v>
      </c>
      <c r="AO503" t="s">
        <v>1155</v>
      </c>
      <c r="AP503" t="s">
        <v>1305</v>
      </c>
      <c r="AQ503">
        <v>11</v>
      </c>
      <c r="AR503">
        <v>1066</v>
      </c>
      <c r="AS503">
        <v>1853</v>
      </c>
      <c r="AT503">
        <v>2.66</v>
      </c>
      <c r="AU503">
        <v>5.6801000000000004</v>
      </c>
      <c r="AV503" t="s">
        <v>1873</v>
      </c>
      <c r="AW503" t="s">
        <v>1832</v>
      </c>
      <c r="AX503" t="s">
        <v>1874</v>
      </c>
    </row>
    <row r="504" spans="1:50" x14ac:dyDescent="0.25">
      <c r="A504" t="s">
        <v>1875</v>
      </c>
      <c r="B504" t="s">
        <v>1679</v>
      </c>
      <c r="C504">
        <v>0</v>
      </c>
      <c r="D504">
        <v>0</v>
      </c>
      <c r="E504" t="s">
        <v>1839</v>
      </c>
      <c r="H504">
        <v>0</v>
      </c>
      <c r="N504">
        <v>1</v>
      </c>
      <c r="Q504">
        <v>1</v>
      </c>
      <c r="R504">
        <v>0</v>
      </c>
      <c r="U504" t="s">
        <v>1735</v>
      </c>
      <c r="V504">
        <v>56</v>
      </c>
      <c r="W504" t="s">
        <v>79</v>
      </c>
      <c r="X504" t="s">
        <v>80</v>
      </c>
      <c r="Y504">
        <v>0</v>
      </c>
      <c r="Z504">
        <v>90</v>
      </c>
      <c r="AB504" t="s">
        <v>118</v>
      </c>
      <c r="AD504" t="s">
        <v>57</v>
      </c>
      <c r="AE504">
        <v>0</v>
      </c>
      <c r="AF504">
        <v>6</v>
      </c>
      <c r="AG504">
        <v>1</v>
      </c>
      <c r="AH504">
        <v>1.5</v>
      </c>
      <c r="AI504">
        <v>512</v>
      </c>
      <c r="AJ504">
        <v>512</v>
      </c>
      <c r="AK504">
        <v>160</v>
      </c>
      <c r="AL504" t="s">
        <v>1876</v>
      </c>
      <c r="AM504">
        <v>2</v>
      </c>
      <c r="AN504" t="s">
        <v>1877</v>
      </c>
      <c r="AO504" t="s">
        <v>1155</v>
      </c>
      <c r="AP504" t="s">
        <v>1767</v>
      </c>
      <c r="AQ504">
        <v>11</v>
      </c>
      <c r="AR504">
        <v>393</v>
      </c>
      <c r="AS504">
        <v>684</v>
      </c>
      <c r="AT504">
        <v>3.5459999999999998</v>
      </c>
      <c r="AU504">
        <v>7.1877000000000004</v>
      </c>
      <c r="AV504" t="s">
        <v>1878</v>
      </c>
      <c r="AW504" t="s">
        <v>1879</v>
      </c>
      <c r="AX504" t="s">
        <v>1880</v>
      </c>
    </row>
    <row r="505" spans="1:50" x14ac:dyDescent="0.25">
      <c r="A505" t="s">
        <v>1881</v>
      </c>
      <c r="B505" t="s">
        <v>1679</v>
      </c>
      <c r="C505">
        <v>0</v>
      </c>
      <c r="D505">
        <v>0</v>
      </c>
      <c r="E505" t="s">
        <v>1703</v>
      </c>
      <c r="H505">
        <v>1</v>
      </c>
      <c r="N505">
        <v>1</v>
      </c>
      <c r="Q505">
        <v>0</v>
      </c>
      <c r="R505">
        <v>1</v>
      </c>
      <c r="U505" t="s">
        <v>1687</v>
      </c>
      <c r="V505">
        <v>47</v>
      </c>
      <c r="W505" t="s">
        <v>1704</v>
      </c>
      <c r="X505" t="s">
        <v>80</v>
      </c>
      <c r="Y505">
        <v>0</v>
      </c>
      <c r="Z505">
        <v>70.307000000000002</v>
      </c>
      <c r="AB505" t="s">
        <v>94</v>
      </c>
      <c r="AD505" t="s">
        <v>57</v>
      </c>
      <c r="AE505">
        <v>0</v>
      </c>
      <c r="AF505">
        <v>6</v>
      </c>
      <c r="AG505">
        <v>1</v>
      </c>
      <c r="AH505">
        <v>1.5</v>
      </c>
      <c r="AI505">
        <v>512</v>
      </c>
      <c r="AJ505">
        <v>512</v>
      </c>
      <c r="AK505">
        <v>72</v>
      </c>
      <c r="AL505" t="s">
        <v>119</v>
      </c>
      <c r="AM505">
        <v>2.2000000000000002</v>
      </c>
      <c r="AN505" t="s">
        <v>1072</v>
      </c>
      <c r="AO505" t="s">
        <v>67</v>
      </c>
      <c r="AP505" t="s">
        <v>68</v>
      </c>
      <c r="AQ505">
        <v>15</v>
      </c>
      <c r="AR505">
        <v>188</v>
      </c>
      <c r="AS505">
        <v>376</v>
      </c>
      <c r="AT505">
        <v>4.2359999999999998</v>
      </c>
      <c r="AU505">
        <v>8.6679999999999993</v>
      </c>
      <c r="AV505" t="s">
        <v>1882</v>
      </c>
      <c r="AW505" t="s">
        <v>1883</v>
      </c>
      <c r="AX505" t="s">
        <v>1884</v>
      </c>
    </row>
    <row r="506" spans="1:50" x14ac:dyDescent="0.25">
      <c r="A506" t="s">
        <v>1885</v>
      </c>
      <c r="B506" t="s">
        <v>1679</v>
      </c>
      <c r="C506">
        <v>0</v>
      </c>
      <c r="D506">
        <v>1</v>
      </c>
      <c r="E506" t="s">
        <v>1780</v>
      </c>
      <c r="H506">
        <v>0</v>
      </c>
      <c r="N506">
        <v>0</v>
      </c>
      <c r="Q506">
        <v>0</v>
      </c>
      <c r="R506">
        <v>1</v>
      </c>
      <c r="U506" t="s">
        <v>65</v>
      </c>
      <c r="V506">
        <v>67</v>
      </c>
      <c r="W506" t="s">
        <v>79</v>
      </c>
      <c r="X506" t="s">
        <v>80</v>
      </c>
      <c r="Y506">
        <v>0</v>
      </c>
      <c r="AD506" t="s">
        <v>57</v>
      </c>
      <c r="AE506">
        <v>0</v>
      </c>
      <c r="AF506">
        <v>6</v>
      </c>
      <c r="AG506">
        <v>1</v>
      </c>
      <c r="AH506">
        <v>3</v>
      </c>
      <c r="AI506">
        <v>512</v>
      </c>
      <c r="AJ506">
        <v>512</v>
      </c>
      <c r="AK506">
        <v>134</v>
      </c>
      <c r="AL506" t="s">
        <v>1886</v>
      </c>
      <c r="AM506">
        <v>2.4000000950000002</v>
      </c>
      <c r="AN506" t="s">
        <v>1786</v>
      </c>
      <c r="AO506" t="s">
        <v>67</v>
      </c>
      <c r="AP506" t="s">
        <v>68</v>
      </c>
      <c r="AQ506">
        <v>15</v>
      </c>
      <c r="AR506">
        <v>614</v>
      </c>
      <c r="AS506">
        <v>1212</v>
      </c>
      <c r="AT506">
        <v>2.76</v>
      </c>
      <c r="AU506">
        <v>6.8890000000000002</v>
      </c>
      <c r="AV506" t="s">
        <v>1817</v>
      </c>
      <c r="AW506" t="s">
        <v>1887</v>
      </c>
      <c r="AX506" t="s">
        <v>1888</v>
      </c>
    </row>
    <row r="507" spans="1:50" x14ac:dyDescent="0.25">
      <c r="A507" t="s">
        <v>1889</v>
      </c>
      <c r="B507" t="s">
        <v>1679</v>
      </c>
      <c r="C507">
        <v>0</v>
      </c>
      <c r="D507">
        <v>0</v>
      </c>
      <c r="E507" t="s">
        <v>1780</v>
      </c>
      <c r="H507">
        <v>1</v>
      </c>
      <c r="N507">
        <v>0</v>
      </c>
      <c r="Q507">
        <v>0</v>
      </c>
      <c r="R507">
        <v>1</v>
      </c>
      <c r="U507" t="s">
        <v>65</v>
      </c>
      <c r="V507">
        <v>35</v>
      </c>
      <c r="W507" t="s">
        <v>1726</v>
      </c>
      <c r="X507" t="s">
        <v>80</v>
      </c>
      <c r="Y507">
        <v>0</v>
      </c>
      <c r="Z507">
        <v>72.5</v>
      </c>
      <c r="AB507" t="s">
        <v>94</v>
      </c>
      <c r="AD507" t="s">
        <v>57</v>
      </c>
      <c r="AE507">
        <v>0</v>
      </c>
      <c r="AF507">
        <v>6</v>
      </c>
      <c r="AG507">
        <v>1</v>
      </c>
      <c r="AH507">
        <v>3</v>
      </c>
      <c r="AI507">
        <v>384</v>
      </c>
      <c r="AJ507">
        <v>384</v>
      </c>
      <c r="AK507">
        <v>64</v>
      </c>
      <c r="AL507" t="s">
        <v>1800</v>
      </c>
      <c r="AM507">
        <v>2.5</v>
      </c>
      <c r="AN507" t="s">
        <v>1114</v>
      </c>
      <c r="AO507" t="s">
        <v>59</v>
      </c>
      <c r="AP507" t="s">
        <v>1781</v>
      </c>
      <c r="AQ507">
        <v>11</v>
      </c>
      <c r="AR507">
        <v>47</v>
      </c>
      <c r="AS507">
        <v>128</v>
      </c>
      <c r="AT507">
        <v>1.42</v>
      </c>
      <c r="AU507">
        <v>4.32</v>
      </c>
      <c r="AV507" t="s">
        <v>1890</v>
      </c>
      <c r="AW507" t="s">
        <v>1759</v>
      </c>
      <c r="AX507" t="s">
        <v>1891</v>
      </c>
    </row>
    <row r="508" spans="1:50" x14ac:dyDescent="0.25">
      <c r="A508" t="s">
        <v>1892</v>
      </c>
      <c r="B508" t="s">
        <v>1679</v>
      </c>
      <c r="C508">
        <v>0</v>
      </c>
      <c r="D508">
        <v>1</v>
      </c>
      <c r="E508" t="s">
        <v>1680</v>
      </c>
      <c r="H508">
        <v>1</v>
      </c>
      <c r="N508">
        <v>0</v>
      </c>
      <c r="Q508">
        <v>0</v>
      </c>
      <c r="R508">
        <v>1</v>
      </c>
      <c r="U508" t="s">
        <v>65</v>
      </c>
      <c r="V508">
        <v>56</v>
      </c>
      <c r="X508" t="s">
        <v>80</v>
      </c>
      <c r="Y508">
        <v>0</v>
      </c>
      <c r="Z508">
        <v>113.39810692499999</v>
      </c>
      <c r="AA508">
        <v>1.7526035074999999</v>
      </c>
      <c r="AB508" t="s">
        <v>56</v>
      </c>
      <c r="AD508" t="s">
        <v>57</v>
      </c>
      <c r="AE508">
        <v>0</v>
      </c>
      <c r="AF508">
        <v>6</v>
      </c>
      <c r="AG508">
        <v>1</v>
      </c>
      <c r="AH508">
        <v>3</v>
      </c>
      <c r="AI508">
        <v>512</v>
      </c>
      <c r="AJ508">
        <v>512</v>
      </c>
      <c r="AK508">
        <v>134</v>
      </c>
      <c r="AL508" t="s">
        <v>196</v>
      </c>
      <c r="AM508">
        <v>1.2000000476999999</v>
      </c>
      <c r="AN508" t="s">
        <v>1741</v>
      </c>
      <c r="AO508" t="s">
        <v>59</v>
      </c>
      <c r="AP508" t="s">
        <v>124</v>
      </c>
      <c r="AQ508">
        <v>11</v>
      </c>
      <c r="AR508">
        <v>38</v>
      </c>
      <c r="AS508">
        <v>102</v>
      </c>
      <c r="AT508">
        <v>1.69</v>
      </c>
      <c r="AU508">
        <v>4.5999999999999996</v>
      </c>
      <c r="AV508" t="s">
        <v>1893</v>
      </c>
      <c r="AW508" t="s">
        <v>1894</v>
      </c>
      <c r="AX508" t="s">
        <v>1895</v>
      </c>
    </row>
    <row r="509" spans="1:50" x14ac:dyDescent="0.25">
      <c r="A509" t="s">
        <v>1896</v>
      </c>
      <c r="B509" t="s">
        <v>1679</v>
      </c>
      <c r="C509">
        <v>0</v>
      </c>
      <c r="D509">
        <v>1</v>
      </c>
      <c r="E509" t="s">
        <v>1693</v>
      </c>
      <c r="H509">
        <v>1</v>
      </c>
      <c r="N509">
        <v>1</v>
      </c>
      <c r="Q509">
        <v>0</v>
      </c>
      <c r="R509">
        <v>1</v>
      </c>
      <c r="U509" t="s">
        <v>1687</v>
      </c>
      <c r="V509">
        <v>50</v>
      </c>
      <c r="W509" t="s">
        <v>1688</v>
      </c>
      <c r="X509" t="s">
        <v>80</v>
      </c>
      <c r="Y509">
        <v>0</v>
      </c>
      <c r="Z509">
        <v>90.718000000000004</v>
      </c>
      <c r="AB509" t="s">
        <v>118</v>
      </c>
      <c r="AD509" t="s">
        <v>57</v>
      </c>
      <c r="AE509">
        <v>0</v>
      </c>
      <c r="AF509">
        <v>6</v>
      </c>
      <c r="AG509">
        <v>1</v>
      </c>
      <c r="AH509">
        <v>1.5</v>
      </c>
      <c r="AI509">
        <v>512</v>
      </c>
      <c r="AJ509">
        <v>512</v>
      </c>
      <c r="AK509">
        <v>62</v>
      </c>
      <c r="AL509" t="s">
        <v>497</v>
      </c>
      <c r="AM509">
        <v>2.6</v>
      </c>
      <c r="AN509" t="s">
        <v>1897</v>
      </c>
      <c r="AO509" t="s">
        <v>67</v>
      </c>
      <c r="AP509" t="s">
        <v>68</v>
      </c>
      <c r="AQ509">
        <v>15</v>
      </c>
      <c r="AR509">
        <v>103</v>
      </c>
      <c r="AS509">
        <v>206</v>
      </c>
      <c r="AT509">
        <v>4.1920000000000002</v>
      </c>
      <c r="AU509">
        <v>8.56</v>
      </c>
      <c r="AV509" t="s">
        <v>1898</v>
      </c>
      <c r="AW509" t="s">
        <v>1899</v>
      </c>
      <c r="AX509" t="s">
        <v>1900</v>
      </c>
    </row>
    <row r="510" spans="1:50" x14ac:dyDescent="0.25">
      <c r="A510" t="s">
        <v>1901</v>
      </c>
      <c r="B510" t="s">
        <v>1679</v>
      </c>
      <c r="C510">
        <v>0</v>
      </c>
      <c r="D510">
        <v>1</v>
      </c>
      <c r="E510" t="s">
        <v>1725</v>
      </c>
      <c r="H510">
        <v>0</v>
      </c>
      <c r="N510">
        <v>1</v>
      </c>
      <c r="Q510">
        <v>0</v>
      </c>
      <c r="R510">
        <v>0</v>
      </c>
      <c r="U510" t="s">
        <v>1687</v>
      </c>
      <c r="V510">
        <v>43</v>
      </c>
      <c r="W510" t="s">
        <v>1688</v>
      </c>
      <c r="X510" t="s">
        <v>80</v>
      </c>
      <c r="Y510">
        <v>0</v>
      </c>
      <c r="Z510">
        <v>54.430999999999997</v>
      </c>
      <c r="AB510" t="s">
        <v>74</v>
      </c>
      <c r="AD510" t="s">
        <v>57</v>
      </c>
      <c r="AE510">
        <v>0</v>
      </c>
      <c r="AF510">
        <v>6</v>
      </c>
      <c r="AG510">
        <v>1</v>
      </c>
      <c r="AH510">
        <v>1.5</v>
      </c>
      <c r="AI510">
        <v>512</v>
      </c>
      <c r="AJ510">
        <v>512</v>
      </c>
      <c r="AK510">
        <v>72</v>
      </c>
      <c r="AL510" t="s">
        <v>119</v>
      </c>
      <c r="AM510">
        <v>2.2000000000000002</v>
      </c>
      <c r="AN510" t="s">
        <v>1902</v>
      </c>
      <c r="AO510" t="s">
        <v>67</v>
      </c>
      <c r="AP510" t="s">
        <v>68</v>
      </c>
      <c r="AQ510">
        <v>15</v>
      </c>
      <c r="AR510">
        <v>262</v>
      </c>
      <c r="AS510">
        <v>524</v>
      </c>
      <c r="AT510">
        <v>3.1720000000000002</v>
      </c>
      <c r="AU510">
        <v>6.548</v>
      </c>
      <c r="AV510" t="s">
        <v>1903</v>
      </c>
      <c r="AW510" t="s">
        <v>1904</v>
      </c>
      <c r="AX510" t="s">
        <v>1905</v>
      </c>
    </row>
    <row r="511" spans="1:50" x14ac:dyDescent="0.25">
      <c r="A511" t="s">
        <v>1906</v>
      </c>
      <c r="B511" t="s">
        <v>1679</v>
      </c>
      <c r="C511">
        <v>0</v>
      </c>
      <c r="D511">
        <v>1</v>
      </c>
      <c r="E511" t="s">
        <v>1839</v>
      </c>
      <c r="H511">
        <v>1</v>
      </c>
      <c r="N511">
        <v>1</v>
      </c>
      <c r="Q511">
        <v>1</v>
      </c>
      <c r="R511">
        <v>0</v>
      </c>
      <c r="U511" t="s">
        <v>1735</v>
      </c>
      <c r="V511">
        <v>44</v>
      </c>
      <c r="X511" t="s">
        <v>80</v>
      </c>
      <c r="Y511">
        <v>0</v>
      </c>
      <c r="Z511">
        <v>56.7</v>
      </c>
      <c r="AB511" t="s">
        <v>74</v>
      </c>
      <c r="AD511" t="s">
        <v>57</v>
      </c>
      <c r="AE511">
        <v>0</v>
      </c>
      <c r="AF511">
        <v>6</v>
      </c>
      <c r="AG511">
        <v>1</v>
      </c>
      <c r="AH511">
        <v>3</v>
      </c>
      <c r="AI511">
        <v>512</v>
      </c>
      <c r="AJ511">
        <v>512</v>
      </c>
      <c r="AK511">
        <v>134</v>
      </c>
      <c r="AL511" t="s">
        <v>81</v>
      </c>
      <c r="AM511">
        <v>2.4</v>
      </c>
      <c r="AN511" t="s">
        <v>1786</v>
      </c>
      <c r="AO511" t="s">
        <v>67</v>
      </c>
      <c r="AP511" t="s">
        <v>1845</v>
      </c>
      <c r="AQ511">
        <v>15</v>
      </c>
      <c r="AR511">
        <v>498</v>
      </c>
      <c r="AS511">
        <v>997</v>
      </c>
      <c r="AT511">
        <v>4.7</v>
      </c>
      <c r="AU511">
        <v>8.952</v>
      </c>
      <c r="AV511" t="s">
        <v>1907</v>
      </c>
      <c r="AW511" t="s">
        <v>1908</v>
      </c>
      <c r="AX511" t="s">
        <v>1909</v>
      </c>
    </row>
    <row r="512" spans="1:50" x14ac:dyDescent="0.25">
      <c r="A512" t="s">
        <v>1910</v>
      </c>
      <c r="B512" t="s">
        <v>1679</v>
      </c>
      <c r="C512">
        <v>0</v>
      </c>
      <c r="D512">
        <v>1</v>
      </c>
      <c r="E512" t="s">
        <v>1734</v>
      </c>
      <c r="H512">
        <v>1</v>
      </c>
      <c r="N512">
        <v>1</v>
      </c>
      <c r="Q512">
        <v>1</v>
      </c>
      <c r="R512">
        <v>1</v>
      </c>
      <c r="U512" t="s">
        <v>1735</v>
      </c>
      <c r="V512">
        <v>64</v>
      </c>
      <c r="W512" t="s">
        <v>79</v>
      </c>
      <c r="X512" t="s">
        <v>111</v>
      </c>
      <c r="Y512">
        <v>0</v>
      </c>
      <c r="Z512">
        <v>66.677999999999997</v>
      </c>
      <c r="AB512" t="s">
        <v>74</v>
      </c>
      <c r="AD512" t="s">
        <v>57</v>
      </c>
      <c r="AE512">
        <v>0</v>
      </c>
      <c r="AF512">
        <v>6</v>
      </c>
      <c r="AG512">
        <v>1</v>
      </c>
      <c r="AH512">
        <v>3</v>
      </c>
      <c r="AI512">
        <v>512</v>
      </c>
      <c r="AJ512">
        <v>512</v>
      </c>
      <c r="AK512">
        <v>150</v>
      </c>
      <c r="AL512" t="s">
        <v>128</v>
      </c>
      <c r="AM512">
        <v>2.4</v>
      </c>
      <c r="AN512" t="s">
        <v>1786</v>
      </c>
      <c r="AO512" t="s">
        <v>67</v>
      </c>
      <c r="AP512" t="s">
        <v>68</v>
      </c>
      <c r="AQ512">
        <v>15</v>
      </c>
      <c r="AR512">
        <v>277</v>
      </c>
      <c r="AS512">
        <v>555</v>
      </c>
      <c r="AT512">
        <v>2.8239999999999998</v>
      </c>
      <c r="AU512">
        <v>7.476</v>
      </c>
      <c r="AV512" t="s">
        <v>1911</v>
      </c>
      <c r="AW512" t="s">
        <v>1912</v>
      </c>
      <c r="AX512" t="s">
        <v>1913</v>
      </c>
    </row>
    <row r="513" spans="1:50" x14ac:dyDescent="0.25">
      <c r="A513" t="s">
        <v>1914</v>
      </c>
      <c r="B513" t="s">
        <v>1679</v>
      </c>
      <c r="C513">
        <v>0</v>
      </c>
      <c r="D513">
        <v>1</v>
      </c>
      <c r="E513" t="s">
        <v>1686</v>
      </c>
      <c r="H513">
        <v>0</v>
      </c>
      <c r="N513">
        <v>1</v>
      </c>
      <c r="Q513">
        <v>0</v>
      </c>
      <c r="R513">
        <v>1</v>
      </c>
      <c r="U513" t="s">
        <v>1687</v>
      </c>
      <c r="V513">
        <v>54</v>
      </c>
      <c r="W513" t="s">
        <v>79</v>
      </c>
      <c r="X513" t="s">
        <v>80</v>
      </c>
      <c r="Y513">
        <v>0</v>
      </c>
      <c r="Z513">
        <v>59.874000000000002</v>
      </c>
      <c r="AB513" t="s">
        <v>74</v>
      </c>
      <c r="AD513" t="s">
        <v>57</v>
      </c>
      <c r="AE513">
        <v>0</v>
      </c>
      <c r="AF513">
        <v>6</v>
      </c>
      <c r="AG513">
        <v>1</v>
      </c>
      <c r="AH513">
        <v>3</v>
      </c>
      <c r="AI513">
        <v>512</v>
      </c>
      <c r="AJ513">
        <v>512</v>
      </c>
      <c r="AK513">
        <v>80</v>
      </c>
      <c r="AL513" t="s">
        <v>66</v>
      </c>
      <c r="AM513">
        <v>2</v>
      </c>
      <c r="AN513" t="s">
        <v>1915</v>
      </c>
      <c r="AO513" t="s">
        <v>67</v>
      </c>
      <c r="AP513" t="s">
        <v>68</v>
      </c>
      <c r="AQ513">
        <v>15</v>
      </c>
      <c r="AR513">
        <v>653</v>
      </c>
      <c r="AS513">
        <v>1307</v>
      </c>
      <c r="AT513">
        <v>2.1680000000000001</v>
      </c>
      <c r="AU513">
        <v>5.5129999999999999</v>
      </c>
      <c r="AV513" t="s">
        <v>1916</v>
      </c>
      <c r="AW513" t="s">
        <v>1917</v>
      </c>
      <c r="AX513" t="s">
        <v>1918</v>
      </c>
    </row>
    <row r="514" spans="1:50" x14ac:dyDescent="0.25">
      <c r="A514" t="s">
        <v>1919</v>
      </c>
      <c r="B514" t="s">
        <v>1679</v>
      </c>
      <c r="C514">
        <v>0</v>
      </c>
      <c r="D514">
        <v>0</v>
      </c>
      <c r="E514" t="s">
        <v>1740</v>
      </c>
      <c r="H514">
        <v>1</v>
      </c>
      <c r="N514">
        <v>0</v>
      </c>
      <c r="Q514">
        <v>0</v>
      </c>
      <c r="R514">
        <v>1</v>
      </c>
      <c r="U514" t="s">
        <v>65</v>
      </c>
      <c r="V514">
        <v>36</v>
      </c>
      <c r="W514" t="s">
        <v>1688</v>
      </c>
      <c r="X514" t="s">
        <v>80</v>
      </c>
      <c r="Y514">
        <v>0</v>
      </c>
      <c r="AD514" t="s">
        <v>57</v>
      </c>
      <c r="AE514">
        <v>0</v>
      </c>
      <c r="AF514">
        <v>6</v>
      </c>
      <c r="AG514">
        <v>1</v>
      </c>
      <c r="AH514">
        <v>3</v>
      </c>
      <c r="AI514">
        <v>512</v>
      </c>
      <c r="AJ514">
        <v>512</v>
      </c>
      <c r="AK514">
        <v>134</v>
      </c>
      <c r="AL514" t="s">
        <v>128</v>
      </c>
      <c r="AM514">
        <v>2.4</v>
      </c>
      <c r="AN514" t="s">
        <v>1786</v>
      </c>
      <c r="AO514" t="s">
        <v>67</v>
      </c>
      <c r="AP514" t="s">
        <v>68</v>
      </c>
      <c r="AQ514">
        <v>15</v>
      </c>
      <c r="AR514">
        <v>252</v>
      </c>
      <c r="AS514">
        <v>504</v>
      </c>
      <c r="AT514">
        <v>2.8279999999999998</v>
      </c>
      <c r="AU514">
        <v>7.5289999999999999</v>
      </c>
      <c r="AV514" t="s">
        <v>1920</v>
      </c>
      <c r="AW514" t="s">
        <v>1921</v>
      </c>
      <c r="AX514" t="s">
        <v>1922</v>
      </c>
    </row>
    <row r="515" spans="1:50" x14ac:dyDescent="0.25">
      <c r="A515" t="s">
        <v>1923</v>
      </c>
      <c r="B515" t="s">
        <v>1679</v>
      </c>
      <c r="C515">
        <v>0</v>
      </c>
      <c r="D515">
        <v>0</v>
      </c>
      <c r="E515" t="s">
        <v>1703</v>
      </c>
      <c r="H515">
        <v>1</v>
      </c>
      <c r="N515">
        <v>0</v>
      </c>
      <c r="Q515">
        <v>0</v>
      </c>
      <c r="R515">
        <v>1</v>
      </c>
      <c r="U515" t="s">
        <v>65</v>
      </c>
      <c r="V515">
        <v>42</v>
      </c>
      <c r="W515" t="s">
        <v>1688</v>
      </c>
      <c r="X515" t="s">
        <v>111</v>
      </c>
      <c r="Y515">
        <v>0</v>
      </c>
      <c r="Z515">
        <v>73</v>
      </c>
      <c r="AB515" t="s">
        <v>94</v>
      </c>
      <c r="AD515" t="s">
        <v>57</v>
      </c>
      <c r="AE515">
        <v>0</v>
      </c>
      <c r="AF515">
        <v>6</v>
      </c>
      <c r="AG515">
        <v>1</v>
      </c>
      <c r="AH515">
        <v>1.5</v>
      </c>
      <c r="AI515">
        <v>400</v>
      </c>
      <c r="AJ515">
        <v>400</v>
      </c>
      <c r="AK515">
        <v>64</v>
      </c>
      <c r="AL515" t="s">
        <v>1924</v>
      </c>
      <c r="AM515">
        <v>2.5</v>
      </c>
      <c r="AN515" t="s">
        <v>1531</v>
      </c>
      <c r="AO515" t="s">
        <v>1155</v>
      </c>
      <c r="AP515" t="s">
        <v>1767</v>
      </c>
      <c r="AQ515">
        <v>11</v>
      </c>
      <c r="AR515">
        <v>68.83</v>
      </c>
      <c r="AS515">
        <v>119.6</v>
      </c>
      <c r="AT515">
        <v>2.5979999999999999</v>
      </c>
      <c r="AU515">
        <v>5.2080000000000002</v>
      </c>
      <c r="AV515" t="s">
        <v>1925</v>
      </c>
      <c r="AW515" t="s">
        <v>1926</v>
      </c>
      <c r="AX515" t="s">
        <v>1927</v>
      </c>
    </row>
    <row r="516" spans="1:50" x14ac:dyDescent="0.25">
      <c r="A516" t="s">
        <v>1928</v>
      </c>
      <c r="B516" t="s">
        <v>1679</v>
      </c>
      <c r="C516">
        <v>0</v>
      </c>
      <c r="D516">
        <v>1</v>
      </c>
      <c r="E516" t="s">
        <v>1680</v>
      </c>
      <c r="H516">
        <v>0</v>
      </c>
      <c r="N516">
        <v>0</v>
      </c>
      <c r="Q516">
        <v>0</v>
      </c>
      <c r="R516">
        <v>1</v>
      </c>
      <c r="U516" t="s">
        <v>65</v>
      </c>
      <c r="V516">
        <v>64</v>
      </c>
      <c r="W516" t="s">
        <v>79</v>
      </c>
      <c r="X516" t="s">
        <v>111</v>
      </c>
      <c r="Y516">
        <v>0</v>
      </c>
      <c r="Z516">
        <v>75.296000000000006</v>
      </c>
      <c r="AB516" t="s">
        <v>94</v>
      </c>
      <c r="AD516" t="s">
        <v>57</v>
      </c>
      <c r="AE516">
        <v>0</v>
      </c>
      <c r="AF516">
        <v>6</v>
      </c>
      <c r="AG516">
        <v>1</v>
      </c>
      <c r="AH516">
        <v>3</v>
      </c>
      <c r="AI516">
        <v>512</v>
      </c>
      <c r="AJ516">
        <v>512</v>
      </c>
      <c r="AK516">
        <v>80</v>
      </c>
      <c r="AL516" t="s">
        <v>66</v>
      </c>
      <c r="AM516">
        <v>2</v>
      </c>
      <c r="AN516" t="s">
        <v>1915</v>
      </c>
      <c r="AO516" t="s">
        <v>67</v>
      </c>
      <c r="AP516" t="s">
        <v>68</v>
      </c>
      <c r="AQ516">
        <v>15</v>
      </c>
      <c r="AR516">
        <v>797</v>
      </c>
      <c r="AS516">
        <v>1595</v>
      </c>
      <c r="AT516">
        <v>2.1800000000000002</v>
      </c>
      <c r="AU516">
        <v>5.4459999999999997</v>
      </c>
      <c r="AV516" t="s">
        <v>1929</v>
      </c>
      <c r="AW516" t="s">
        <v>1930</v>
      </c>
      <c r="AX516" t="s">
        <v>1931</v>
      </c>
    </row>
    <row r="517" spans="1:50" x14ac:dyDescent="0.25">
      <c r="A517" t="s">
        <v>1932</v>
      </c>
      <c r="B517" t="s">
        <v>1679</v>
      </c>
      <c r="C517">
        <v>0</v>
      </c>
      <c r="D517">
        <v>1</v>
      </c>
      <c r="E517" t="s">
        <v>1839</v>
      </c>
      <c r="H517">
        <v>1</v>
      </c>
      <c r="N517">
        <v>0</v>
      </c>
      <c r="Q517">
        <v>1</v>
      </c>
      <c r="R517">
        <v>1</v>
      </c>
      <c r="U517" t="s">
        <v>72</v>
      </c>
      <c r="V517">
        <v>62</v>
      </c>
      <c r="W517" t="s">
        <v>79</v>
      </c>
      <c r="X517" t="s">
        <v>80</v>
      </c>
      <c r="Y517">
        <v>0</v>
      </c>
      <c r="AD517" t="s">
        <v>57</v>
      </c>
      <c r="AE517">
        <v>0</v>
      </c>
      <c r="AF517">
        <v>6</v>
      </c>
      <c r="AG517">
        <v>1</v>
      </c>
      <c r="AH517">
        <v>3</v>
      </c>
      <c r="AI517">
        <v>416</v>
      </c>
      <c r="AJ517">
        <v>416</v>
      </c>
      <c r="AK517">
        <v>64</v>
      </c>
      <c r="AL517" t="s">
        <v>1933</v>
      </c>
      <c r="AM517">
        <v>2.5</v>
      </c>
      <c r="AN517" t="s">
        <v>1114</v>
      </c>
      <c r="AO517" t="s">
        <v>59</v>
      </c>
      <c r="AP517" t="s">
        <v>1781</v>
      </c>
      <c r="AQ517">
        <v>11</v>
      </c>
      <c r="AR517">
        <v>87</v>
      </c>
      <c r="AS517">
        <v>242</v>
      </c>
      <c r="AT517">
        <v>1.51</v>
      </c>
      <c r="AU517">
        <v>4.74</v>
      </c>
      <c r="AV517" t="s">
        <v>1934</v>
      </c>
      <c r="AW517" t="s">
        <v>1935</v>
      </c>
      <c r="AX517" t="s">
        <v>1936</v>
      </c>
    </row>
    <row r="518" spans="1:50" x14ac:dyDescent="0.25">
      <c r="A518" t="s">
        <v>1937</v>
      </c>
      <c r="B518" t="s">
        <v>1679</v>
      </c>
      <c r="C518">
        <v>0</v>
      </c>
      <c r="D518">
        <v>0</v>
      </c>
      <c r="E518" t="s">
        <v>1780</v>
      </c>
      <c r="H518">
        <v>0</v>
      </c>
      <c r="N518">
        <v>1</v>
      </c>
      <c r="Q518">
        <v>0</v>
      </c>
      <c r="R518">
        <v>0</v>
      </c>
      <c r="U518" t="s">
        <v>1687</v>
      </c>
      <c r="V518">
        <v>54</v>
      </c>
      <c r="W518" t="s">
        <v>79</v>
      </c>
      <c r="X518" t="s">
        <v>80</v>
      </c>
      <c r="Y518">
        <v>0</v>
      </c>
      <c r="AD518" t="s">
        <v>57</v>
      </c>
      <c r="AE518">
        <v>0</v>
      </c>
      <c r="AF518">
        <v>6</v>
      </c>
      <c r="AG518">
        <v>1</v>
      </c>
      <c r="AH518">
        <v>1.5</v>
      </c>
      <c r="AI518">
        <v>512</v>
      </c>
      <c r="AJ518">
        <v>512</v>
      </c>
      <c r="AK518">
        <v>200</v>
      </c>
      <c r="AL518" t="s">
        <v>196</v>
      </c>
      <c r="AM518">
        <v>1.6</v>
      </c>
      <c r="AN518" t="s">
        <v>1938</v>
      </c>
      <c r="AO518" t="s">
        <v>67</v>
      </c>
      <c r="AP518" t="s">
        <v>68</v>
      </c>
      <c r="AQ518">
        <v>15</v>
      </c>
      <c r="AR518">
        <v>176</v>
      </c>
      <c r="AS518">
        <v>352</v>
      </c>
      <c r="AT518">
        <v>2.2080000000000002</v>
      </c>
      <c r="AU518">
        <v>4.6120000000000001</v>
      </c>
      <c r="AW518" t="s">
        <v>1939</v>
      </c>
      <c r="AX518" t="s">
        <v>1940</v>
      </c>
    </row>
    <row r="519" spans="1:50" x14ac:dyDescent="0.25">
      <c r="A519" t="s">
        <v>1941</v>
      </c>
      <c r="B519" t="s">
        <v>1679</v>
      </c>
      <c r="C519">
        <v>0</v>
      </c>
      <c r="D519">
        <v>0</v>
      </c>
      <c r="E519" t="s">
        <v>1740</v>
      </c>
      <c r="H519">
        <v>1</v>
      </c>
      <c r="N519">
        <v>0</v>
      </c>
      <c r="Q519">
        <v>0</v>
      </c>
      <c r="R519">
        <v>1</v>
      </c>
      <c r="U519" t="s">
        <v>65</v>
      </c>
      <c r="V519">
        <v>55</v>
      </c>
      <c r="W519" t="s">
        <v>79</v>
      </c>
      <c r="X519" t="s">
        <v>80</v>
      </c>
      <c r="Y519">
        <v>1</v>
      </c>
      <c r="Z519">
        <v>47.627000000000002</v>
      </c>
      <c r="AB519" t="s">
        <v>247</v>
      </c>
      <c r="AD519" t="s">
        <v>57</v>
      </c>
      <c r="AE519">
        <v>0</v>
      </c>
      <c r="AF519">
        <v>6</v>
      </c>
      <c r="AG519">
        <v>1</v>
      </c>
      <c r="AH519">
        <v>1.5</v>
      </c>
      <c r="AI519">
        <v>512</v>
      </c>
      <c r="AJ519">
        <v>512</v>
      </c>
      <c r="AK519">
        <v>78</v>
      </c>
      <c r="AL519" t="s">
        <v>331</v>
      </c>
      <c r="AM519">
        <v>2.4</v>
      </c>
      <c r="AN519" t="s">
        <v>1942</v>
      </c>
      <c r="AO519" t="s">
        <v>67</v>
      </c>
      <c r="AP519" t="s">
        <v>68</v>
      </c>
      <c r="AQ519">
        <v>15</v>
      </c>
      <c r="AR519">
        <v>349</v>
      </c>
      <c r="AS519">
        <v>698</v>
      </c>
      <c r="AT519">
        <v>3.048</v>
      </c>
      <c r="AU519">
        <v>6.2960000000000003</v>
      </c>
      <c r="AV519" t="s">
        <v>1943</v>
      </c>
      <c r="AW519" t="s">
        <v>1944</v>
      </c>
      <c r="AX519" t="s">
        <v>1945</v>
      </c>
    </row>
    <row r="520" spans="1:50" x14ac:dyDescent="0.25">
      <c r="A520" t="s">
        <v>1946</v>
      </c>
      <c r="B520" t="s">
        <v>1679</v>
      </c>
      <c r="C520">
        <v>0</v>
      </c>
      <c r="D520">
        <v>0</v>
      </c>
      <c r="E520" t="s">
        <v>1703</v>
      </c>
      <c r="H520">
        <v>0</v>
      </c>
      <c r="N520">
        <v>1</v>
      </c>
      <c r="Q520">
        <v>0</v>
      </c>
      <c r="R520">
        <v>0</v>
      </c>
      <c r="U520" t="s">
        <v>1687</v>
      </c>
      <c r="V520">
        <v>41</v>
      </c>
      <c r="X520" t="s">
        <v>80</v>
      </c>
      <c r="Y520">
        <v>0</v>
      </c>
      <c r="Z520">
        <v>57</v>
      </c>
      <c r="AB520" t="s">
        <v>74</v>
      </c>
      <c r="AD520" t="s">
        <v>57</v>
      </c>
      <c r="AE520">
        <v>0</v>
      </c>
      <c r="AF520">
        <v>6</v>
      </c>
      <c r="AG520">
        <v>1</v>
      </c>
      <c r="AH520">
        <v>1.5</v>
      </c>
      <c r="AI520">
        <v>512</v>
      </c>
      <c r="AJ520">
        <v>512</v>
      </c>
      <c r="AK520">
        <v>64</v>
      </c>
      <c r="AL520" t="s">
        <v>196</v>
      </c>
      <c r="AM520">
        <v>2.5</v>
      </c>
      <c r="AN520" t="s">
        <v>1531</v>
      </c>
      <c r="AO520" t="s">
        <v>1155</v>
      </c>
      <c r="AP520" t="s">
        <v>1767</v>
      </c>
      <c r="AQ520">
        <v>11</v>
      </c>
      <c r="AR520">
        <v>62.19</v>
      </c>
      <c r="AS520">
        <v>108.08</v>
      </c>
      <c r="AT520">
        <v>2.5920000000000001</v>
      </c>
      <c r="AU520">
        <v>5.1962999999999999</v>
      </c>
      <c r="AV520" t="s">
        <v>1947</v>
      </c>
      <c r="AW520" t="s">
        <v>1894</v>
      </c>
      <c r="AX520" t="s">
        <v>1948</v>
      </c>
    </row>
    <row r="521" spans="1:50" x14ac:dyDescent="0.25">
      <c r="A521" t="s">
        <v>1949</v>
      </c>
      <c r="B521" t="s">
        <v>1679</v>
      </c>
      <c r="C521">
        <v>0</v>
      </c>
      <c r="D521">
        <v>0</v>
      </c>
      <c r="E521" t="s">
        <v>1791</v>
      </c>
      <c r="H521">
        <v>0</v>
      </c>
      <c r="N521">
        <v>1</v>
      </c>
      <c r="Q521">
        <v>1</v>
      </c>
      <c r="R521">
        <v>0</v>
      </c>
      <c r="U521" t="s">
        <v>1735</v>
      </c>
      <c r="V521">
        <v>54</v>
      </c>
      <c r="W521" t="s">
        <v>1704</v>
      </c>
      <c r="X521" t="s">
        <v>80</v>
      </c>
      <c r="Y521">
        <v>0</v>
      </c>
      <c r="Z521">
        <v>62.219273307599998</v>
      </c>
      <c r="AB521" t="s">
        <v>74</v>
      </c>
      <c r="AD521" t="s">
        <v>57</v>
      </c>
      <c r="AE521">
        <v>1</v>
      </c>
      <c r="AF521">
        <v>6</v>
      </c>
      <c r="AG521">
        <v>1</v>
      </c>
      <c r="AH521">
        <v>1.5</v>
      </c>
      <c r="AI521">
        <v>256</v>
      </c>
      <c r="AJ521">
        <v>256</v>
      </c>
      <c r="AK521">
        <v>160</v>
      </c>
      <c r="AL521" t="s">
        <v>1950</v>
      </c>
      <c r="AM521">
        <v>0.89999997620000005</v>
      </c>
      <c r="AN521" t="s">
        <v>1720</v>
      </c>
      <c r="AO521" t="s">
        <v>59</v>
      </c>
      <c r="AP521" t="s">
        <v>60</v>
      </c>
      <c r="AQ521">
        <v>11</v>
      </c>
      <c r="AR521">
        <v>267</v>
      </c>
      <c r="AS521">
        <v>536</v>
      </c>
      <c r="AT521">
        <v>1.45</v>
      </c>
      <c r="AU521">
        <v>4.99</v>
      </c>
      <c r="AV521" t="s">
        <v>1951</v>
      </c>
      <c r="AW521" t="s">
        <v>1952</v>
      </c>
      <c r="AX521" t="s">
        <v>1953</v>
      </c>
    </row>
    <row r="522" spans="1:50" x14ac:dyDescent="0.25">
      <c r="A522" t="s">
        <v>1954</v>
      </c>
      <c r="B522" t="s">
        <v>1679</v>
      </c>
      <c r="C522">
        <v>0</v>
      </c>
      <c r="D522">
        <v>1</v>
      </c>
      <c r="E522" t="s">
        <v>1703</v>
      </c>
      <c r="H522">
        <v>0</v>
      </c>
      <c r="N522">
        <v>0</v>
      </c>
      <c r="Q522">
        <v>0</v>
      </c>
      <c r="R522">
        <v>1</v>
      </c>
      <c r="U522" t="s">
        <v>65</v>
      </c>
      <c r="V522">
        <v>45</v>
      </c>
      <c r="W522" t="s">
        <v>1688</v>
      </c>
      <c r="X522" t="s">
        <v>111</v>
      </c>
      <c r="Y522">
        <v>0</v>
      </c>
      <c r="Z522">
        <v>54.43</v>
      </c>
      <c r="AB522" t="s">
        <v>74</v>
      </c>
      <c r="AD522" t="s">
        <v>57</v>
      </c>
      <c r="AE522">
        <v>0</v>
      </c>
      <c r="AF522">
        <v>6</v>
      </c>
      <c r="AG522">
        <v>1</v>
      </c>
      <c r="AH522">
        <v>1.5</v>
      </c>
      <c r="AI522">
        <v>512</v>
      </c>
      <c r="AJ522">
        <v>512</v>
      </c>
      <c r="AK522">
        <v>88</v>
      </c>
      <c r="AL522" t="s">
        <v>331</v>
      </c>
      <c r="AM522">
        <v>1.8</v>
      </c>
      <c r="AN522" t="s">
        <v>996</v>
      </c>
      <c r="AO522" t="s">
        <v>67</v>
      </c>
      <c r="AP522" t="s">
        <v>68</v>
      </c>
      <c r="AQ522">
        <v>15</v>
      </c>
      <c r="AR522">
        <v>47</v>
      </c>
      <c r="AS522">
        <v>95</v>
      </c>
      <c r="AT522">
        <v>4.2</v>
      </c>
      <c r="AU522">
        <v>7.12</v>
      </c>
      <c r="AV522" t="s">
        <v>1955</v>
      </c>
      <c r="AW522" t="s">
        <v>1956</v>
      </c>
      <c r="AX522" t="s">
        <v>1957</v>
      </c>
    </row>
    <row r="523" spans="1:50" x14ac:dyDescent="0.25">
      <c r="A523" t="s">
        <v>1958</v>
      </c>
      <c r="B523" t="s">
        <v>1679</v>
      </c>
      <c r="C523">
        <v>0</v>
      </c>
      <c r="D523">
        <v>1</v>
      </c>
      <c r="E523" t="s">
        <v>1871</v>
      </c>
      <c r="H523">
        <v>0</v>
      </c>
      <c r="N523">
        <v>1</v>
      </c>
      <c r="Q523">
        <v>1</v>
      </c>
      <c r="R523">
        <v>0</v>
      </c>
      <c r="U523" t="s">
        <v>1735</v>
      </c>
      <c r="V523">
        <v>52</v>
      </c>
      <c r="W523" t="s">
        <v>79</v>
      </c>
      <c r="X523" t="s">
        <v>80</v>
      </c>
      <c r="Y523">
        <v>1</v>
      </c>
      <c r="Z523">
        <v>67.131679299599995</v>
      </c>
      <c r="AB523" t="s">
        <v>74</v>
      </c>
      <c r="AD523" t="s">
        <v>57</v>
      </c>
      <c r="AE523">
        <v>0</v>
      </c>
      <c r="AF523">
        <v>6</v>
      </c>
      <c r="AG523">
        <v>1</v>
      </c>
      <c r="AH523">
        <v>3</v>
      </c>
      <c r="AI523">
        <v>512</v>
      </c>
      <c r="AJ523">
        <v>512</v>
      </c>
      <c r="AK523">
        <v>134</v>
      </c>
      <c r="AL523" t="s">
        <v>1861</v>
      </c>
      <c r="AM523">
        <v>1.2000000476999999</v>
      </c>
      <c r="AN523" t="s">
        <v>1741</v>
      </c>
      <c r="AO523" t="s">
        <v>59</v>
      </c>
      <c r="AP523" t="s">
        <v>124</v>
      </c>
      <c r="AQ523">
        <v>11</v>
      </c>
      <c r="AR523">
        <v>42</v>
      </c>
      <c r="AS523">
        <v>114</v>
      </c>
      <c r="AT523">
        <v>1.73</v>
      </c>
      <c r="AU523">
        <v>4.5999999999999996</v>
      </c>
      <c r="AV523" t="s">
        <v>1959</v>
      </c>
      <c r="AW523" t="s">
        <v>1960</v>
      </c>
      <c r="AX523" t="s">
        <v>1961</v>
      </c>
    </row>
    <row r="524" spans="1:50" x14ac:dyDescent="0.25">
      <c r="A524" t="s">
        <v>1962</v>
      </c>
      <c r="B524" t="s">
        <v>1679</v>
      </c>
      <c r="C524">
        <v>0</v>
      </c>
      <c r="D524">
        <v>0</v>
      </c>
      <c r="E524" t="s">
        <v>1734</v>
      </c>
      <c r="H524">
        <v>0</v>
      </c>
      <c r="N524">
        <v>1</v>
      </c>
      <c r="Q524">
        <v>1</v>
      </c>
      <c r="R524">
        <v>0</v>
      </c>
      <c r="U524" t="s">
        <v>1735</v>
      </c>
      <c r="V524">
        <v>32</v>
      </c>
      <c r="W524" t="s">
        <v>1726</v>
      </c>
      <c r="X524" t="s">
        <v>80</v>
      </c>
      <c r="Y524">
        <v>0</v>
      </c>
      <c r="Z524">
        <v>67.2087900123</v>
      </c>
      <c r="AB524" t="s">
        <v>74</v>
      </c>
      <c r="AD524" t="s">
        <v>57</v>
      </c>
      <c r="AE524">
        <v>1</v>
      </c>
      <c r="AF524">
        <v>6</v>
      </c>
      <c r="AG524">
        <v>1</v>
      </c>
      <c r="AH524">
        <v>1.5</v>
      </c>
      <c r="AI524">
        <v>384</v>
      </c>
      <c r="AJ524">
        <v>384</v>
      </c>
      <c r="AK524">
        <v>160</v>
      </c>
      <c r="AL524" t="s">
        <v>75</v>
      </c>
      <c r="AM524">
        <v>1</v>
      </c>
      <c r="AN524" t="s">
        <v>1720</v>
      </c>
      <c r="AO524" t="s">
        <v>59</v>
      </c>
      <c r="AP524" t="s">
        <v>60</v>
      </c>
      <c r="AQ524">
        <v>11</v>
      </c>
      <c r="AR524">
        <v>101</v>
      </c>
      <c r="AS524">
        <v>258</v>
      </c>
      <c r="AT524">
        <v>1.56</v>
      </c>
      <c r="AU524">
        <v>4.99</v>
      </c>
      <c r="AV524" t="s">
        <v>1963</v>
      </c>
      <c r="AW524" t="s">
        <v>1964</v>
      </c>
      <c r="AX524" t="s">
        <v>1965</v>
      </c>
    </row>
    <row r="525" spans="1:50" x14ac:dyDescent="0.25">
      <c r="A525" t="s">
        <v>1966</v>
      </c>
      <c r="B525" t="s">
        <v>1679</v>
      </c>
      <c r="C525">
        <v>0</v>
      </c>
      <c r="D525">
        <v>1</v>
      </c>
      <c r="E525" t="s">
        <v>1680</v>
      </c>
      <c r="H525">
        <v>0</v>
      </c>
      <c r="N525">
        <v>1</v>
      </c>
      <c r="Q525">
        <v>0</v>
      </c>
      <c r="R525">
        <v>0</v>
      </c>
      <c r="U525" t="s">
        <v>1687</v>
      </c>
      <c r="V525">
        <v>30</v>
      </c>
      <c r="X525" t="s">
        <v>111</v>
      </c>
      <c r="Y525">
        <v>0</v>
      </c>
      <c r="Z525">
        <v>65.770902016500003</v>
      </c>
      <c r="AA525">
        <v>1.6256032533</v>
      </c>
      <c r="AB525" t="s">
        <v>74</v>
      </c>
      <c r="AD525" t="s">
        <v>57</v>
      </c>
      <c r="AE525">
        <v>0</v>
      </c>
      <c r="AF525">
        <v>6</v>
      </c>
      <c r="AG525">
        <v>1</v>
      </c>
      <c r="AH525">
        <v>3</v>
      </c>
      <c r="AI525">
        <v>512</v>
      </c>
      <c r="AJ525">
        <v>512</v>
      </c>
      <c r="AK525">
        <v>134</v>
      </c>
      <c r="AL525" t="s">
        <v>1861</v>
      </c>
      <c r="AM525">
        <v>1.2000000476999999</v>
      </c>
      <c r="AN525" t="s">
        <v>1741</v>
      </c>
      <c r="AO525" t="s">
        <v>59</v>
      </c>
      <c r="AP525" t="s">
        <v>124</v>
      </c>
      <c r="AQ525">
        <v>11</v>
      </c>
      <c r="AR525">
        <v>40</v>
      </c>
      <c r="AS525">
        <v>107</v>
      </c>
      <c r="AT525">
        <v>1.73</v>
      </c>
      <c r="AU525">
        <v>4.5999999999999996</v>
      </c>
      <c r="AV525" t="s">
        <v>1967</v>
      </c>
      <c r="AW525" t="s">
        <v>1968</v>
      </c>
      <c r="AX525" t="s">
        <v>1969</v>
      </c>
    </row>
    <row r="526" spans="1:50" x14ac:dyDescent="0.25">
      <c r="A526" t="s">
        <v>1970</v>
      </c>
      <c r="B526" t="s">
        <v>1679</v>
      </c>
      <c r="C526">
        <v>0</v>
      </c>
      <c r="D526">
        <v>1</v>
      </c>
      <c r="E526" t="s">
        <v>1871</v>
      </c>
      <c r="H526">
        <v>1</v>
      </c>
      <c r="N526">
        <v>1</v>
      </c>
      <c r="Q526">
        <v>1</v>
      </c>
      <c r="R526">
        <v>0</v>
      </c>
      <c r="U526" t="s">
        <v>1735</v>
      </c>
      <c r="V526">
        <v>53</v>
      </c>
      <c r="W526" t="s">
        <v>1704</v>
      </c>
      <c r="X526" t="s">
        <v>80</v>
      </c>
      <c r="Y526">
        <v>0</v>
      </c>
      <c r="AD526" t="s">
        <v>57</v>
      </c>
      <c r="AE526">
        <v>0</v>
      </c>
      <c r="AF526">
        <v>6</v>
      </c>
      <c r="AG526">
        <v>1</v>
      </c>
      <c r="AH526">
        <v>1.5</v>
      </c>
      <c r="AI526">
        <v>512</v>
      </c>
      <c r="AJ526">
        <v>512</v>
      </c>
      <c r="AK526">
        <v>80</v>
      </c>
      <c r="AL526" t="s">
        <v>81</v>
      </c>
      <c r="AM526">
        <v>2</v>
      </c>
      <c r="AN526" t="s">
        <v>1681</v>
      </c>
      <c r="AO526" t="s">
        <v>67</v>
      </c>
      <c r="AP526" t="s">
        <v>68</v>
      </c>
      <c r="AQ526">
        <v>15</v>
      </c>
      <c r="AR526">
        <v>291</v>
      </c>
      <c r="AS526">
        <v>582</v>
      </c>
      <c r="AT526">
        <v>2.6040000000000001</v>
      </c>
      <c r="AU526">
        <v>5.6210000000000004</v>
      </c>
      <c r="AV526" t="s">
        <v>1971</v>
      </c>
      <c r="AW526" t="s">
        <v>1972</v>
      </c>
      <c r="AX526" t="s">
        <v>1973</v>
      </c>
    </row>
    <row r="527" spans="1:50" x14ac:dyDescent="0.25">
      <c r="A527" t="s">
        <v>1974</v>
      </c>
      <c r="B527" t="s">
        <v>1679</v>
      </c>
      <c r="C527">
        <v>0</v>
      </c>
      <c r="D527">
        <v>0</v>
      </c>
      <c r="E527" t="s">
        <v>1725</v>
      </c>
      <c r="H527">
        <v>0</v>
      </c>
      <c r="N527">
        <v>1</v>
      </c>
      <c r="Q527">
        <v>0</v>
      </c>
      <c r="R527">
        <v>1</v>
      </c>
      <c r="U527" t="s">
        <v>1687</v>
      </c>
      <c r="V527">
        <v>53</v>
      </c>
      <c r="W527" t="s">
        <v>79</v>
      </c>
      <c r="X527" t="s">
        <v>111</v>
      </c>
      <c r="Y527">
        <v>0</v>
      </c>
      <c r="Z527">
        <v>68.492000000000004</v>
      </c>
      <c r="AB527" t="s">
        <v>94</v>
      </c>
      <c r="AD527" t="s">
        <v>57</v>
      </c>
      <c r="AE527">
        <v>0</v>
      </c>
      <c r="AF527">
        <v>6</v>
      </c>
      <c r="AG527">
        <v>1</v>
      </c>
      <c r="AH527">
        <v>1.5</v>
      </c>
      <c r="AI527">
        <v>512</v>
      </c>
      <c r="AJ527">
        <v>512</v>
      </c>
      <c r="AK527">
        <v>80</v>
      </c>
      <c r="AL527" t="s">
        <v>128</v>
      </c>
      <c r="AM527">
        <v>2</v>
      </c>
      <c r="AN527" t="s">
        <v>996</v>
      </c>
      <c r="AO527" t="s">
        <v>67</v>
      </c>
      <c r="AP527" t="s">
        <v>68</v>
      </c>
      <c r="AQ527">
        <v>15</v>
      </c>
      <c r="AR527">
        <v>107</v>
      </c>
      <c r="AS527">
        <v>214</v>
      </c>
      <c r="AT527">
        <v>4.2</v>
      </c>
      <c r="AU527">
        <v>7</v>
      </c>
      <c r="AV527" t="s">
        <v>1975</v>
      </c>
      <c r="AW527" t="s">
        <v>1976</v>
      </c>
      <c r="AX527" t="s">
        <v>1977</v>
      </c>
    </row>
    <row r="528" spans="1:50" x14ac:dyDescent="0.25">
      <c r="A528" t="s">
        <v>1978</v>
      </c>
      <c r="B528" t="s">
        <v>1679</v>
      </c>
      <c r="C528">
        <v>0</v>
      </c>
      <c r="D528">
        <v>1</v>
      </c>
      <c r="E528" t="s">
        <v>1698</v>
      </c>
      <c r="H528">
        <v>1</v>
      </c>
      <c r="N528">
        <v>0</v>
      </c>
      <c r="Q528">
        <v>0</v>
      </c>
      <c r="R528">
        <v>1</v>
      </c>
      <c r="U528" t="s">
        <v>65</v>
      </c>
      <c r="V528">
        <v>52</v>
      </c>
      <c r="W528" t="s">
        <v>1704</v>
      </c>
      <c r="X528" t="s">
        <v>80</v>
      </c>
      <c r="Y528">
        <v>0</v>
      </c>
      <c r="Z528">
        <v>112.49</v>
      </c>
      <c r="AB528" t="s">
        <v>269</v>
      </c>
      <c r="AD528" t="s">
        <v>57</v>
      </c>
      <c r="AE528">
        <v>0</v>
      </c>
      <c r="AF528">
        <v>6</v>
      </c>
      <c r="AG528">
        <v>1</v>
      </c>
      <c r="AH528">
        <v>3</v>
      </c>
      <c r="AI528">
        <v>512</v>
      </c>
      <c r="AJ528">
        <v>512</v>
      </c>
      <c r="AK528">
        <v>134</v>
      </c>
      <c r="AL528" t="s">
        <v>119</v>
      </c>
      <c r="AM528">
        <v>2.4</v>
      </c>
      <c r="AN528" t="s">
        <v>1786</v>
      </c>
      <c r="AO528" t="s">
        <v>67</v>
      </c>
      <c r="AP528" t="s">
        <v>1979</v>
      </c>
      <c r="AQ528">
        <v>15</v>
      </c>
      <c r="AR528">
        <v>246</v>
      </c>
      <c r="AS528">
        <v>492</v>
      </c>
      <c r="AT528">
        <v>2.64</v>
      </c>
      <c r="AU528">
        <v>5.48</v>
      </c>
      <c r="AV528" t="s">
        <v>1980</v>
      </c>
      <c r="AW528" t="s">
        <v>1981</v>
      </c>
      <c r="AX528" t="s">
        <v>1982</v>
      </c>
    </row>
    <row r="529" spans="1:50" x14ac:dyDescent="0.25">
      <c r="A529" t="s">
        <v>1983</v>
      </c>
      <c r="B529" t="s">
        <v>1679</v>
      </c>
      <c r="C529">
        <v>0</v>
      </c>
      <c r="D529">
        <v>0</v>
      </c>
      <c r="E529" t="s">
        <v>1680</v>
      </c>
      <c r="H529">
        <v>0</v>
      </c>
      <c r="N529">
        <v>1</v>
      </c>
      <c r="Q529">
        <v>0</v>
      </c>
      <c r="R529">
        <v>0</v>
      </c>
      <c r="U529" t="s">
        <v>1687</v>
      </c>
      <c r="V529">
        <v>55</v>
      </c>
      <c r="X529" t="s">
        <v>55</v>
      </c>
      <c r="Y529">
        <v>0</v>
      </c>
      <c r="AD529" t="s">
        <v>57</v>
      </c>
      <c r="AE529">
        <v>0</v>
      </c>
      <c r="AF529">
        <v>6</v>
      </c>
      <c r="AG529">
        <v>1</v>
      </c>
      <c r="AH529">
        <v>1.5</v>
      </c>
      <c r="AI529">
        <v>512</v>
      </c>
      <c r="AJ529">
        <v>512</v>
      </c>
      <c r="AK529">
        <v>72</v>
      </c>
      <c r="AL529" t="s">
        <v>119</v>
      </c>
      <c r="AM529">
        <v>2.2000000000000002</v>
      </c>
      <c r="AN529" t="s">
        <v>1072</v>
      </c>
      <c r="AO529" t="s">
        <v>67</v>
      </c>
      <c r="AP529" t="s">
        <v>68</v>
      </c>
      <c r="AQ529">
        <v>15</v>
      </c>
      <c r="AR529">
        <v>340</v>
      </c>
      <c r="AS529">
        <v>681</v>
      </c>
      <c r="AT529">
        <v>4.2359999999999998</v>
      </c>
      <c r="AU529">
        <v>8.6679999999999993</v>
      </c>
      <c r="AV529" t="s">
        <v>1984</v>
      </c>
      <c r="AW529" t="s">
        <v>1985</v>
      </c>
      <c r="AX529" t="s">
        <v>1986</v>
      </c>
    </row>
    <row r="530" spans="1:50" x14ac:dyDescent="0.25">
      <c r="A530" t="s">
        <v>1987</v>
      </c>
      <c r="B530" t="s">
        <v>1679</v>
      </c>
      <c r="C530">
        <v>0</v>
      </c>
      <c r="D530">
        <v>1</v>
      </c>
      <c r="E530" t="s">
        <v>1698</v>
      </c>
      <c r="H530">
        <v>0</v>
      </c>
      <c r="N530">
        <v>1</v>
      </c>
      <c r="Q530">
        <v>0</v>
      </c>
      <c r="R530">
        <v>0</v>
      </c>
      <c r="U530" t="s">
        <v>1687</v>
      </c>
      <c r="W530" t="s">
        <v>1688</v>
      </c>
      <c r="Y530">
        <v>0</v>
      </c>
      <c r="Z530">
        <v>64.86</v>
      </c>
      <c r="AB530" t="s">
        <v>74</v>
      </c>
      <c r="AD530" t="s">
        <v>57</v>
      </c>
      <c r="AE530">
        <v>0</v>
      </c>
      <c r="AF530">
        <v>6</v>
      </c>
      <c r="AG530">
        <v>1</v>
      </c>
      <c r="AH530">
        <v>1.5</v>
      </c>
      <c r="AI530">
        <v>512</v>
      </c>
      <c r="AJ530">
        <v>512</v>
      </c>
      <c r="AK530">
        <v>80</v>
      </c>
      <c r="AL530" t="s">
        <v>497</v>
      </c>
      <c r="AM530">
        <v>2</v>
      </c>
      <c r="AN530" t="s">
        <v>996</v>
      </c>
      <c r="AO530" t="s">
        <v>67</v>
      </c>
      <c r="AP530" t="s">
        <v>68</v>
      </c>
      <c r="AQ530">
        <v>15</v>
      </c>
      <c r="AR530">
        <v>49</v>
      </c>
      <c r="AS530">
        <v>99</v>
      </c>
      <c r="AT530">
        <v>4.2</v>
      </c>
      <c r="AU530">
        <v>7.0960000000000001</v>
      </c>
      <c r="AV530" t="s">
        <v>1988</v>
      </c>
      <c r="AW530" t="s">
        <v>1956</v>
      </c>
      <c r="AX530" t="s">
        <v>1989</v>
      </c>
    </row>
    <row r="531" spans="1:50" x14ac:dyDescent="0.25">
      <c r="A531" t="s">
        <v>1990</v>
      </c>
      <c r="B531" t="s">
        <v>1679</v>
      </c>
      <c r="C531">
        <v>0</v>
      </c>
      <c r="D531">
        <v>1</v>
      </c>
      <c r="E531" t="s">
        <v>1686</v>
      </c>
      <c r="H531">
        <v>0</v>
      </c>
      <c r="N531">
        <v>1</v>
      </c>
      <c r="Q531">
        <v>0</v>
      </c>
      <c r="R531">
        <v>1</v>
      </c>
      <c r="U531" t="s">
        <v>1687</v>
      </c>
      <c r="V531">
        <v>51</v>
      </c>
      <c r="W531" t="s">
        <v>1704</v>
      </c>
      <c r="X531" t="s">
        <v>80</v>
      </c>
      <c r="Y531">
        <v>0</v>
      </c>
      <c r="Z531">
        <v>70.307000000000002</v>
      </c>
      <c r="AB531" t="s">
        <v>94</v>
      </c>
      <c r="AD531" t="s">
        <v>57</v>
      </c>
      <c r="AE531">
        <v>0</v>
      </c>
      <c r="AF531">
        <v>6</v>
      </c>
      <c r="AG531">
        <v>1</v>
      </c>
      <c r="AH531">
        <v>1.5</v>
      </c>
      <c r="AI531">
        <v>512</v>
      </c>
      <c r="AJ531">
        <v>512</v>
      </c>
      <c r="AK531">
        <v>80</v>
      </c>
      <c r="AL531" t="s">
        <v>153</v>
      </c>
      <c r="AM531">
        <v>2</v>
      </c>
      <c r="AN531" t="s">
        <v>996</v>
      </c>
      <c r="AO531" t="s">
        <v>67</v>
      </c>
      <c r="AP531" t="s">
        <v>68</v>
      </c>
      <c r="AQ531">
        <v>15</v>
      </c>
      <c r="AR531">
        <v>121</v>
      </c>
      <c r="AS531">
        <v>243</v>
      </c>
      <c r="AT531">
        <v>4.2</v>
      </c>
      <c r="AU531">
        <v>7</v>
      </c>
      <c r="AV531" t="s">
        <v>1991</v>
      </c>
      <c r="AW531" t="s">
        <v>1992</v>
      </c>
      <c r="AX531" t="s">
        <v>1993</v>
      </c>
    </row>
    <row r="532" spans="1:50" x14ac:dyDescent="0.25">
      <c r="A532" t="s">
        <v>1994</v>
      </c>
      <c r="B532" t="s">
        <v>1679</v>
      </c>
      <c r="C532">
        <v>0</v>
      </c>
      <c r="D532">
        <v>1</v>
      </c>
      <c r="E532" t="s">
        <v>1740</v>
      </c>
      <c r="H532">
        <v>0</v>
      </c>
      <c r="N532">
        <v>1</v>
      </c>
      <c r="Q532">
        <v>1</v>
      </c>
      <c r="R532">
        <v>0</v>
      </c>
      <c r="U532" t="s">
        <v>1735</v>
      </c>
      <c r="V532">
        <v>45</v>
      </c>
      <c r="W532" t="s">
        <v>1726</v>
      </c>
      <c r="X532" t="s">
        <v>55</v>
      </c>
      <c r="Y532">
        <v>0</v>
      </c>
      <c r="Z532">
        <v>98.429556810899996</v>
      </c>
      <c r="AB532" t="s">
        <v>56</v>
      </c>
      <c r="AD532" t="s">
        <v>57</v>
      </c>
      <c r="AE532">
        <v>0</v>
      </c>
      <c r="AF532">
        <v>6</v>
      </c>
      <c r="AG532">
        <v>1</v>
      </c>
      <c r="AH532">
        <v>1.5</v>
      </c>
      <c r="AI532">
        <v>512</v>
      </c>
      <c r="AJ532">
        <v>512</v>
      </c>
      <c r="AK532">
        <v>80</v>
      </c>
      <c r="AL532" t="s">
        <v>1010</v>
      </c>
      <c r="AM532">
        <v>2</v>
      </c>
      <c r="AN532" t="s">
        <v>1011</v>
      </c>
      <c r="AO532" t="s">
        <v>59</v>
      </c>
      <c r="AP532" t="s">
        <v>60</v>
      </c>
      <c r="AQ532">
        <v>11</v>
      </c>
      <c r="AR532">
        <v>52</v>
      </c>
      <c r="AS532">
        <v>137</v>
      </c>
      <c r="AT532">
        <v>1.67</v>
      </c>
      <c r="AU532">
        <v>4.51</v>
      </c>
      <c r="AV532" t="s">
        <v>1995</v>
      </c>
      <c r="AW532" t="s">
        <v>1996</v>
      </c>
      <c r="AX532" t="s">
        <v>1997</v>
      </c>
    </row>
    <row r="533" spans="1:50" x14ac:dyDescent="0.25">
      <c r="A533" t="s">
        <v>1998</v>
      </c>
      <c r="B533" t="s">
        <v>1679</v>
      </c>
      <c r="C533">
        <v>0</v>
      </c>
      <c r="D533">
        <v>0</v>
      </c>
      <c r="E533" t="s">
        <v>1703</v>
      </c>
      <c r="H533">
        <v>0</v>
      </c>
      <c r="N533">
        <v>0</v>
      </c>
      <c r="Q533">
        <v>0</v>
      </c>
      <c r="R533">
        <v>0</v>
      </c>
      <c r="U533" t="s">
        <v>65</v>
      </c>
      <c r="V533">
        <v>54</v>
      </c>
      <c r="W533" t="s">
        <v>79</v>
      </c>
      <c r="X533" t="s">
        <v>80</v>
      </c>
      <c r="Y533">
        <v>0</v>
      </c>
      <c r="Z533">
        <v>72.574788432000005</v>
      </c>
      <c r="AB533" t="s">
        <v>94</v>
      </c>
      <c r="AD533" t="s">
        <v>57</v>
      </c>
      <c r="AE533">
        <v>1</v>
      </c>
      <c r="AF533">
        <v>5</v>
      </c>
      <c r="AG533">
        <v>1</v>
      </c>
      <c r="AH533">
        <v>1.5</v>
      </c>
      <c r="AI533">
        <v>384</v>
      </c>
      <c r="AJ533">
        <v>384</v>
      </c>
      <c r="AK533">
        <v>160</v>
      </c>
      <c r="AL533" t="s">
        <v>75</v>
      </c>
      <c r="AM533">
        <v>1</v>
      </c>
      <c r="AN533" t="s">
        <v>1741</v>
      </c>
      <c r="AO533" t="s">
        <v>59</v>
      </c>
      <c r="AP533" t="s">
        <v>60</v>
      </c>
      <c r="AQ533">
        <v>11</v>
      </c>
      <c r="AR533">
        <v>200</v>
      </c>
      <c r="AS533">
        <v>502</v>
      </c>
      <c r="AT533">
        <v>2.37</v>
      </c>
      <c r="AU533">
        <v>5.15</v>
      </c>
      <c r="AV533" t="s">
        <v>1999</v>
      </c>
      <c r="AW533" t="s">
        <v>2000</v>
      </c>
      <c r="AX533" t="s">
        <v>2001</v>
      </c>
    </row>
    <row r="534" spans="1:50" x14ac:dyDescent="0.25">
      <c r="A534" t="s">
        <v>2002</v>
      </c>
      <c r="B534" t="s">
        <v>1679</v>
      </c>
      <c r="C534">
        <v>0</v>
      </c>
      <c r="D534">
        <v>0</v>
      </c>
      <c r="E534" t="s">
        <v>1686</v>
      </c>
      <c r="H534">
        <v>1</v>
      </c>
      <c r="N534">
        <v>1</v>
      </c>
      <c r="Q534">
        <v>0</v>
      </c>
      <c r="R534">
        <v>1</v>
      </c>
      <c r="U534" t="s">
        <v>1687</v>
      </c>
      <c r="V534">
        <v>46</v>
      </c>
      <c r="X534" t="s">
        <v>80</v>
      </c>
      <c r="Y534">
        <v>0</v>
      </c>
      <c r="AD534" t="s">
        <v>57</v>
      </c>
      <c r="AE534">
        <v>1</v>
      </c>
      <c r="AF534">
        <v>6</v>
      </c>
      <c r="AG534">
        <v>1</v>
      </c>
      <c r="AH534">
        <v>1.5</v>
      </c>
      <c r="AI534">
        <v>384</v>
      </c>
      <c r="AJ534">
        <v>384</v>
      </c>
      <c r="AK534">
        <v>160</v>
      </c>
      <c r="AL534" t="s">
        <v>1719</v>
      </c>
      <c r="AM534">
        <v>1</v>
      </c>
      <c r="AN534" t="s">
        <v>1728</v>
      </c>
      <c r="AO534" t="s">
        <v>59</v>
      </c>
      <c r="AP534" t="s">
        <v>1729</v>
      </c>
      <c r="AQ534">
        <v>11</v>
      </c>
      <c r="AR534">
        <v>35</v>
      </c>
      <c r="AS534">
        <v>94</v>
      </c>
      <c r="AT534">
        <v>1.81</v>
      </c>
      <c r="AU534">
        <v>5.05</v>
      </c>
      <c r="AV534" t="s">
        <v>1730</v>
      </c>
      <c r="AW534" t="s">
        <v>2003</v>
      </c>
      <c r="AX534" t="s">
        <v>2004</v>
      </c>
    </row>
    <row r="535" spans="1:50" x14ac:dyDescent="0.25">
      <c r="A535" t="s">
        <v>2005</v>
      </c>
      <c r="B535" t="s">
        <v>1679</v>
      </c>
      <c r="C535">
        <v>0</v>
      </c>
      <c r="D535">
        <v>0</v>
      </c>
      <c r="E535" t="s">
        <v>1703</v>
      </c>
      <c r="H535">
        <v>1</v>
      </c>
      <c r="N535">
        <v>1</v>
      </c>
      <c r="Q535">
        <v>0</v>
      </c>
      <c r="R535">
        <v>1</v>
      </c>
      <c r="U535" t="s">
        <v>1687</v>
      </c>
      <c r="V535">
        <v>30</v>
      </c>
      <c r="W535" t="s">
        <v>1688</v>
      </c>
      <c r="X535" t="s">
        <v>80</v>
      </c>
      <c r="Y535">
        <v>0</v>
      </c>
      <c r="Z535">
        <v>60.328000000000003</v>
      </c>
      <c r="AB535" t="s">
        <v>74</v>
      </c>
      <c r="AD535" t="s">
        <v>57</v>
      </c>
      <c r="AE535">
        <v>0</v>
      </c>
      <c r="AF535">
        <v>6</v>
      </c>
      <c r="AG535">
        <v>1</v>
      </c>
      <c r="AH535">
        <v>3</v>
      </c>
      <c r="AI535">
        <v>512</v>
      </c>
      <c r="AJ535">
        <v>512</v>
      </c>
      <c r="AK535">
        <v>80</v>
      </c>
      <c r="AL535" t="s">
        <v>66</v>
      </c>
      <c r="AM535">
        <v>2</v>
      </c>
      <c r="AN535" t="s">
        <v>1915</v>
      </c>
      <c r="AO535" t="s">
        <v>67</v>
      </c>
      <c r="AP535" t="s">
        <v>68</v>
      </c>
      <c r="AQ535">
        <v>15</v>
      </c>
      <c r="AR535">
        <v>389</v>
      </c>
      <c r="AS535">
        <v>778</v>
      </c>
      <c r="AT535">
        <v>2.1720000000000002</v>
      </c>
      <c r="AU535">
        <v>5.4509999999999996</v>
      </c>
      <c r="AV535" t="s">
        <v>2006</v>
      </c>
      <c r="AW535" t="s">
        <v>2007</v>
      </c>
      <c r="AX535" t="s">
        <v>2008</v>
      </c>
    </row>
    <row r="536" spans="1:50" x14ac:dyDescent="0.25">
      <c r="A536" t="s">
        <v>2009</v>
      </c>
      <c r="B536" t="s">
        <v>1679</v>
      </c>
      <c r="C536">
        <v>0</v>
      </c>
      <c r="D536">
        <v>1</v>
      </c>
      <c r="E536" t="s">
        <v>1698</v>
      </c>
      <c r="H536">
        <v>1</v>
      </c>
      <c r="N536">
        <v>0</v>
      </c>
      <c r="Q536">
        <v>0</v>
      </c>
      <c r="R536">
        <v>1</v>
      </c>
      <c r="U536" t="s">
        <v>65</v>
      </c>
      <c r="V536">
        <v>59</v>
      </c>
      <c r="W536" t="s">
        <v>79</v>
      </c>
      <c r="X536" t="s">
        <v>80</v>
      </c>
      <c r="Y536">
        <v>0</v>
      </c>
      <c r="Z536">
        <v>76.203999999999994</v>
      </c>
      <c r="AB536" t="s">
        <v>94</v>
      </c>
      <c r="AD536" t="s">
        <v>57</v>
      </c>
      <c r="AE536">
        <v>0</v>
      </c>
      <c r="AF536">
        <v>6</v>
      </c>
      <c r="AG536">
        <v>1</v>
      </c>
      <c r="AH536">
        <v>1.5</v>
      </c>
      <c r="AI536">
        <v>512</v>
      </c>
      <c r="AJ536">
        <v>512</v>
      </c>
      <c r="AK536">
        <v>80</v>
      </c>
      <c r="AL536" t="s">
        <v>196</v>
      </c>
      <c r="AM536">
        <v>2</v>
      </c>
      <c r="AN536" t="s">
        <v>1681</v>
      </c>
      <c r="AO536" t="s">
        <v>67</v>
      </c>
      <c r="AP536" t="s">
        <v>68</v>
      </c>
      <c r="AQ536">
        <v>15</v>
      </c>
      <c r="AR536">
        <v>235</v>
      </c>
      <c r="AS536">
        <v>470</v>
      </c>
      <c r="AT536">
        <v>2.6440000000000001</v>
      </c>
      <c r="AU536">
        <v>6.08</v>
      </c>
      <c r="AV536" t="s">
        <v>2010</v>
      </c>
      <c r="AW536" t="s">
        <v>2011</v>
      </c>
      <c r="AX536" t="s">
        <v>2012</v>
      </c>
    </row>
    <row r="537" spans="1:50" x14ac:dyDescent="0.25">
      <c r="A537" t="s">
        <v>2013</v>
      </c>
      <c r="B537" t="s">
        <v>1679</v>
      </c>
      <c r="C537">
        <v>0</v>
      </c>
      <c r="D537">
        <v>1</v>
      </c>
      <c r="E537" t="s">
        <v>1698</v>
      </c>
      <c r="H537">
        <v>1</v>
      </c>
      <c r="N537">
        <v>0</v>
      </c>
      <c r="Q537">
        <v>0</v>
      </c>
      <c r="R537">
        <v>1</v>
      </c>
      <c r="U537" t="s">
        <v>65</v>
      </c>
      <c r="V537">
        <v>56</v>
      </c>
      <c r="W537" t="s">
        <v>79</v>
      </c>
      <c r="X537" t="s">
        <v>80</v>
      </c>
      <c r="Y537">
        <v>0</v>
      </c>
      <c r="Z537">
        <v>90.72</v>
      </c>
      <c r="AB537" t="s">
        <v>118</v>
      </c>
      <c r="AD537" t="s">
        <v>57</v>
      </c>
      <c r="AE537">
        <v>0</v>
      </c>
      <c r="AF537">
        <v>6</v>
      </c>
      <c r="AG537">
        <v>1</v>
      </c>
      <c r="AH537">
        <v>1.5</v>
      </c>
      <c r="AI537">
        <v>512</v>
      </c>
      <c r="AJ537">
        <v>512</v>
      </c>
      <c r="AK537">
        <v>80</v>
      </c>
      <c r="AL537" t="s">
        <v>153</v>
      </c>
      <c r="AM537">
        <v>2</v>
      </c>
      <c r="AN537" t="s">
        <v>996</v>
      </c>
      <c r="AO537" t="s">
        <v>67</v>
      </c>
      <c r="AP537" t="s">
        <v>68</v>
      </c>
      <c r="AQ537">
        <v>15</v>
      </c>
      <c r="AR537">
        <v>45</v>
      </c>
      <c r="AS537">
        <v>90</v>
      </c>
      <c r="AT537">
        <v>4.2</v>
      </c>
      <c r="AU537">
        <v>7.02</v>
      </c>
      <c r="AV537" t="s">
        <v>2014</v>
      </c>
      <c r="AW537" t="s">
        <v>2015</v>
      </c>
      <c r="AX537" t="s">
        <v>2016</v>
      </c>
    </row>
    <row r="538" spans="1:50" x14ac:dyDescent="0.25">
      <c r="A538" t="s">
        <v>2017</v>
      </c>
      <c r="B538" t="s">
        <v>1679</v>
      </c>
      <c r="C538">
        <v>0</v>
      </c>
      <c r="D538">
        <v>1</v>
      </c>
      <c r="E538" t="s">
        <v>1791</v>
      </c>
      <c r="H538">
        <v>0</v>
      </c>
      <c r="N538">
        <v>1</v>
      </c>
      <c r="Q538">
        <v>1</v>
      </c>
      <c r="R538">
        <v>0</v>
      </c>
      <c r="U538" t="s">
        <v>1735</v>
      </c>
      <c r="V538">
        <v>39</v>
      </c>
      <c r="W538" t="s">
        <v>1726</v>
      </c>
      <c r="X538" t="s">
        <v>80</v>
      </c>
      <c r="Y538">
        <v>0</v>
      </c>
      <c r="Z538">
        <v>86.183000000000007</v>
      </c>
      <c r="AB538" t="s">
        <v>118</v>
      </c>
      <c r="AD538" t="s">
        <v>57</v>
      </c>
      <c r="AE538">
        <v>0</v>
      </c>
      <c r="AF538">
        <v>6</v>
      </c>
      <c r="AG538">
        <v>1</v>
      </c>
      <c r="AH538">
        <v>1.5</v>
      </c>
      <c r="AI538">
        <v>512</v>
      </c>
      <c r="AJ538">
        <v>512</v>
      </c>
      <c r="AK538">
        <v>80</v>
      </c>
      <c r="AL538" t="s">
        <v>128</v>
      </c>
      <c r="AM538">
        <v>2</v>
      </c>
      <c r="AN538" t="s">
        <v>996</v>
      </c>
      <c r="AO538" t="s">
        <v>67</v>
      </c>
      <c r="AP538" t="s">
        <v>68</v>
      </c>
      <c r="AQ538">
        <v>15</v>
      </c>
      <c r="AR538">
        <v>69</v>
      </c>
      <c r="AS538">
        <v>138</v>
      </c>
      <c r="AT538">
        <v>4.2</v>
      </c>
      <c r="AU538">
        <v>7</v>
      </c>
      <c r="AV538" t="s">
        <v>2018</v>
      </c>
      <c r="AW538" t="s">
        <v>2019</v>
      </c>
      <c r="AX538" t="s">
        <v>2020</v>
      </c>
    </row>
    <row r="539" spans="1:50" x14ac:dyDescent="0.25">
      <c r="A539" t="s">
        <v>2021</v>
      </c>
      <c r="B539" t="s">
        <v>1679</v>
      </c>
      <c r="C539">
        <v>0</v>
      </c>
      <c r="D539">
        <v>0</v>
      </c>
      <c r="E539" t="s">
        <v>1740</v>
      </c>
      <c r="H539">
        <v>0</v>
      </c>
      <c r="N539">
        <v>1</v>
      </c>
      <c r="Q539">
        <v>1</v>
      </c>
      <c r="R539">
        <v>0</v>
      </c>
      <c r="U539" t="s">
        <v>1735</v>
      </c>
      <c r="V539">
        <v>52</v>
      </c>
      <c r="W539" t="s">
        <v>1726</v>
      </c>
      <c r="X539" t="s">
        <v>80</v>
      </c>
      <c r="Y539">
        <v>0</v>
      </c>
      <c r="AD539" t="s">
        <v>57</v>
      </c>
      <c r="AE539">
        <v>0</v>
      </c>
      <c r="AF539">
        <v>6</v>
      </c>
      <c r="AG539">
        <v>1</v>
      </c>
      <c r="AH539">
        <v>1.5</v>
      </c>
      <c r="AI539">
        <v>512</v>
      </c>
      <c r="AJ539">
        <v>512</v>
      </c>
      <c r="AK539">
        <v>80</v>
      </c>
      <c r="AL539" t="s">
        <v>2022</v>
      </c>
      <c r="AM539">
        <v>2</v>
      </c>
      <c r="AN539" t="s">
        <v>1681</v>
      </c>
      <c r="AO539" t="s">
        <v>67</v>
      </c>
      <c r="AP539" t="s">
        <v>68</v>
      </c>
      <c r="AQ539">
        <v>15</v>
      </c>
      <c r="AR539">
        <v>554</v>
      </c>
      <c r="AS539">
        <v>1343</v>
      </c>
      <c r="AT539">
        <v>2.8279999999999998</v>
      </c>
      <c r="AU539">
        <v>7.7569999999999997</v>
      </c>
      <c r="AV539" t="s">
        <v>2023</v>
      </c>
      <c r="AW539" t="s">
        <v>2024</v>
      </c>
      <c r="AX539" t="s">
        <v>2025</v>
      </c>
    </row>
    <row r="540" spans="1:50" x14ac:dyDescent="0.25">
      <c r="A540" t="s">
        <v>2026</v>
      </c>
      <c r="B540" t="s">
        <v>1679</v>
      </c>
      <c r="C540">
        <v>0</v>
      </c>
      <c r="D540">
        <v>1</v>
      </c>
      <c r="E540" t="s">
        <v>1780</v>
      </c>
      <c r="H540">
        <v>0</v>
      </c>
      <c r="N540">
        <v>1</v>
      </c>
      <c r="Q540">
        <v>0</v>
      </c>
      <c r="R540">
        <v>0</v>
      </c>
      <c r="U540" t="s">
        <v>1687</v>
      </c>
      <c r="V540">
        <v>50</v>
      </c>
      <c r="W540" t="s">
        <v>1688</v>
      </c>
      <c r="X540" t="s">
        <v>80</v>
      </c>
      <c r="Y540">
        <v>0</v>
      </c>
      <c r="AD540" t="s">
        <v>57</v>
      </c>
      <c r="AE540">
        <v>0</v>
      </c>
      <c r="AF540">
        <v>6</v>
      </c>
      <c r="AG540">
        <v>1</v>
      </c>
      <c r="AH540">
        <v>3</v>
      </c>
      <c r="AI540">
        <v>512</v>
      </c>
      <c r="AJ540">
        <v>512</v>
      </c>
      <c r="AK540">
        <v>134</v>
      </c>
      <c r="AL540" t="s">
        <v>119</v>
      </c>
      <c r="AM540">
        <v>2.4</v>
      </c>
      <c r="AN540" t="s">
        <v>1786</v>
      </c>
      <c r="AO540" t="s">
        <v>67</v>
      </c>
      <c r="AP540" t="s">
        <v>68</v>
      </c>
      <c r="AQ540">
        <v>15</v>
      </c>
      <c r="AR540">
        <v>302</v>
      </c>
      <c r="AS540">
        <v>605</v>
      </c>
      <c r="AT540">
        <v>2.7959999999999998</v>
      </c>
      <c r="AU540">
        <v>7.3010000000000002</v>
      </c>
      <c r="AV540" t="s">
        <v>2027</v>
      </c>
      <c r="AW540" t="s">
        <v>2028</v>
      </c>
      <c r="AX540" t="s">
        <v>2029</v>
      </c>
    </row>
    <row r="541" spans="1:50" x14ac:dyDescent="0.25">
      <c r="A541" t="s">
        <v>2030</v>
      </c>
      <c r="B541" t="s">
        <v>1679</v>
      </c>
      <c r="C541">
        <v>0</v>
      </c>
      <c r="D541">
        <v>1</v>
      </c>
      <c r="E541" t="s">
        <v>1725</v>
      </c>
      <c r="H541">
        <v>0</v>
      </c>
      <c r="N541">
        <v>1</v>
      </c>
      <c r="Q541">
        <v>0</v>
      </c>
      <c r="R541">
        <v>0</v>
      </c>
      <c r="U541" t="s">
        <v>1687</v>
      </c>
      <c r="V541">
        <v>47</v>
      </c>
      <c r="W541" t="s">
        <v>1688</v>
      </c>
      <c r="X541" t="s">
        <v>80</v>
      </c>
      <c r="Y541">
        <v>0</v>
      </c>
      <c r="Z541">
        <v>67.584999999999994</v>
      </c>
      <c r="AB541" t="s">
        <v>74</v>
      </c>
      <c r="AD541" t="s">
        <v>57</v>
      </c>
      <c r="AE541">
        <v>0</v>
      </c>
      <c r="AF541">
        <v>6</v>
      </c>
      <c r="AG541">
        <v>1</v>
      </c>
      <c r="AH541">
        <v>1.5</v>
      </c>
      <c r="AI541">
        <v>512</v>
      </c>
      <c r="AJ541">
        <v>512</v>
      </c>
      <c r="AK541">
        <v>80</v>
      </c>
      <c r="AL541" t="s">
        <v>81</v>
      </c>
      <c r="AM541">
        <v>2</v>
      </c>
      <c r="AN541" t="s">
        <v>996</v>
      </c>
      <c r="AO541" t="s">
        <v>67</v>
      </c>
      <c r="AP541" t="s">
        <v>68</v>
      </c>
      <c r="AQ541">
        <v>15</v>
      </c>
      <c r="AR541">
        <v>145</v>
      </c>
      <c r="AS541">
        <v>290</v>
      </c>
      <c r="AT541">
        <v>4.2</v>
      </c>
      <c r="AU541">
        <v>7</v>
      </c>
      <c r="AV541" t="s">
        <v>2031</v>
      </c>
      <c r="AW541" t="s">
        <v>2032</v>
      </c>
      <c r="AX541" t="s">
        <v>2033</v>
      </c>
    </row>
    <row r="542" spans="1:50" x14ac:dyDescent="0.25">
      <c r="A542" t="s">
        <v>2034</v>
      </c>
      <c r="B542" t="s">
        <v>1679</v>
      </c>
      <c r="C542">
        <v>0</v>
      </c>
      <c r="D542">
        <v>1</v>
      </c>
      <c r="E542" t="s">
        <v>2035</v>
      </c>
      <c r="H542">
        <v>0</v>
      </c>
      <c r="N542">
        <v>1</v>
      </c>
      <c r="Q542">
        <v>1</v>
      </c>
      <c r="R542">
        <v>0</v>
      </c>
      <c r="U542" t="s">
        <v>1735</v>
      </c>
      <c r="V542">
        <v>43</v>
      </c>
      <c r="W542" t="s">
        <v>1688</v>
      </c>
      <c r="X542" t="s">
        <v>80</v>
      </c>
      <c r="Y542">
        <v>0</v>
      </c>
      <c r="AD542" t="s">
        <v>57</v>
      </c>
      <c r="AE542">
        <v>0</v>
      </c>
      <c r="AF542">
        <v>6</v>
      </c>
      <c r="AG542">
        <v>1</v>
      </c>
      <c r="AH542">
        <v>1.5</v>
      </c>
      <c r="AI542">
        <v>384</v>
      </c>
      <c r="AJ542">
        <v>384</v>
      </c>
      <c r="AK542">
        <v>160</v>
      </c>
      <c r="AL542" t="s">
        <v>2036</v>
      </c>
      <c r="AM542">
        <v>1</v>
      </c>
      <c r="AN542" t="s">
        <v>1728</v>
      </c>
      <c r="AO542" t="s">
        <v>59</v>
      </c>
      <c r="AP542" t="s">
        <v>1729</v>
      </c>
      <c r="AQ542">
        <v>11</v>
      </c>
      <c r="AR542">
        <v>57</v>
      </c>
      <c r="AS542">
        <v>153</v>
      </c>
      <c r="AT542">
        <v>1.81</v>
      </c>
      <c r="AU542">
        <v>5.05</v>
      </c>
      <c r="AV542" t="s">
        <v>1730</v>
      </c>
      <c r="AW542" t="s">
        <v>2037</v>
      </c>
      <c r="AX542" t="s">
        <v>2038</v>
      </c>
    </row>
    <row r="543" spans="1:50" x14ac:dyDescent="0.25">
      <c r="A543" t="s">
        <v>2039</v>
      </c>
      <c r="B543" t="s">
        <v>1679</v>
      </c>
      <c r="C543">
        <v>0</v>
      </c>
      <c r="D543">
        <v>1</v>
      </c>
      <c r="E543" t="s">
        <v>1780</v>
      </c>
      <c r="H543">
        <v>0</v>
      </c>
      <c r="N543">
        <v>1</v>
      </c>
      <c r="Q543">
        <v>0</v>
      </c>
      <c r="R543">
        <v>0</v>
      </c>
      <c r="U543" t="s">
        <v>1687</v>
      </c>
      <c r="V543">
        <v>44</v>
      </c>
      <c r="W543" t="s">
        <v>1726</v>
      </c>
      <c r="X543" t="s">
        <v>80</v>
      </c>
      <c r="Y543">
        <v>0</v>
      </c>
      <c r="Z543">
        <v>66.677999999999997</v>
      </c>
      <c r="AB543" t="s">
        <v>74</v>
      </c>
      <c r="AD543" t="s">
        <v>57</v>
      </c>
      <c r="AE543">
        <v>0</v>
      </c>
      <c r="AF543">
        <v>6</v>
      </c>
      <c r="AG543">
        <v>1</v>
      </c>
      <c r="AH543">
        <v>1.5</v>
      </c>
      <c r="AI543">
        <v>512</v>
      </c>
      <c r="AJ543">
        <v>512</v>
      </c>
      <c r="AK543">
        <v>80</v>
      </c>
      <c r="AL543" t="s">
        <v>153</v>
      </c>
      <c r="AM543">
        <v>2</v>
      </c>
      <c r="AN543" t="s">
        <v>996</v>
      </c>
      <c r="AO543" t="s">
        <v>67</v>
      </c>
      <c r="AP543" t="s">
        <v>68</v>
      </c>
      <c r="AQ543">
        <v>15</v>
      </c>
      <c r="AR543">
        <v>81</v>
      </c>
      <c r="AS543">
        <v>162</v>
      </c>
      <c r="AT543">
        <v>2.62</v>
      </c>
      <c r="AU543">
        <v>7</v>
      </c>
      <c r="AV543" t="s">
        <v>2040</v>
      </c>
      <c r="AW543" t="s">
        <v>2041</v>
      </c>
      <c r="AX543" t="s">
        <v>2042</v>
      </c>
    </row>
    <row r="544" spans="1:50" x14ac:dyDescent="0.25">
      <c r="A544" t="s">
        <v>2043</v>
      </c>
      <c r="B544" t="s">
        <v>1679</v>
      </c>
      <c r="C544">
        <v>0</v>
      </c>
      <c r="D544">
        <v>1</v>
      </c>
      <c r="E544" t="s">
        <v>1703</v>
      </c>
      <c r="H544">
        <v>0</v>
      </c>
      <c r="N544">
        <v>0</v>
      </c>
      <c r="Q544">
        <v>0</v>
      </c>
      <c r="R544">
        <v>0</v>
      </c>
      <c r="U544" t="s">
        <v>65</v>
      </c>
      <c r="V544">
        <v>35</v>
      </c>
      <c r="W544" t="s">
        <v>79</v>
      </c>
      <c r="X544" t="s">
        <v>80</v>
      </c>
      <c r="Y544">
        <v>0</v>
      </c>
      <c r="Z544">
        <v>81.650000000000006</v>
      </c>
      <c r="AB544" t="s">
        <v>94</v>
      </c>
      <c r="AD544" t="s">
        <v>57</v>
      </c>
      <c r="AE544">
        <v>0</v>
      </c>
      <c r="AF544">
        <v>6</v>
      </c>
      <c r="AG544">
        <v>1</v>
      </c>
      <c r="AH544">
        <v>1.5</v>
      </c>
      <c r="AI544">
        <v>512</v>
      </c>
      <c r="AJ544">
        <v>512</v>
      </c>
      <c r="AK544">
        <v>64</v>
      </c>
      <c r="AL544" t="s">
        <v>113</v>
      </c>
      <c r="AM544">
        <v>2.5</v>
      </c>
      <c r="AN544" t="s">
        <v>1705</v>
      </c>
      <c r="AO544" t="s">
        <v>67</v>
      </c>
      <c r="AP544" t="s">
        <v>89</v>
      </c>
      <c r="AQ544">
        <v>15</v>
      </c>
      <c r="AR544">
        <v>274</v>
      </c>
      <c r="AS544">
        <v>548</v>
      </c>
      <c r="AT544">
        <v>2.5840000000000001</v>
      </c>
      <c r="AU544">
        <v>5.899</v>
      </c>
      <c r="AV544" t="s">
        <v>2044</v>
      </c>
      <c r="AW544" t="s">
        <v>2045</v>
      </c>
      <c r="AX544" t="s">
        <v>2046</v>
      </c>
    </row>
    <row r="545" spans="1:50" x14ac:dyDescent="0.25">
      <c r="A545" t="s">
        <v>2047</v>
      </c>
      <c r="B545" t="s">
        <v>1679</v>
      </c>
      <c r="C545">
        <v>0</v>
      </c>
      <c r="D545">
        <v>0</v>
      </c>
      <c r="E545" t="s">
        <v>1734</v>
      </c>
      <c r="H545">
        <v>0</v>
      </c>
      <c r="N545">
        <v>1</v>
      </c>
      <c r="Q545">
        <v>1</v>
      </c>
      <c r="R545">
        <v>0</v>
      </c>
      <c r="U545" t="s">
        <v>1735</v>
      </c>
      <c r="V545">
        <v>57</v>
      </c>
      <c r="W545" t="s">
        <v>79</v>
      </c>
      <c r="X545" t="s">
        <v>80</v>
      </c>
      <c r="Y545">
        <v>0</v>
      </c>
      <c r="Z545">
        <v>72.561180659200005</v>
      </c>
      <c r="AB545" t="s">
        <v>94</v>
      </c>
      <c r="AD545" t="s">
        <v>57</v>
      </c>
      <c r="AE545">
        <v>1</v>
      </c>
      <c r="AF545">
        <v>6</v>
      </c>
      <c r="AG545">
        <v>1</v>
      </c>
      <c r="AH545">
        <v>1.5</v>
      </c>
      <c r="AI545">
        <v>256</v>
      </c>
      <c r="AJ545">
        <v>256</v>
      </c>
      <c r="AK545">
        <v>160</v>
      </c>
      <c r="AL545" t="s">
        <v>1950</v>
      </c>
      <c r="AM545">
        <v>1.2000000476999999</v>
      </c>
      <c r="AN545" t="s">
        <v>1720</v>
      </c>
      <c r="AO545" t="s">
        <v>59</v>
      </c>
      <c r="AP545" t="s">
        <v>60</v>
      </c>
      <c r="AQ545">
        <v>11</v>
      </c>
      <c r="AR545">
        <v>272</v>
      </c>
      <c r="AS545">
        <v>476</v>
      </c>
      <c r="AT545">
        <v>1.45</v>
      </c>
      <c r="AU545">
        <v>4.99</v>
      </c>
      <c r="AV545" t="s">
        <v>2048</v>
      </c>
      <c r="AW545" t="s">
        <v>2049</v>
      </c>
      <c r="AX545" t="s">
        <v>2050</v>
      </c>
    </row>
    <row r="546" spans="1:50" x14ac:dyDescent="0.25">
      <c r="A546" t="s">
        <v>2051</v>
      </c>
      <c r="B546" t="s">
        <v>1679</v>
      </c>
      <c r="C546">
        <v>0</v>
      </c>
      <c r="D546">
        <v>1</v>
      </c>
      <c r="E546" t="s">
        <v>1780</v>
      </c>
      <c r="H546">
        <v>0</v>
      </c>
      <c r="N546">
        <v>1</v>
      </c>
      <c r="Q546">
        <v>0</v>
      </c>
      <c r="R546">
        <v>0</v>
      </c>
      <c r="U546" t="s">
        <v>1687</v>
      </c>
      <c r="V546">
        <v>55</v>
      </c>
      <c r="W546" t="s">
        <v>79</v>
      </c>
      <c r="X546" t="s">
        <v>55</v>
      </c>
      <c r="Y546">
        <v>0</v>
      </c>
      <c r="Z546">
        <v>84.821783979900005</v>
      </c>
      <c r="AB546" t="s">
        <v>118</v>
      </c>
      <c r="AD546" t="s">
        <v>57</v>
      </c>
      <c r="AE546">
        <v>0</v>
      </c>
      <c r="AF546">
        <v>6</v>
      </c>
      <c r="AG546">
        <v>1</v>
      </c>
      <c r="AH546">
        <v>1.5</v>
      </c>
      <c r="AI546">
        <v>512</v>
      </c>
      <c r="AJ546">
        <v>512</v>
      </c>
      <c r="AK546">
        <v>80</v>
      </c>
      <c r="AL546" t="s">
        <v>1010</v>
      </c>
      <c r="AM546">
        <v>2</v>
      </c>
      <c r="AN546" t="s">
        <v>1011</v>
      </c>
      <c r="AO546" t="s">
        <v>59</v>
      </c>
      <c r="AP546" t="s">
        <v>60</v>
      </c>
      <c r="AQ546">
        <v>11</v>
      </c>
      <c r="AR546">
        <v>56</v>
      </c>
      <c r="AS546">
        <v>149</v>
      </c>
      <c r="AT546">
        <v>1.67</v>
      </c>
      <c r="AU546">
        <v>4.51</v>
      </c>
      <c r="AV546" t="s">
        <v>2052</v>
      </c>
      <c r="AW546" t="s">
        <v>2053</v>
      </c>
      <c r="AX546" t="s">
        <v>2054</v>
      </c>
    </row>
    <row r="547" spans="1:50" x14ac:dyDescent="0.25">
      <c r="A547" t="s">
        <v>2055</v>
      </c>
      <c r="B547" t="s">
        <v>1679</v>
      </c>
      <c r="C547">
        <v>0</v>
      </c>
      <c r="D547">
        <v>0</v>
      </c>
      <c r="E547" t="s">
        <v>1791</v>
      </c>
      <c r="H547">
        <v>1</v>
      </c>
      <c r="N547">
        <v>0</v>
      </c>
      <c r="Q547">
        <v>1</v>
      </c>
      <c r="R547">
        <v>1</v>
      </c>
      <c r="U547" t="s">
        <v>72</v>
      </c>
      <c r="V547">
        <v>61</v>
      </c>
      <c r="W547" t="s">
        <v>79</v>
      </c>
      <c r="X547" t="s">
        <v>80</v>
      </c>
      <c r="Y547">
        <v>0</v>
      </c>
      <c r="Z547">
        <v>77.111000000000004</v>
      </c>
      <c r="AB547" t="s">
        <v>94</v>
      </c>
      <c r="AD547" t="s">
        <v>57</v>
      </c>
      <c r="AE547">
        <v>0</v>
      </c>
      <c r="AF547">
        <v>6</v>
      </c>
      <c r="AG547">
        <v>1</v>
      </c>
      <c r="AH547">
        <v>1.5</v>
      </c>
      <c r="AI547">
        <v>512</v>
      </c>
      <c r="AJ547">
        <v>512</v>
      </c>
      <c r="AK547">
        <v>80</v>
      </c>
      <c r="AL547" t="s">
        <v>81</v>
      </c>
      <c r="AM547">
        <v>2</v>
      </c>
      <c r="AN547" t="s">
        <v>996</v>
      </c>
      <c r="AO547" t="s">
        <v>67</v>
      </c>
      <c r="AP547" t="s">
        <v>68</v>
      </c>
      <c r="AQ547">
        <v>15</v>
      </c>
      <c r="AR547">
        <v>104</v>
      </c>
      <c r="AS547">
        <v>208</v>
      </c>
      <c r="AT547">
        <v>4.2</v>
      </c>
      <c r="AU547">
        <v>7</v>
      </c>
      <c r="AV547" t="s">
        <v>2056</v>
      </c>
      <c r="AW547" t="s">
        <v>2057</v>
      </c>
      <c r="AX547" t="s">
        <v>2058</v>
      </c>
    </row>
    <row r="548" spans="1:50" x14ac:dyDescent="0.25">
      <c r="A548" t="s">
        <v>2059</v>
      </c>
      <c r="B548" t="s">
        <v>1679</v>
      </c>
      <c r="C548">
        <v>0</v>
      </c>
      <c r="D548">
        <v>1</v>
      </c>
      <c r="E548" t="s">
        <v>1686</v>
      </c>
      <c r="H548">
        <v>0</v>
      </c>
      <c r="N548">
        <v>0</v>
      </c>
      <c r="Q548">
        <v>0</v>
      </c>
      <c r="R548">
        <v>1</v>
      </c>
      <c r="U548" t="s">
        <v>65</v>
      </c>
      <c r="V548">
        <v>45</v>
      </c>
      <c r="W548" t="s">
        <v>1688</v>
      </c>
      <c r="X548" t="s">
        <v>80</v>
      </c>
      <c r="Y548">
        <v>0</v>
      </c>
      <c r="Z548">
        <v>87.09</v>
      </c>
      <c r="AB548" t="s">
        <v>118</v>
      </c>
      <c r="AD548" t="s">
        <v>57</v>
      </c>
      <c r="AE548">
        <v>0</v>
      </c>
      <c r="AF548">
        <v>6</v>
      </c>
      <c r="AG548">
        <v>1</v>
      </c>
      <c r="AH548">
        <v>1.5</v>
      </c>
      <c r="AI548">
        <v>512</v>
      </c>
      <c r="AJ548">
        <v>512</v>
      </c>
      <c r="AK548">
        <v>72</v>
      </c>
      <c r="AL548" t="s">
        <v>119</v>
      </c>
      <c r="AM548">
        <v>2.2000000000000002</v>
      </c>
      <c r="AN548" t="s">
        <v>1072</v>
      </c>
      <c r="AO548" t="s">
        <v>67</v>
      </c>
      <c r="AP548" t="s">
        <v>68</v>
      </c>
      <c r="AQ548">
        <v>15</v>
      </c>
      <c r="AR548">
        <v>153</v>
      </c>
      <c r="AS548">
        <v>306</v>
      </c>
      <c r="AT548">
        <v>4.2359999999999998</v>
      </c>
      <c r="AU548">
        <v>8.6679999999999993</v>
      </c>
      <c r="AV548" t="s">
        <v>2060</v>
      </c>
      <c r="AW548" t="s">
        <v>2061</v>
      </c>
      <c r="AX548" t="s">
        <v>2062</v>
      </c>
    </row>
    <row r="549" spans="1:50" x14ac:dyDescent="0.25">
      <c r="A549" t="s">
        <v>2063</v>
      </c>
      <c r="B549" t="s">
        <v>1679</v>
      </c>
      <c r="C549">
        <v>0</v>
      </c>
      <c r="D549">
        <v>0</v>
      </c>
      <c r="E549" t="s">
        <v>1680</v>
      </c>
      <c r="H549">
        <v>0</v>
      </c>
      <c r="N549">
        <v>0</v>
      </c>
      <c r="Q549">
        <v>0</v>
      </c>
      <c r="R549">
        <v>1</v>
      </c>
      <c r="U549" t="s">
        <v>65</v>
      </c>
      <c r="V549">
        <v>50</v>
      </c>
      <c r="X549" t="s">
        <v>55</v>
      </c>
      <c r="Y549">
        <v>0</v>
      </c>
      <c r="AD549" t="s">
        <v>57</v>
      </c>
      <c r="AE549">
        <v>0</v>
      </c>
      <c r="AF549">
        <v>6</v>
      </c>
      <c r="AG549">
        <v>1</v>
      </c>
      <c r="AH549">
        <v>1.5</v>
      </c>
      <c r="AI549">
        <v>512</v>
      </c>
      <c r="AJ549">
        <v>512</v>
      </c>
      <c r="AK549">
        <v>72</v>
      </c>
      <c r="AL549" t="s">
        <v>119</v>
      </c>
      <c r="AM549">
        <v>2.2000000000000002</v>
      </c>
      <c r="AN549" t="s">
        <v>1072</v>
      </c>
      <c r="AO549" t="s">
        <v>67</v>
      </c>
      <c r="AP549" t="s">
        <v>68</v>
      </c>
      <c r="AQ549">
        <v>15</v>
      </c>
      <c r="AR549">
        <v>202</v>
      </c>
      <c r="AS549">
        <v>404</v>
      </c>
      <c r="AT549">
        <v>4.2359999999999998</v>
      </c>
      <c r="AU549">
        <v>8.6679999999999993</v>
      </c>
      <c r="AV549" t="s">
        <v>2064</v>
      </c>
      <c r="AW549" t="s">
        <v>2065</v>
      </c>
      <c r="AX549" t="s">
        <v>2066</v>
      </c>
    </row>
    <row r="550" spans="1:50" x14ac:dyDescent="0.25">
      <c r="A550" t="s">
        <v>2067</v>
      </c>
      <c r="B550" t="s">
        <v>1679</v>
      </c>
      <c r="C550">
        <v>0</v>
      </c>
      <c r="D550">
        <v>0</v>
      </c>
      <c r="E550" t="s">
        <v>1791</v>
      </c>
      <c r="H550">
        <v>0</v>
      </c>
      <c r="N550">
        <v>1</v>
      </c>
      <c r="Q550">
        <v>1</v>
      </c>
      <c r="R550">
        <v>0</v>
      </c>
      <c r="U550" t="s">
        <v>1735</v>
      </c>
      <c r="V550">
        <v>37</v>
      </c>
      <c r="W550" t="s">
        <v>1688</v>
      </c>
      <c r="X550" t="s">
        <v>80</v>
      </c>
      <c r="Y550">
        <v>0</v>
      </c>
      <c r="AD550" t="s">
        <v>57</v>
      </c>
      <c r="AE550">
        <v>0</v>
      </c>
      <c r="AF550">
        <v>6</v>
      </c>
      <c r="AG550">
        <v>1</v>
      </c>
      <c r="AH550">
        <v>3</v>
      </c>
      <c r="AI550">
        <v>512</v>
      </c>
      <c r="AJ550">
        <v>512</v>
      </c>
      <c r="AK550">
        <v>134</v>
      </c>
      <c r="AL550" t="s">
        <v>196</v>
      </c>
      <c r="AM550">
        <v>2.4</v>
      </c>
      <c r="AN550" t="s">
        <v>1786</v>
      </c>
      <c r="AO550" t="s">
        <v>67</v>
      </c>
      <c r="AP550" t="s">
        <v>68</v>
      </c>
      <c r="AQ550">
        <v>15</v>
      </c>
      <c r="AR550">
        <v>380</v>
      </c>
      <c r="AS550">
        <v>761</v>
      </c>
      <c r="AT550">
        <v>4.25</v>
      </c>
      <c r="AU550">
        <v>8.5519999999999996</v>
      </c>
      <c r="AV550" t="s">
        <v>2068</v>
      </c>
      <c r="AW550" t="s">
        <v>2069</v>
      </c>
      <c r="AX550" t="s">
        <v>2070</v>
      </c>
    </row>
    <row r="551" spans="1:50" x14ac:dyDescent="0.25">
      <c r="A551" t="s">
        <v>2071</v>
      </c>
      <c r="B551" t="s">
        <v>1679</v>
      </c>
      <c r="C551">
        <v>0</v>
      </c>
      <c r="D551">
        <v>0</v>
      </c>
      <c r="E551" t="s">
        <v>1740</v>
      </c>
      <c r="H551">
        <v>0</v>
      </c>
      <c r="N551">
        <v>1</v>
      </c>
      <c r="Q551">
        <v>1</v>
      </c>
      <c r="R551">
        <v>0</v>
      </c>
      <c r="U551" t="s">
        <v>1735</v>
      </c>
      <c r="V551">
        <v>52</v>
      </c>
      <c r="W551" t="s">
        <v>79</v>
      </c>
      <c r="X551" t="s">
        <v>55</v>
      </c>
      <c r="Y551">
        <v>0</v>
      </c>
      <c r="Z551">
        <v>100</v>
      </c>
      <c r="AB551" t="s">
        <v>56</v>
      </c>
      <c r="AD551" t="s">
        <v>57</v>
      </c>
      <c r="AE551">
        <v>0</v>
      </c>
      <c r="AF551">
        <v>6</v>
      </c>
      <c r="AG551">
        <v>1</v>
      </c>
      <c r="AH551">
        <v>1.5</v>
      </c>
      <c r="AI551">
        <v>400</v>
      </c>
      <c r="AJ551">
        <v>400</v>
      </c>
      <c r="AK551">
        <v>64</v>
      </c>
      <c r="AL551" t="s">
        <v>1924</v>
      </c>
      <c r="AM551">
        <v>2.5</v>
      </c>
      <c r="AN551" t="s">
        <v>1531</v>
      </c>
      <c r="AO551" t="s">
        <v>1155</v>
      </c>
      <c r="AP551" t="s">
        <v>1767</v>
      </c>
      <c r="AQ551">
        <v>11</v>
      </c>
      <c r="AR551">
        <v>712.07</v>
      </c>
      <c r="AS551">
        <v>1237.94</v>
      </c>
      <c r="AT551">
        <v>4.6040000000000001</v>
      </c>
      <c r="AU551">
        <v>7.2138</v>
      </c>
      <c r="AV551" t="s">
        <v>2072</v>
      </c>
      <c r="AW551" t="s">
        <v>2073</v>
      </c>
      <c r="AX551" t="s">
        <v>2074</v>
      </c>
    </row>
    <row r="552" spans="1:50" x14ac:dyDescent="0.25">
      <c r="A552" t="s">
        <v>2075</v>
      </c>
      <c r="B552" t="s">
        <v>1679</v>
      </c>
      <c r="C552">
        <v>0</v>
      </c>
      <c r="D552">
        <v>0</v>
      </c>
      <c r="E552" t="s">
        <v>1839</v>
      </c>
      <c r="H552">
        <v>0</v>
      </c>
      <c r="N552">
        <v>1</v>
      </c>
      <c r="Q552">
        <v>1</v>
      </c>
      <c r="R552">
        <v>0</v>
      </c>
      <c r="U552" t="s">
        <v>1735</v>
      </c>
      <c r="V552">
        <v>33</v>
      </c>
      <c r="W552" t="s">
        <v>1688</v>
      </c>
      <c r="X552" t="s">
        <v>55</v>
      </c>
      <c r="Y552">
        <v>0</v>
      </c>
      <c r="Z552">
        <v>61.234999999999999</v>
      </c>
      <c r="AB552" t="s">
        <v>74</v>
      </c>
      <c r="AD552" t="s">
        <v>57</v>
      </c>
      <c r="AE552">
        <v>0</v>
      </c>
      <c r="AF552">
        <v>6</v>
      </c>
      <c r="AG552">
        <v>1</v>
      </c>
      <c r="AH552">
        <v>1.5</v>
      </c>
      <c r="AI552">
        <v>512</v>
      </c>
      <c r="AJ552">
        <v>512</v>
      </c>
      <c r="AK552">
        <v>72</v>
      </c>
      <c r="AL552" t="s">
        <v>119</v>
      </c>
      <c r="AM552">
        <v>2.2000000000000002</v>
      </c>
      <c r="AN552" t="s">
        <v>1072</v>
      </c>
      <c r="AO552" t="s">
        <v>67</v>
      </c>
      <c r="AP552" t="s">
        <v>68</v>
      </c>
      <c r="AQ552">
        <v>15</v>
      </c>
      <c r="AR552">
        <v>155</v>
      </c>
      <c r="AS552">
        <v>311</v>
      </c>
      <c r="AT552">
        <v>4.2359999999999998</v>
      </c>
      <c r="AU552">
        <v>8.6679999999999993</v>
      </c>
      <c r="AV552" t="s">
        <v>2076</v>
      </c>
      <c r="AW552" t="s">
        <v>2077</v>
      </c>
      <c r="AX552" t="s">
        <v>2078</v>
      </c>
    </row>
    <row r="553" spans="1:50" x14ac:dyDescent="0.25">
      <c r="A553" t="s">
        <v>2079</v>
      </c>
      <c r="B553" t="s">
        <v>1679</v>
      </c>
      <c r="C553">
        <v>0</v>
      </c>
      <c r="D553">
        <v>1</v>
      </c>
      <c r="E553" t="s">
        <v>1698</v>
      </c>
      <c r="H553">
        <v>0</v>
      </c>
      <c r="N553">
        <v>1</v>
      </c>
      <c r="Q553">
        <v>0</v>
      </c>
      <c r="R553">
        <v>0</v>
      </c>
      <c r="U553" t="s">
        <v>1687</v>
      </c>
      <c r="V553">
        <v>64</v>
      </c>
      <c r="W553" t="s">
        <v>79</v>
      </c>
      <c r="X553" t="s">
        <v>80</v>
      </c>
      <c r="Y553">
        <v>0</v>
      </c>
      <c r="AD553" t="s">
        <v>57</v>
      </c>
      <c r="AE553">
        <v>0</v>
      </c>
      <c r="AF553">
        <v>6</v>
      </c>
      <c r="AG553">
        <v>1</v>
      </c>
      <c r="AH553">
        <v>1.5</v>
      </c>
      <c r="AI553">
        <v>512</v>
      </c>
      <c r="AJ553">
        <v>512</v>
      </c>
      <c r="AK553">
        <v>64</v>
      </c>
      <c r="AL553" t="s">
        <v>196</v>
      </c>
      <c r="AM553">
        <v>2.5</v>
      </c>
      <c r="AN553" t="s">
        <v>1705</v>
      </c>
      <c r="AO553" t="s">
        <v>67</v>
      </c>
      <c r="AP553" t="s">
        <v>89</v>
      </c>
      <c r="AQ553">
        <v>15</v>
      </c>
      <c r="AR553">
        <v>317</v>
      </c>
      <c r="AS553">
        <v>635</v>
      </c>
      <c r="AT553">
        <v>2.5640000000000001</v>
      </c>
      <c r="AU553">
        <v>5.7030000000000003</v>
      </c>
      <c r="AV553" t="s">
        <v>2080</v>
      </c>
      <c r="AW553" t="s">
        <v>2081</v>
      </c>
      <c r="AX553" t="s">
        <v>2082</v>
      </c>
    </row>
    <row r="554" spans="1:50" x14ac:dyDescent="0.25">
      <c r="A554" t="s">
        <v>2083</v>
      </c>
      <c r="B554" t="s">
        <v>1679</v>
      </c>
      <c r="C554">
        <v>1</v>
      </c>
      <c r="D554">
        <v>0</v>
      </c>
      <c r="E554" t="s">
        <v>1740</v>
      </c>
      <c r="H554">
        <v>0</v>
      </c>
      <c r="N554">
        <v>1</v>
      </c>
      <c r="Q554">
        <v>1</v>
      </c>
      <c r="R554">
        <v>0</v>
      </c>
      <c r="U554" t="s">
        <v>1735</v>
      </c>
      <c r="V554">
        <v>25</v>
      </c>
      <c r="W554" t="s">
        <v>1726</v>
      </c>
      <c r="X554" t="s">
        <v>80</v>
      </c>
      <c r="Y554">
        <v>0</v>
      </c>
      <c r="AD554" t="s">
        <v>57</v>
      </c>
      <c r="AE554">
        <v>1</v>
      </c>
      <c r="AF554">
        <v>6</v>
      </c>
      <c r="AG554">
        <v>1</v>
      </c>
      <c r="AH554">
        <v>3</v>
      </c>
      <c r="AI554">
        <v>384</v>
      </c>
      <c r="AJ554">
        <v>384</v>
      </c>
      <c r="AK554">
        <v>72</v>
      </c>
      <c r="AL554" t="s">
        <v>1727</v>
      </c>
      <c r="AM554">
        <v>2.5</v>
      </c>
      <c r="AN554" t="s">
        <v>1114</v>
      </c>
      <c r="AO554" t="s">
        <v>59</v>
      </c>
      <c r="AP554" t="s">
        <v>1781</v>
      </c>
      <c r="AQ554">
        <v>11</v>
      </c>
      <c r="AR554">
        <v>52</v>
      </c>
      <c r="AS554">
        <v>143</v>
      </c>
      <c r="AT554">
        <v>1.4</v>
      </c>
      <c r="AU554">
        <v>4.32</v>
      </c>
      <c r="AV554" t="s">
        <v>2084</v>
      </c>
      <c r="AW554" t="s">
        <v>1818</v>
      </c>
      <c r="AX554" t="s">
        <v>2085</v>
      </c>
    </row>
    <row r="555" spans="1:50" x14ac:dyDescent="0.25">
      <c r="A555" t="s">
        <v>2086</v>
      </c>
      <c r="B555" t="s">
        <v>1679</v>
      </c>
      <c r="C555">
        <v>0</v>
      </c>
      <c r="D555">
        <v>0</v>
      </c>
      <c r="E555" t="s">
        <v>1725</v>
      </c>
      <c r="H555">
        <v>0</v>
      </c>
      <c r="N555">
        <v>1</v>
      </c>
      <c r="Q555">
        <v>0</v>
      </c>
      <c r="R555">
        <v>0</v>
      </c>
      <c r="U555" t="s">
        <v>1687</v>
      </c>
      <c r="V555">
        <v>50</v>
      </c>
      <c r="W555" t="s">
        <v>1688</v>
      </c>
      <c r="X555" t="s">
        <v>80</v>
      </c>
      <c r="Y555">
        <v>0</v>
      </c>
      <c r="Z555">
        <v>75</v>
      </c>
      <c r="AB555" t="s">
        <v>94</v>
      </c>
      <c r="AD555" t="s">
        <v>57</v>
      </c>
      <c r="AE555">
        <v>0</v>
      </c>
      <c r="AF555">
        <v>6</v>
      </c>
      <c r="AG555">
        <v>1</v>
      </c>
      <c r="AH555">
        <v>1.5</v>
      </c>
      <c r="AI555">
        <v>512</v>
      </c>
      <c r="AJ555">
        <v>512</v>
      </c>
      <c r="AK555">
        <v>160</v>
      </c>
      <c r="AL555" t="s">
        <v>1876</v>
      </c>
      <c r="AM555">
        <v>2</v>
      </c>
      <c r="AN555" t="s">
        <v>1877</v>
      </c>
      <c r="AO555" t="s">
        <v>1155</v>
      </c>
      <c r="AP555" t="s">
        <v>1767</v>
      </c>
      <c r="AQ555">
        <v>11</v>
      </c>
      <c r="AR555">
        <v>49.55</v>
      </c>
      <c r="AS555">
        <v>86.23</v>
      </c>
      <c r="AT555">
        <v>3.5449999999999999</v>
      </c>
      <c r="AU555">
        <v>7.1864999999999997</v>
      </c>
      <c r="AV555" t="s">
        <v>2087</v>
      </c>
      <c r="AW555" t="s">
        <v>2088</v>
      </c>
      <c r="AX555" t="s">
        <v>2089</v>
      </c>
    </row>
    <row r="556" spans="1:50" x14ac:dyDescent="0.25">
      <c r="A556" t="s">
        <v>2090</v>
      </c>
      <c r="B556" t="s">
        <v>1679</v>
      </c>
      <c r="C556">
        <v>1</v>
      </c>
      <c r="D556">
        <v>0</v>
      </c>
      <c r="E556" t="s">
        <v>1703</v>
      </c>
      <c r="H556">
        <v>0</v>
      </c>
      <c r="N556">
        <v>0</v>
      </c>
      <c r="Q556">
        <v>0</v>
      </c>
      <c r="R556">
        <v>1</v>
      </c>
      <c r="U556" t="s">
        <v>65</v>
      </c>
      <c r="V556">
        <v>40</v>
      </c>
      <c r="W556" t="s">
        <v>1688</v>
      </c>
      <c r="X556" t="s">
        <v>80</v>
      </c>
      <c r="Y556">
        <v>0</v>
      </c>
      <c r="AD556" t="s">
        <v>57</v>
      </c>
      <c r="AE556">
        <v>1</v>
      </c>
      <c r="AF556">
        <v>6</v>
      </c>
      <c r="AG556">
        <v>1</v>
      </c>
      <c r="AH556">
        <v>1.5</v>
      </c>
      <c r="AI556">
        <v>384</v>
      </c>
      <c r="AJ556">
        <v>384</v>
      </c>
      <c r="AK556">
        <v>160</v>
      </c>
      <c r="AL556" t="s">
        <v>75</v>
      </c>
      <c r="AM556">
        <v>1</v>
      </c>
      <c r="AN556" t="s">
        <v>1728</v>
      </c>
      <c r="AO556" t="s">
        <v>59</v>
      </c>
      <c r="AP556" t="s">
        <v>1729</v>
      </c>
      <c r="AQ556">
        <v>11</v>
      </c>
      <c r="AR556">
        <v>71</v>
      </c>
      <c r="AS556">
        <v>194</v>
      </c>
      <c r="AT556">
        <v>1.81</v>
      </c>
      <c r="AU556">
        <v>5.05</v>
      </c>
      <c r="AV556" t="s">
        <v>1817</v>
      </c>
      <c r="AW556" t="s">
        <v>2091</v>
      </c>
      <c r="AX556" t="s">
        <v>2092</v>
      </c>
    </row>
    <row r="557" spans="1:50" x14ac:dyDescent="0.25">
      <c r="A557" t="s">
        <v>2093</v>
      </c>
      <c r="B557" t="s">
        <v>1679</v>
      </c>
      <c r="C557">
        <v>0</v>
      </c>
      <c r="D557">
        <v>1</v>
      </c>
      <c r="E557" t="s">
        <v>1740</v>
      </c>
      <c r="H557">
        <v>0</v>
      </c>
      <c r="N557">
        <v>0</v>
      </c>
      <c r="Q557">
        <v>0</v>
      </c>
      <c r="R557">
        <v>1</v>
      </c>
      <c r="U557" t="s">
        <v>65</v>
      </c>
      <c r="V557">
        <v>48</v>
      </c>
      <c r="W557" t="s">
        <v>1726</v>
      </c>
      <c r="X557" t="s">
        <v>55</v>
      </c>
      <c r="Y557">
        <v>0</v>
      </c>
      <c r="Z557">
        <v>77</v>
      </c>
      <c r="AB557" t="s">
        <v>94</v>
      </c>
      <c r="AD557" t="s">
        <v>57</v>
      </c>
      <c r="AE557">
        <v>0</v>
      </c>
      <c r="AF557">
        <v>6</v>
      </c>
      <c r="AG557">
        <v>1</v>
      </c>
      <c r="AH557">
        <v>3</v>
      </c>
      <c r="AI557">
        <v>384</v>
      </c>
      <c r="AJ557">
        <v>384</v>
      </c>
      <c r="AK557">
        <v>64</v>
      </c>
      <c r="AL557" t="s">
        <v>1394</v>
      </c>
      <c r="AM557">
        <v>2.5</v>
      </c>
      <c r="AN557" t="s">
        <v>1114</v>
      </c>
      <c r="AO557" t="s">
        <v>59</v>
      </c>
      <c r="AP557" t="s">
        <v>1781</v>
      </c>
      <c r="AQ557">
        <v>11</v>
      </c>
      <c r="AR557">
        <v>40</v>
      </c>
      <c r="AS557">
        <v>109</v>
      </c>
      <c r="AT557">
        <v>1.37</v>
      </c>
      <c r="AU557">
        <v>4.32</v>
      </c>
      <c r="AV557" t="s">
        <v>2094</v>
      </c>
      <c r="AW557" t="s">
        <v>2095</v>
      </c>
      <c r="AX557" t="s">
        <v>2096</v>
      </c>
    </row>
    <row r="558" spans="1:50" x14ac:dyDescent="0.25">
      <c r="A558" t="s">
        <v>2097</v>
      </c>
      <c r="B558" t="s">
        <v>1679</v>
      </c>
      <c r="C558">
        <v>0</v>
      </c>
      <c r="D558">
        <v>1</v>
      </c>
      <c r="E558" t="s">
        <v>1680</v>
      </c>
      <c r="H558">
        <v>1</v>
      </c>
      <c r="N558">
        <v>0</v>
      </c>
      <c r="Q558">
        <v>0</v>
      </c>
      <c r="R558">
        <v>1</v>
      </c>
      <c r="U558" t="s">
        <v>65</v>
      </c>
      <c r="V558">
        <v>51</v>
      </c>
      <c r="W558" t="s">
        <v>1688</v>
      </c>
      <c r="X558" t="s">
        <v>80</v>
      </c>
      <c r="Y558">
        <v>0</v>
      </c>
      <c r="Z558">
        <v>89</v>
      </c>
      <c r="AB558" t="s">
        <v>118</v>
      </c>
      <c r="AD558" t="s">
        <v>57</v>
      </c>
      <c r="AE558">
        <v>0</v>
      </c>
      <c r="AF558">
        <v>6</v>
      </c>
      <c r="AG558">
        <v>1</v>
      </c>
      <c r="AH558">
        <v>1.5</v>
      </c>
      <c r="AI558">
        <v>512</v>
      </c>
      <c r="AJ558">
        <v>512</v>
      </c>
      <c r="AK558">
        <v>64</v>
      </c>
      <c r="AL558" t="s">
        <v>196</v>
      </c>
      <c r="AM558">
        <v>2.5</v>
      </c>
      <c r="AN558" t="s">
        <v>1705</v>
      </c>
      <c r="AO558" t="s">
        <v>67</v>
      </c>
      <c r="AP558" t="s">
        <v>89</v>
      </c>
      <c r="AQ558">
        <v>15</v>
      </c>
      <c r="AR558">
        <v>366</v>
      </c>
      <c r="AS558">
        <v>732</v>
      </c>
      <c r="AT558">
        <v>2.5640000000000001</v>
      </c>
      <c r="AU558">
        <v>5.7350000000000003</v>
      </c>
      <c r="AV558" t="s">
        <v>2098</v>
      </c>
      <c r="AW558" t="s">
        <v>2099</v>
      </c>
      <c r="AX558" t="s">
        <v>2100</v>
      </c>
    </row>
    <row r="559" spans="1:50" x14ac:dyDescent="0.25">
      <c r="A559" t="s">
        <v>2101</v>
      </c>
      <c r="B559" t="s">
        <v>1679</v>
      </c>
      <c r="C559">
        <v>0</v>
      </c>
      <c r="D559">
        <v>1</v>
      </c>
      <c r="E559" t="s">
        <v>1725</v>
      </c>
      <c r="H559">
        <v>0</v>
      </c>
      <c r="N559">
        <v>1</v>
      </c>
      <c r="Q559">
        <v>0</v>
      </c>
      <c r="R559">
        <v>0</v>
      </c>
      <c r="U559" t="s">
        <v>1687</v>
      </c>
      <c r="V559">
        <v>56</v>
      </c>
      <c r="W559" t="s">
        <v>79</v>
      </c>
      <c r="X559" t="s">
        <v>80</v>
      </c>
      <c r="Y559">
        <v>0</v>
      </c>
      <c r="AD559" t="s">
        <v>57</v>
      </c>
      <c r="AE559">
        <v>0</v>
      </c>
      <c r="AF559">
        <v>6</v>
      </c>
      <c r="AG559">
        <v>1</v>
      </c>
      <c r="AH559">
        <v>1.5</v>
      </c>
      <c r="AI559">
        <v>512</v>
      </c>
      <c r="AJ559">
        <v>512</v>
      </c>
      <c r="AK559">
        <v>80</v>
      </c>
      <c r="AL559" t="s">
        <v>331</v>
      </c>
      <c r="AM559">
        <v>2</v>
      </c>
      <c r="AN559" t="s">
        <v>1681</v>
      </c>
      <c r="AO559" t="s">
        <v>67</v>
      </c>
      <c r="AP559" t="s">
        <v>68</v>
      </c>
      <c r="AQ559">
        <v>15</v>
      </c>
      <c r="AR559">
        <v>334</v>
      </c>
      <c r="AS559">
        <v>669</v>
      </c>
      <c r="AT559">
        <v>2.7559999999999998</v>
      </c>
      <c r="AU559">
        <v>7.1369999999999996</v>
      </c>
      <c r="AV559" t="s">
        <v>2102</v>
      </c>
      <c r="AW559" t="s">
        <v>2103</v>
      </c>
      <c r="AX559" t="s">
        <v>2104</v>
      </c>
    </row>
    <row r="560" spans="1:50" x14ac:dyDescent="0.25">
      <c r="A560" t="s">
        <v>2105</v>
      </c>
      <c r="B560" t="s">
        <v>1679</v>
      </c>
      <c r="C560">
        <v>0</v>
      </c>
      <c r="D560">
        <v>0</v>
      </c>
      <c r="E560" t="s">
        <v>1725</v>
      </c>
      <c r="H560">
        <v>0</v>
      </c>
      <c r="N560">
        <v>1</v>
      </c>
      <c r="Q560">
        <v>0</v>
      </c>
      <c r="R560">
        <v>0</v>
      </c>
      <c r="U560" t="s">
        <v>1687</v>
      </c>
      <c r="V560">
        <v>48</v>
      </c>
      <c r="W560" t="s">
        <v>1688</v>
      </c>
      <c r="X560" t="s">
        <v>80</v>
      </c>
      <c r="Y560">
        <v>0</v>
      </c>
      <c r="AD560" t="s">
        <v>57</v>
      </c>
      <c r="AE560">
        <v>0</v>
      </c>
      <c r="AF560">
        <v>6</v>
      </c>
      <c r="AG560">
        <v>1</v>
      </c>
      <c r="AH560">
        <v>1.5</v>
      </c>
      <c r="AI560">
        <v>384</v>
      </c>
      <c r="AJ560">
        <v>384</v>
      </c>
      <c r="AK560">
        <v>160</v>
      </c>
      <c r="AL560" t="s">
        <v>75</v>
      </c>
      <c r="AM560">
        <v>1</v>
      </c>
      <c r="AN560" t="s">
        <v>1728</v>
      </c>
      <c r="AO560" t="s">
        <v>59</v>
      </c>
      <c r="AP560" t="s">
        <v>1729</v>
      </c>
      <c r="AQ560">
        <v>11</v>
      </c>
      <c r="AR560">
        <v>49</v>
      </c>
      <c r="AS560">
        <v>133</v>
      </c>
      <c r="AT560">
        <v>1.81</v>
      </c>
      <c r="AU560">
        <v>5.05</v>
      </c>
      <c r="AV560" t="s">
        <v>2106</v>
      </c>
      <c r="AW560" t="s">
        <v>2107</v>
      </c>
      <c r="AX560" t="s">
        <v>2108</v>
      </c>
    </row>
    <row r="561" spans="1:50" x14ac:dyDescent="0.25">
      <c r="A561" t="s">
        <v>2109</v>
      </c>
      <c r="B561" t="s">
        <v>1679</v>
      </c>
      <c r="C561">
        <v>0</v>
      </c>
      <c r="D561">
        <v>0</v>
      </c>
      <c r="E561" t="s">
        <v>1698</v>
      </c>
      <c r="H561">
        <v>1</v>
      </c>
      <c r="N561">
        <v>0</v>
      </c>
      <c r="Q561">
        <v>0</v>
      </c>
      <c r="R561">
        <v>1</v>
      </c>
      <c r="U561" t="s">
        <v>65</v>
      </c>
      <c r="V561">
        <v>58</v>
      </c>
      <c r="W561" t="s">
        <v>79</v>
      </c>
      <c r="X561" t="s">
        <v>80</v>
      </c>
      <c r="Y561">
        <v>0</v>
      </c>
      <c r="Z561">
        <v>66.224000000000004</v>
      </c>
      <c r="AB561" t="s">
        <v>74</v>
      </c>
      <c r="AD561" t="s">
        <v>57</v>
      </c>
      <c r="AE561">
        <v>0</v>
      </c>
      <c r="AF561">
        <v>6</v>
      </c>
      <c r="AG561">
        <v>1</v>
      </c>
      <c r="AH561">
        <v>1.5</v>
      </c>
      <c r="AI561">
        <v>512</v>
      </c>
      <c r="AJ561">
        <v>512</v>
      </c>
      <c r="AK561">
        <v>66</v>
      </c>
      <c r="AL561" t="s">
        <v>497</v>
      </c>
      <c r="AM561">
        <v>2.4</v>
      </c>
      <c r="AN561" t="s">
        <v>1942</v>
      </c>
      <c r="AO561" t="s">
        <v>67</v>
      </c>
      <c r="AP561" t="s">
        <v>68</v>
      </c>
      <c r="AQ561">
        <v>15</v>
      </c>
      <c r="AR561">
        <v>416</v>
      </c>
      <c r="AS561">
        <v>833</v>
      </c>
      <c r="AT561">
        <v>3.028</v>
      </c>
      <c r="AU561">
        <v>6.2560000000000002</v>
      </c>
      <c r="AV561" t="s">
        <v>2110</v>
      </c>
      <c r="AW561" t="s">
        <v>2111</v>
      </c>
      <c r="AX561" t="s">
        <v>2112</v>
      </c>
    </row>
    <row r="562" spans="1:50" x14ac:dyDescent="0.25">
      <c r="A562" t="s">
        <v>2113</v>
      </c>
      <c r="B562" t="s">
        <v>1679</v>
      </c>
      <c r="C562">
        <v>0</v>
      </c>
      <c r="D562">
        <v>0</v>
      </c>
      <c r="E562" t="s">
        <v>1740</v>
      </c>
      <c r="H562">
        <v>1</v>
      </c>
      <c r="N562">
        <v>0</v>
      </c>
      <c r="Q562">
        <v>0</v>
      </c>
      <c r="R562">
        <v>1</v>
      </c>
      <c r="U562" t="s">
        <v>65</v>
      </c>
      <c r="V562">
        <v>58</v>
      </c>
      <c r="W562" t="s">
        <v>79</v>
      </c>
      <c r="X562" t="s">
        <v>80</v>
      </c>
      <c r="Y562">
        <v>0</v>
      </c>
      <c r="Z562">
        <v>72</v>
      </c>
      <c r="AB562" t="s">
        <v>94</v>
      </c>
      <c r="AD562" t="s">
        <v>57</v>
      </c>
      <c r="AE562">
        <v>0</v>
      </c>
      <c r="AF562">
        <v>6</v>
      </c>
      <c r="AG562">
        <v>1</v>
      </c>
      <c r="AH562">
        <v>1.5</v>
      </c>
      <c r="AI562">
        <v>400</v>
      </c>
      <c r="AJ562">
        <v>400</v>
      </c>
      <c r="AK562">
        <v>64</v>
      </c>
      <c r="AL562" t="s">
        <v>1924</v>
      </c>
      <c r="AM562">
        <v>2.5</v>
      </c>
      <c r="AN562" t="s">
        <v>1531</v>
      </c>
      <c r="AO562" t="s">
        <v>1155</v>
      </c>
      <c r="AP562" t="s">
        <v>1767</v>
      </c>
      <c r="AQ562">
        <v>11</v>
      </c>
      <c r="AR562">
        <v>84.28</v>
      </c>
      <c r="AS562">
        <v>146.44999999999999</v>
      </c>
      <c r="AT562">
        <v>2.5979999999999999</v>
      </c>
      <c r="AU562">
        <v>5.2077999999999998</v>
      </c>
      <c r="AV562" t="s">
        <v>2114</v>
      </c>
      <c r="AW562" t="s">
        <v>2115</v>
      </c>
      <c r="AX562" t="s">
        <v>2116</v>
      </c>
    </row>
    <row r="563" spans="1:50" x14ac:dyDescent="0.25">
      <c r="A563" t="s">
        <v>2117</v>
      </c>
      <c r="B563" t="s">
        <v>1679</v>
      </c>
      <c r="C563">
        <v>0</v>
      </c>
      <c r="D563">
        <v>1</v>
      </c>
      <c r="E563" t="s">
        <v>1740</v>
      </c>
      <c r="H563">
        <v>0</v>
      </c>
      <c r="N563">
        <v>1</v>
      </c>
      <c r="Q563">
        <v>0</v>
      </c>
      <c r="R563">
        <v>0</v>
      </c>
      <c r="U563" t="s">
        <v>1687</v>
      </c>
      <c r="V563">
        <v>39</v>
      </c>
      <c r="W563" t="s">
        <v>1726</v>
      </c>
      <c r="X563" t="s">
        <v>80</v>
      </c>
      <c r="Y563">
        <v>0</v>
      </c>
      <c r="Z563">
        <v>58.966999999999999</v>
      </c>
      <c r="AB563" t="s">
        <v>74</v>
      </c>
      <c r="AD563" t="s">
        <v>57</v>
      </c>
      <c r="AE563">
        <v>0</v>
      </c>
      <c r="AF563">
        <v>6</v>
      </c>
      <c r="AG563">
        <v>1</v>
      </c>
      <c r="AH563">
        <v>1.5</v>
      </c>
      <c r="AI563">
        <v>512</v>
      </c>
      <c r="AJ563">
        <v>512</v>
      </c>
      <c r="AK563">
        <v>80</v>
      </c>
      <c r="AL563" t="s">
        <v>66</v>
      </c>
      <c r="AM563">
        <v>2</v>
      </c>
      <c r="AN563" t="s">
        <v>996</v>
      </c>
      <c r="AO563" t="s">
        <v>67</v>
      </c>
      <c r="AP563" t="s">
        <v>68</v>
      </c>
      <c r="AQ563">
        <v>15</v>
      </c>
      <c r="AR563">
        <v>167</v>
      </c>
      <c r="AS563">
        <v>335</v>
      </c>
      <c r="AT563">
        <v>4.2</v>
      </c>
      <c r="AU563">
        <v>7</v>
      </c>
      <c r="AV563" t="s">
        <v>2118</v>
      </c>
      <c r="AW563" t="s">
        <v>2119</v>
      </c>
      <c r="AX563" t="s">
        <v>2120</v>
      </c>
    </row>
    <row r="564" spans="1:50" x14ac:dyDescent="0.25">
      <c r="A564" t="s">
        <v>2121</v>
      </c>
      <c r="B564" t="s">
        <v>1679</v>
      </c>
      <c r="C564">
        <v>0</v>
      </c>
      <c r="D564">
        <v>1</v>
      </c>
      <c r="E564" t="s">
        <v>1693</v>
      </c>
      <c r="H564">
        <v>0</v>
      </c>
      <c r="N564">
        <v>1</v>
      </c>
      <c r="Q564">
        <v>0</v>
      </c>
      <c r="R564">
        <v>0</v>
      </c>
      <c r="U564" t="s">
        <v>1687</v>
      </c>
      <c r="V564">
        <v>36</v>
      </c>
      <c r="W564" t="s">
        <v>1688</v>
      </c>
      <c r="X564" t="s">
        <v>80</v>
      </c>
      <c r="Y564">
        <v>0</v>
      </c>
      <c r="Z564">
        <v>61.234999999999999</v>
      </c>
      <c r="AB564" t="s">
        <v>74</v>
      </c>
      <c r="AD564" t="s">
        <v>57</v>
      </c>
      <c r="AE564">
        <v>0</v>
      </c>
      <c r="AF564">
        <v>6</v>
      </c>
      <c r="AG564">
        <v>1</v>
      </c>
      <c r="AH564">
        <v>1.5</v>
      </c>
      <c r="AI564">
        <v>512</v>
      </c>
      <c r="AJ564">
        <v>512</v>
      </c>
      <c r="AK564">
        <v>80</v>
      </c>
      <c r="AL564" t="s">
        <v>81</v>
      </c>
      <c r="AM564">
        <v>2</v>
      </c>
      <c r="AN564" t="s">
        <v>996</v>
      </c>
      <c r="AO564" t="s">
        <v>67</v>
      </c>
      <c r="AP564" t="s">
        <v>68</v>
      </c>
      <c r="AQ564">
        <v>15</v>
      </c>
      <c r="AR564">
        <v>150</v>
      </c>
      <c r="AS564">
        <v>300</v>
      </c>
      <c r="AT564">
        <v>4.2</v>
      </c>
      <c r="AU564">
        <v>7</v>
      </c>
      <c r="AV564" t="s">
        <v>2122</v>
      </c>
      <c r="AW564" t="s">
        <v>2123</v>
      </c>
      <c r="AX564" t="s">
        <v>2124</v>
      </c>
    </row>
    <row r="565" spans="1:50" x14ac:dyDescent="0.25">
      <c r="A565" t="s">
        <v>2125</v>
      </c>
      <c r="B565" t="s">
        <v>1679</v>
      </c>
      <c r="C565">
        <v>0</v>
      </c>
      <c r="D565">
        <v>0</v>
      </c>
      <c r="E565" t="s">
        <v>1725</v>
      </c>
      <c r="H565">
        <v>0</v>
      </c>
      <c r="N565">
        <v>1</v>
      </c>
      <c r="Q565">
        <v>0</v>
      </c>
      <c r="R565">
        <v>1</v>
      </c>
      <c r="U565" t="s">
        <v>1687</v>
      </c>
      <c r="V565">
        <v>52</v>
      </c>
      <c r="W565" t="s">
        <v>79</v>
      </c>
      <c r="X565" t="s">
        <v>80</v>
      </c>
      <c r="Y565">
        <v>0</v>
      </c>
      <c r="Z565">
        <v>70.307000000000002</v>
      </c>
      <c r="AB565" t="s">
        <v>94</v>
      </c>
      <c r="AD565" t="s">
        <v>57</v>
      </c>
      <c r="AE565">
        <v>0</v>
      </c>
      <c r="AF565">
        <v>6</v>
      </c>
      <c r="AG565">
        <v>1</v>
      </c>
      <c r="AH565">
        <v>1.5</v>
      </c>
      <c r="AI565">
        <v>512</v>
      </c>
      <c r="AJ565">
        <v>512</v>
      </c>
      <c r="AK565">
        <v>80</v>
      </c>
      <c r="AL565" t="s">
        <v>128</v>
      </c>
      <c r="AM565">
        <v>2</v>
      </c>
      <c r="AN565" t="s">
        <v>996</v>
      </c>
      <c r="AO565" t="s">
        <v>67</v>
      </c>
      <c r="AP565" t="s">
        <v>68</v>
      </c>
      <c r="AQ565">
        <v>15</v>
      </c>
      <c r="AR565">
        <v>121</v>
      </c>
      <c r="AS565">
        <v>243</v>
      </c>
      <c r="AT565">
        <v>4.2</v>
      </c>
      <c r="AU565">
        <v>7</v>
      </c>
      <c r="AV565" t="s">
        <v>2126</v>
      </c>
      <c r="AW565" t="s">
        <v>2127</v>
      </c>
      <c r="AX565" t="s">
        <v>2128</v>
      </c>
    </row>
    <row r="566" spans="1:50" x14ac:dyDescent="0.25">
      <c r="A566" t="s">
        <v>2129</v>
      </c>
      <c r="B566" t="s">
        <v>1679</v>
      </c>
      <c r="C566">
        <v>0</v>
      </c>
      <c r="D566">
        <v>0</v>
      </c>
      <c r="E566" t="s">
        <v>1725</v>
      </c>
      <c r="H566">
        <v>1</v>
      </c>
      <c r="N566">
        <v>0</v>
      </c>
      <c r="Q566">
        <v>0</v>
      </c>
      <c r="R566">
        <v>1</v>
      </c>
      <c r="U566" t="s">
        <v>65</v>
      </c>
      <c r="V566">
        <v>40</v>
      </c>
      <c r="W566" t="s">
        <v>1726</v>
      </c>
      <c r="X566" t="s">
        <v>80</v>
      </c>
      <c r="Y566">
        <v>0</v>
      </c>
      <c r="AD566" t="s">
        <v>57</v>
      </c>
      <c r="AE566">
        <v>0</v>
      </c>
      <c r="AF566">
        <v>6</v>
      </c>
      <c r="AG566">
        <v>1</v>
      </c>
      <c r="AH566">
        <v>3</v>
      </c>
      <c r="AI566">
        <v>512</v>
      </c>
      <c r="AJ566">
        <v>512</v>
      </c>
      <c r="AK566">
        <v>134</v>
      </c>
      <c r="AL566" t="s">
        <v>81</v>
      </c>
      <c r="AM566">
        <v>2.4</v>
      </c>
      <c r="AN566" t="s">
        <v>1786</v>
      </c>
      <c r="AO566" t="s">
        <v>67</v>
      </c>
      <c r="AP566" t="s">
        <v>68</v>
      </c>
      <c r="AQ566">
        <v>15</v>
      </c>
      <c r="AR566">
        <v>328</v>
      </c>
      <c r="AS566">
        <v>657</v>
      </c>
      <c r="AT566">
        <v>4.25</v>
      </c>
      <c r="AU566">
        <v>7.88</v>
      </c>
      <c r="AV566" t="s">
        <v>1817</v>
      </c>
      <c r="AW566" t="s">
        <v>2130</v>
      </c>
      <c r="AX566" t="s">
        <v>2131</v>
      </c>
    </row>
    <row r="567" spans="1:50" x14ac:dyDescent="0.25">
      <c r="A567" t="s">
        <v>2132</v>
      </c>
      <c r="B567" t="s">
        <v>1679</v>
      </c>
      <c r="C567">
        <v>1</v>
      </c>
      <c r="D567">
        <v>1</v>
      </c>
      <c r="E567" t="s">
        <v>1693</v>
      </c>
      <c r="H567">
        <v>0</v>
      </c>
      <c r="N567">
        <v>1</v>
      </c>
      <c r="Q567">
        <v>0</v>
      </c>
      <c r="R567">
        <v>1</v>
      </c>
      <c r="U567" t="s">
        <v>1687</v>
      </c>
      <c r="V567">
        <v>39</v>
      </c>
      <c r="W567" t="s">
        <v>1688</v>
      </c>
      <c r="X567" t="s">
        <v>80</v>
      </c>
      <c r="Y567">
        <v>1</v>
      </c>
      <c r="Z567">
        <v>80.390185961300006</v>
      </c>
      <c r="AB567" t="s">
        <v>94</v>
      </c>
      <c r="AD567" t="s">
        <v>57</v>
      </c>
      <c r="AE567">
        <v>1</v>
      </c>
      <c r="AF567">
        <v>6</v>
      </c>
      <c r="AG567">
        <v>1</v>
      </c>
      <c r="AH567">
        <v>1.5</v>
      </c>
      <c r="AI567">
        <v>384</v>
      </c>
      <c r="AJ567">
        <v>384</v>
      </c>
      <c r="AK567">
        <v>176</v>
      </c>
      <c r="AL567" t="s">
        <v>1034</v>
      </c>
      <c r="AM567">
        <v>1.1000000238000001</v>
      </c>
      <c r="AN567" t="s">
        <v>1720</v>
      </c>
      <c r="AO567" t="s">
        <v>59</v>
      </c>
      <c r="AP567" t="s">
        <v>60</v>
      </c>
      <c r="AQ567">
        <v>11</v>
      </c>
      <c r="AR567">
        <v>166</v>
      </c>
      <c r="AS567">
        <v>280</v>
      </c>
      <c r="AT567">
        <v>1.51</v>
      </c>
      <c r="AU567">
        <v>4.12</v>
      </c>
      <c r="AV567" t="s">
        <v>2133</v>
      </c>
      <c r="AW567" t="s">
        <v>2134</v>
      </c>
      <c r="AX567" t="s">
        <v>2135</v>
      </c>
    </row>
    <row r="568" spans="1:50" x14ac:dyDescent="0.25">
      <c r="A568" t="s">
        <v>2136</v>
      </c>
      <c r="B568" t="s">
        <v>1679</v>
      </c>
      <c r="C568">
        <v>0</v>
      </c>
      <c r="D568">
        <v>0</v>
      </c>
      <c r="E568" t="s">
        <v>1703</v>
      </c>
      <c r="H568">
        <v>0</v>
      </c>
      <c r="N568">
        <v>0</v>
      </c>
      <c r="Q568">
        <v>0</v>
      </c>
      <c r="R568">
        <v>1</v>
      </c>
      <c r="U568" t="s">
        <v>65</v>
      </c>
      <c r="V568">
        <v>63</v>
      </c>
      <c r="W568" t="s">
        <v>79</v>
      </c>
      <c r="X568" t="s">
        <v>80</v>
      </c>
      <c r="Y568">
        <v>0</v>
      </c>
      <c r="Z568">
        <v>69.400000000000006</v>
      </c>
      <c r="AB568" t="s">
        <v>94</v>
      </c>
      <c r="AD568" t="s">
        <v>57</v>
      </c>
      <c r="AE568">
        <v>0</v>
      </c>
      <c r="AF568">
        <v>6</v>
      </c>
      <c r="AG568">
        <v>1</v>
      </c>
      <c r="AH568">
        <v>3</v>
      </c>
      <c r="AI568">
        <v>512</v>
      </c>
      <c r="AJ568">
        <v>512</v>
      </c>
      <c r="AK568">
        <v>134</v>
      </c>
      <c r="AL568" t="s">
        <v>81</v>
      </c>
      <c r="AM568">
        <v>2.4</v>
      </c>
      <c r="AN568" t="s">
        <v>1786</v>
      </c>
      <c r="AO568" t="s">
        <v>67</v>
      </c>
      <c r="AP568" t="s">
        <v>1979</v>
      </c>
      <c r="AQ568">
        <v>15</v>
      </c>
      <c r="AR568">
        <v>424</v>
      </c>
      <c r="AS568">
        <v>848</v>
      </c>
      <c r="AT568">
        <v>4.82</v>
      </c>
      <c r="AU568">
        <v>9.1199999999999992</v>
      </c>
      <c r="AV568" t="s">
        <v>2137</v>
      </c>
      <c r="AW568" t="s">
        <v>2138</v>
      </c>
      <c r="AX568" t="s">
        <v>2139</v>
      </c>
    </row>
    <row r="569" spans="1:50" x14ac:dyDescent="0.25">
      <c r="A569" t="s">
        <v>2140</v>
      </c>
      <c r="B569" t="s">
        <v>1679</v>
      </c>
      <c r="C569">
        <v>0</v>
      </c>
      <c r="D569">
        <v>0</v>
      </c>
      <c r="E569" t="s">
        <v>1703</v>
      </c>
      <c r="H569">
        <v>1</v>
      </c>
      <c r="N569">
        <v>1</v>
      </c>
      <c r="Q569">
        <v>0</v>
      </c>
      <c r="R569">
        <v>0</v>
      </c>
      <c r="U569" t="s">
        <v>1687</v>
      </c>
      <c r="V569">
        <v>32</v>
      </c>
      <c r="X569" t="s">
        <v>55</v>
      </c>
      <c r="Y569">
        <v>0</v>
      </c>
      <c r="Z569">
        <v>78.018000000000001</v>
      </c>
      <c r="AB569" t="s">
        <v>94</v>
      </c>
      <c r="AD569" t="s">
        <v>57</v>
      </c>
      <c r="AE569">
        <v>0</v>
      </c>
      <c r="AF569">
        <v>6</v>
      </c>
      <c r="AG569">
        <v>1</v>
      </c>
      <c r="AH569">
        <v>1.5</v>
      </c>
      <c r="AI569">
        <v>512</v>
      </c>
      <c r="AJ569">
        <v>512</v>
      </c>
      <c r="AK569">
        <v>72</v>
      </c>
      <c r="AL569" t="s">
        <v>81</v>
      </c>
      <c r="AM569">
        <v>2.2000000000000002</v>
      </c>
      <c r="AN569" t="s">
        <v>1897</v>
      </c>
      <c r="AO569" t="s">
        <v>67</v>
      </c>
      <c r="AP569" t="s">
        <v>68</v>
      </c>
      <c r="AQ569">
        <v>15</v>
      </c>
      <c r="AR569">
        <v>446</v>
      </c>
      <c r="AS569">
        <v>892</v>
      </c>
      <c r="AT569">
        <v>4.1040000000000001</v>
      </c>
      <c r="AU569">
        <v>8.4079999999999995</v>
      </c>
      <c r="AV569" t="s">
        <v>2141</v>
      </c>
      <c r="AW569" t="s">
        <v>2142</v>
      </c>
      <c r="AX569" t="s">
        <v>2143</v>
      </c>
    </row>
    <row r="570" spans="1:50" x14ac:dyDescent="0.25">
      <c r="A570" t="s">
        <v>2144</v>
      </c>
      <c r="B570" t="s">
        <v>1679</v>
      </c>
      <c r="C570">
        <v>0</v>
      </c>
      <c r="D570">
        <v>0</v>
      </c>
      <c r="E570" t="s">
        <v>1680</v>
      </c>
      <c r="H570">
        <v>0</v>
      </c>
      <c r="N570">
        <v>1</v>
      </c>
      <c r="Q570">
        <v>0</v>
      </c>
      <c r="R570">
        <v>0</v>
      </c>
      <c r="U570" t="s">
        <v>1687</v>
      </c>
      <c r="V570">
        <v>58</v>
      </c>
      <c r="W570" t="s">
        <v>79</v>
      </c>
      <c r="X570" t="s">
        <v>80</v>
      </c>
      <c r="Y570">
        <v>0</v>
      </c>
      <c r="Z570">
        <v>45.359242770000002</v>
      </c>
      <c r="AB570" t="s">
        <v>247</v>
      </c>
      <c r="AD570" t="s">
        <v>57</v>
      </c>
      <c r="AE570">
        <v>1</v>
      </c>
      <c r="AF570">
        <v>6</v>
      </c>
      <c r="AG570">
        <v>1</v>
      </c>
      <c r="AH570">
        <v>1.5</v>
      </c>
      <c r="AI570">
        <v>384</v>
      </c>
      <c r="AJ570">
        <v>384</v>
      </c>
      <c r="AK570">
        <v>144</v>
      </c>
      <c r="AL570" t="s">
        <v>2145</v>
      </c>
      <c r="AM570">
        <v>1.2000000476999999</v>
      </c>
      <c r="AN570" t="s">
        <v>2146</v>
      </c>
      <c r="AO570" t="s">
        <v>59</v>
      </c>
      <c r="AP570" t="s">
        <v>2147</v>
      </c>
      <c r="AQ570">
        <v>11</v>
      </c>
      <c r="AR570">
        <v>27</v>
      </c>
      <c r="AS570">
        <v>71</v>
      </c>
      <c r="AT570">
        <v>1.71</v>
      </c>
      <c r="AU570">
        <v>4.57</v>
      </c>
      <c r="AV570" t="s">
        <v>2148</v>
      </c>
      <c r="AW570" t="s">
        <v>2149</v>
      </c>
      <c r="AX570" t="s">
        <v>2150</v>
      </c>
    </row>
    <row r="571" spans="1:50" x14ac:dyDescent="0.25">
      <c r="A571" t="s">
        <v>2151</v>
      </c>
      <c r="B571" t="s">
        <v>1679</v>
      </c>
      <c r="C571">
        <v>0</v>
      </c>
      <c r="D571">
        <v>1</v>
      </c>
      <c r="E571" t="s">
        <v>1693</v>
      </c>
      <c r="H571">
        <v>1</v>
      </c>
      <c r="N571">
        <v>1</v>
      </c>
      <c r="Q571">
        <v>0</v>
      </c>
      <c r="R571">
        <v>0</v>
      </c>
      <c r="U571" t="s">
        <v>1687</v>
      </c>
      <c r="V571">
        <v>49</v>
      </c>
      <c r="X571" t="s">
        <v>111</v>
      </c>
      <c r="Y571">
        <v>0</v>
      </c>
      <c r="AD571" t="s">
        <v>57</v>
      </c>
      <c r="AE571">
        <v>0</v>
      </c>
      <c r="AF571">
        <v>6</v>
      </c>
      <c r="AG571">
        <v>1</v>
      </c>
      <c r="AH571">
        <v>3</v>
      </c>
      <c r="AI571">
        <v>512</v>
      </c>
      <c r="AJ571">
        <v>512</v>
      </c>
      <c r="AK571">
        <v>132</v>
      </c>
      <c r="AL571" t="s">
        <v>153</v>
      </c>
      <c r="AM571">
        <v>2.4</v>
      </c>
      <c r="AN571" t="s">
        <v>1786</v>
      </c>
      <c r="AO571" t="s">
        <v>67</v>
      </c>
      <c r="AP571" t="s">
        <v>68</v>
      </c>
      <c r="AQ571">
        <v>15</v>
      </c>
      <c r="AR571">
        <v>296</v>
      </c>
      <c r="AS571">
        <v>593</v>
      </c>
      <c r="AT571">
        <v>4.25</v>
      </c>
      <c r="AU571">
        <v>8.2210000000000001</v>
      </c>
      <c r="AV571" t="s">
        <v>2068</v>
      </c>
      <c r="AW571" t="s">
        <v>2152</v>
      </c>
      <c r="AX571" t="s">
        <v>2153</v>
      </c>
    </row>
    <row r="572" spans="1:50" x14ac:dyDescent="0.25">
      <c r="A572" t="s">
        <v>2154</v>
      </c>
      <c r="B572" t="s">
        <v>1679</v>
      </c>
      <c r="C572">
        <v>0</v>
      </c>
      <c r="D572">
        <v>0</v>
      </c>
      <c r="E572" t="s">
        <v>1740</v>
      </c>
      <c r="H572">
        <v>1</v>
      </c>
      <c r="N572">
        <v>0</v>
      </c>
      <c r="Q572">
        <v>1</v>
      </c>
      <c r="R572">
        <v>0</v>
      </c>
      <c r="U572" t="s">
        <v>72</v>
      </c>
      <c r="V572">
        <v>50</v>
      </c>
      <c r="W572" t="s">
        <v>1726</v>
      </c>
      <c r="X572" t="s">
        <v>55</v>
      </c>
      <c r="Y572">
        <v>0</v>
      </c>
      <c r="Z572">
        <v>53.523906468600003</v>
      </c>
      <c r="AB572" t="s">
        <v>74</v>
      </c>
      <c r="AD572" t="s">
        <v>57</v>
      </c>
      <c r="AE572">
        <v>0</v>
      </c>
      <c r="AF572">
        <v>6</v>
      </c>
      <c r="AG572">
        <v>1</v>
      </c>
      <c r="AH572">
        <v>1.5</v>
      </c>
      <c r="AI572">
        <v>512</v>
      </c>
      <c r="AJ572">
        <v>512</v>
      </c>
      <c r="AK572">
        <v>80</v>
      </c>
      <c r="AL572" t="s">
        <v>1010</v>
      </c>
      <c r="AM572">
        <v>2</v>
      </c>
      <c r="AN572" t="s">
        <v>1011</v>
      </c>
      <c r="AO572" t="s">
        <v>59</v>
      </c>
      <c r="AP572" t="s">
        <v>60</v>
      </c>
      <c r="AQ572">
        <v>11</v>
      </c>
      <c r="AR572">
        <v>192</v>
      </c>
      <c r="AS572">
        <v>444</v>
      </c>
      <c r="AT572">
        <v>1.67</v>
      </c>
      <c r="AU572">
        <v>4.51</v>
      </c>
      <c r="AV572" t="s">
        <v>1758</v>
      </c>
      <c r="AW572" t="s">
        <v>1818</v>
      </c>
      <c r="AX572" t="s">
        <v>2155</v>
      </c>
    </row>
    <row r="573" spans="1:50" x14ac:dyDescent="0.25">
      <c r="A573" t="s">
        <v>2156</v>
      </c>
      <c r="B573" t="s">
        <v>1679</v>
      </c>
      <c r="C573">
        <v>1</v>
      </c>
      <c r="D573">
        <v>0</v>
      </c>
      <c r="E573" t="s">
        <v>1780</v>
      </c>
      <c r="H573">
        <v>0</v>
      </c>
      <c r="N573">
        <v>1</v>
      </c>
      <c r="Q573">
        <v>0</v>
      </c>
      <c r="R573">
        <v>0</v>
      </c>
      <c r="U573" t="s">
        <v>1687</v>
      </c>
      <c r="V573">
        <v>60</v>
      </c>
      <c r="W573" t="s">
        <v>79</v>
      </c>
      <c r="X573" t="s">
        <v>80</v>
      </c>
      <c r="Y573">
        <v>0</v>
      </c>
      <c r="Z573">
        <v>73.740520971199999</v>
      </c>
      <c r="AB573" t="s">
        <v>94</v>
      </c>
      <c r="AD573" t="s">
        <v>57</v>
      </c>
      <c r="AE573">
        <v>1</v>
      </c>
      <c r="AF573">
        <v>6</v>
      </c>
      <c r="AG573">
        <v>1</v>
      </c>
      <c r="AH573">
        <v>1.5</v>
      </c>
      <c r="AI573">
        <v>256</v>
      </c>
      <c r="AJ573">
        <v>256</v>
      </c>
      <c r="AK573">
        <v>160</v>
      </c>
      <c r="AL573" t="s">
        <v>2157</v>
      </c>
      <c r="AM573">
        <v>1.1000000238000001</v>
      </c>
      <c r="AN573" t="s">
        <v>1720</v>
      </c>
      <c r="AO573" t="s">
        <v>59</v>
      </c>
      <c r="AP573" t="s">
        <v>60</v>
      </c>
      <c r="AQ573">
        <v>11</v>
      </c>
      <c r="AR573">
        <v>49</v>
      </c>
      <c r="AS573">
        <v>128</v>
      </c>
      <c r="AT573">
        <v>1.41</v>
      </c>
      <c r="AU573">
        <v>4.99</v>
      </c>
      <c r="AV573" t="s">
        <v>2158</v>
      </c>
      <c r="AW573" t="s">
        <v>2159</v>
      </c>
      <c r="AX573" t="s">
        <v>2160</v>
      </c>
    </row>
    <row r="574" spans="1:50" x14ac:dyDescent="0.25">
      <c r="A574" t="s">
        <v>2161</v>
      </c>
      <c r="B574" t="s">
        <v>1679</v>
      </c>
      <c r="C574">
        <v>0</v>
      </c>
      <c r="D574">
        <v>0</v>
      </c>
      <c r="E574" t="s">
        <v>1680</v>
      </c>
      <c r="H574">
        <v>1</v>
      </c>
      <c r="N574">
        <v>0</v>
      </c>
      <c r="Q574">
        <v>0</v>
      </c>
      <c r="R574">
        <v>1</v>
      </c>
      <c r="U574" t="s">
        <v>65</v>
      </c>
      <c r="V574">
        <v>58</v>
      </c>
      <c r="W574" t="s">
        <v>79</v>
      </c>
      <c r="X574" t="s">
        <v>80</v>
      </c>
      <c r="Y574">
        <v>0</v>
      </c>
      <c r="Z574">
        <v>66</v>
      </c>
      <c r="AB574" t="s">
        <v>74</v>
      </c>
      <c r="AD574" t="s">
        <v>57</v>
      </c>
      <c r="AE574">
        <v>0</v>
      </c>
      <c r="AF574">
        <v>6</v>
      </c>
      <c r="AG574">
        <v>1</v>
      </c>
      <c r="AH574">
        <v>3</v>
      </c>
      <c r="AI574">
        <v>512</v>
      </c>
      <c r="AJ574">
        <v>512</v>
      </c>
      <c r="AK574">
        <v>160</v>
      </c>
      <c r="AL574" t="s">
        <v>2162</v>
      </c>
      <c r="AM574">
        <v>2</v>
      </c>
      <c r="AN574" t="s">
        <v>1419</v>
      </c>
      <c r="AO574" t="s">
        <v>1155</v>
      </c>
      <c r="AP574" t="s">
        <v>1767</v>
      </c>
      <c r="AQ574">
        <v>11</v>
      </c>
      <c r="AR574">
        <v>1087</v>
      </c>
      <c r="AS574">
        <v>1889</v>
      </c>
      <c r="AT574">
        <v>1.7869999999999999</v>
      </c>
      <c r="AU574">
        <v>4</v>
      </c>
      <c r="AV574" t="s">
        <v>2163</v>
      </c>
      <c r="AW574" t="s">
        <v>2164</v>
      </c>
      <c r="AX574" t="s">
        <v>2165</v>
      </c>
    </row>
    <row r="575" spans="1:50" x14ac:dyDescent="0.25">
      <c r="A575" t="s">
        <v>2166</v>
      </c>
      <c r="B575" t="s">
        <v>1679</v>
      </c>
      <c r="C575">
        <v>0</v>
      </c>
      <c r="D575">
        <v>0</v>
      </c>
      <c r="E575" t="s">
        <v>1780</v>
      </c>
      <c r="H575">
        <v>0</v>
      </c>
      <c r="N575">
        <v>1</v>
      </c>
      <c r="Q575">
        <v>0</v>
      </c>
      <c r="R575">
        <v>0</v>
      </c>
      <c r="U575" t="s">
        <v>1687</v>
      </c>
      <c r="V575">
        <v>63</v>
      </c>
      <c r="W575" t="s">
        <v>79</v>
      </c>
      <c r="X575" t="s">
        <v>80</v>
      </c>
      <c r="Y575">
        <v>0</v>
      </c>
      <c r="AD575" t="s">
        <v>57</v>
      </c>
      <c r="AE575">
        <v>0</v>
      </c>
      <c r="AF575">
        <v>6</v>
      </c>
      <c r="AG575">
        <v>1</v>
      </c>
      <c r="AH575">
        <v>3</v>
      </c>
      <c r="AI575">
        <v>512</v>
      </c>
      <c r="AJ575">
        <v>512</v>
      </c>
      <c r="AK575">
        <v>134</v>
      </c>
      <c r="AL575" t="s">
        <v>119</v>
      </c>
      <c r="AM575">
        <v>2.4</v>
      </c>
      <c r="AN575" t="s">
        <v>1786</v>
      </c>
      <c r="AO575" t="s">
        <v>67</v>
      </c>
      <c r="AP575" t="s">
        <v>68</v>
      </c>
      <c r="AQ575">
        <v>15</v>
      </c>
      <c r="AR575">
        <v>231</v>
      </c>
      <c r="AS575">
        <v>462</v>
      </c>
      <c r="AT575">
        <v>2.8079999999999998</v>
      </c>
      <c r="AU575">
        <v>7.3159999999999998</v>
      </c>
      <c r="AV575" t="s">
        <v>2167</v>
      </c>
      <c r="AW575" t="s">
        <v>2168</v>
      </c>
      <c r="AX575" t="s">
        <v>2169</v>
      </c>
    </row>
    <row r="576" spans="1:50" x14ac:dyDescent="0.25">
      <c r="A576" t="s">
        <v>2170</v>
      </c>
      <c r="B576" t="s">
        <v>1679</v>
      </c>
      <c r="C576">
        <v>0</v>
      </c>
      <c r="D576">
        <v>0</v>
      </c>
      <c r="E576" t="s">
        <v>1780</v>
      </c>
      <c r="H576">
        <v>0</v>
      </c>
      <c r="N576">
        <v>1</v>
      </c>
      <c r="Q576">
        <v>0</v>
      </c>
      <c r="R576">
        <v>1</v>
      </c>
      <c r="U576" t="s">
        <v>1687</v>
      </c>
      <c r="V576">
        <v>51</v>
      </c>
      <c r="W576" t="s">
        <v>1688</v>
      </c>
      <c r="X576" t="s">
        <v>80</v>
      </c>
      <c r="Y576">
        <v>0</v>
      </c>
      <c r="Z576">
        <v>80.739000000000004</v>
      </c>
      <c r="AB576" t="s">
        <v>94</v>
      </c>
      <c r="AD576" t="s">
        <v>57</v>
      </c>
      <c r="AE576">
        <v>0</v>
      </c>
      <c r="AF576">
        <v>6</v>
      </c>
      <c r="AG576">
        <v>1</v>
      </c>
      <c r="AH576">
        <v>1.5</v>
      </c>
      <c r="AI576">
        <v>512</v>
      </c>
      <c r="AJ576">
        <v>512</v>
      </c>
      <c r="AK576">
        <v>80</v>
      </c>
      <c r="AL576" t="s">
        <v>113</v>
      </c>
      <c r="AM576">
        <v>2</v>
      </c>
      <c r="AN576" t="s">
        <v>996</v>
      </c>
      <c r="AO576" t="s">
        <v>67</v>
      </c>
      <c r="AP576" t="s">
        <v>68</v>
      </c>
      <c r="AQ576">
        <v>15</v>
      </c>
      <c r="AR576">
        <v>104</v>
      </c>
      <c r="AS576">
        <v>208</v>
      </c>
      <c r="AT576">
        <v>2.6720000000000002</v>
      </c>
      <c r="AU576">
        <v>6.2569999999999997</v>
      </c>
      <c r="AV576" t="s">
        <v>2171</v>
      </c>
      <c r="AW576" t="s">
        <v>2172</v>
      </c>
      <c r="AX576" t="s">
        <v>2173</v>
      </c>
    </row>
    <row r="577" spans="1:50" x14ac:dyDescent="0.25">
      <c r="A577" t="s">
        <v>2174</v>
      </c>
      <c r="B577" t="s">
        <v>1679</v>
      </c>
      <c r="C577">
        <v>0</v>
      </c>
      <c r="D577">
        <v>0</v>
      </c>
      <c r="E577" t="s">
        <v>1698</v>
      </c>
      <c r="H577">
        <v>1</v>
      </c>
      <c r="N577">
        <v>1</v>
      </c>
      <c r="Q577">
        <v>0</v>
      </c>
      <c r="R577">
        <v>1</v>
      </c>
      <c r="U577" t="s">
        <v>1687</v>
      </c>
      <c r="V577">
        <v>41</v>
      </c>
      <c r="W577" t="s">
        <v>1688</v>
      </c>
      <c r="X577" t="s">
        <v>80</v>
      </c>
      <c r="Y577">
        <v>0</v>
      </c>
      <c r="Z577">
        <v>54.43</v>
      </c>
      <c r="AB577" t="s">
        <v>74</v>
      </c>
      <c r="AD577" t="s">
        <v>57</v>
      </c>
      <c r="AE577">
        <v>0</v>
      </c>
      <c r="AF577">
        <v>6</v>
      </c>
      <c r="AG577">
        <v>1</v>
      </c>
      <c r="AH577">
        <v>1.5</v>
      </c>
      <c r="AI577">
        <v>512</v>
      </c>
      <c r="AJ577">
        <v>512</v>
      </c>
      <c r="AK577">
        <v>80</v>
      </c>
      <c r="AL577" t="s">
        <v>497</v>
      </c>
      <c r="AM577">
        <v>2</v>
      </c>
      <c r="AN577" t="s">
        <v>996</v>
      </c>
      <c r="AO577" t="s">
        <v>67</v>
      </c>
      <c r="AP577" t="s">
        <v>68</v>
      </c>
      <c r="AQ577">
        <v>15</v>
      </c>
      <c r="AR577">
        <v>27</v>
      </c>
      <c r="AS577">
        <v>54</v>
      </c>
      <c r="AT577">
        <v>4.2</v>
      </c>
      <c r="AU577">
        <v>7.0960000000000001</v>
      </c>
      <c r="AV577" t="s">
        <v>2175</v>
      </c>
      <c r="AW577" t="s">
        <v>2176</v>
      </c>
      <c r="AX577" t="s">
        <v>2177</v>
      </c>
    </row>
    <row r="578" spans="1:50" x14ac:dyDescent="0.25">
      <c r="A578" t="s">
        <v>2178</v>
      </c>
      <c r="B578" t="s">
        <v>1679</v>
      </c>
      <c r="C578">
        <v>0</v>
      </c>
      <c r="D578">
        <v>0</v>
      </c>
      <c r="E578" t="s">
        <v>1686</v>
      </c>
      <c r="H578">
        <v>0</v>
      </c>
      <c r="N578">
        <v>0</v>
      </c>
      <c r="Q578">
        <v>0</v>
      </c>
      <c r="R578">
        <v>1</v>
      </c>
      <c r="U578" t="s">
        <v>65</v>
      </c>
      <c r="V578">
        <v>67</v>
      </c>
      <c r="X578" t="s">
        <v>80</v>
      </c>
      <c r="Y578">
        <v>0</v>
      </c>
      <c r="Z578">
        <v>107.955</v>
      </c>
      <c r="AB578" t="s">
        <v>56</v>
      </c>
      <c r="AD578" t="s">
        <v>57</v>
      </c>
      <c r="AE578">
        <v>0</v>
      </c>
      <c r="AF578">
        <v>6</v>
      </c>
      <c r="AG578">
        <v>1</v>
      </c>
      <c r="AH578">
        <v>1.5</v>
      </c>
      <c r="AI578">
        <v>512</v>
      </c>
      <c r="AJ578">
        <v>512</v>
      </c>
      <c r="AK578">
        <v>72</v>
      </c>
      <c r="AL578" t="s">
        <v>119</v>
      </c>
      <c r="AM578">
        <v>2.2000000000000002</v>
      </c>
      <c r="AN578" t="s">
        <v>1072</v>
      </c>
      <c r="AO578" t="s">
        <v>67</v>
      </c>
      <c r="AP578" t="s">
        <v>68</v>
      </c>
      <c r="AQ578">
        <v>15</v>
      </c>
      <c r="AR578">
        <v>176</v>
      </c>
      <c r="AS578">
        <v>352</v>
      </c>
      <c r="AT578">
        <v>4.2359999999999998</v>
      </c>
      <c r="AU578">
        <v>8.6679999999999993</v>
      </c>
      <c r="AV578" t="s">
        <v>2179</v>
      </c>
      <c r="AW578" t="s">
        <v>2180</v>
      </c>
      <c r="AX578" t="s">
        <v>2181</v>
      </c>
    </row>
    <row r="579" spans="1:50" x14ac:dyDescent="0.25">
      <c r="A579" t="s">
        <v>2182</v>
      </c>
      <c r="B579" t="s">
        <v>1679</v>
      </c>
      <c r="C579">
        <v>0</v>
      </c>
      <c r="D579">
        <v>0</v>
      </c>
      <c r="E579" t="s">
        <v>1725</v>
      </c>
      <c r="H579">
        <v>1</v>
      </c>
      <c r="N579">
        <v>1</v>
      </c>
      <c r="Q579">
        <v>0</v>
      </c>
      <c r="R579">
        <v>1</v>
      </c>
      <c r="U579" t="s">
        <v>1687</v>
      </c>
      <c r="V579">
        <v>50</v>
      </c>
      <c r="W579" t="s">
        <v>79</v>
      </c>
      <c r="X579" t="s">
        <v>80</v>
      </c>
      <c r="Y579">
        <v>0</v>
      </c>
      <c r="AD579" t="s">
        <v>57</v>
      </c>
      <c r="AE579">
        <v>0</v>
      </c>
      <c r="AF579">
        <v>6</v>
      </c>
      <c r="AG579">
        <v>1</v>
      </c>
      <c r="AH579">
        <v>1.5</v>
      </c>
      <c r="AI579">
        <v>512</v>
      </c>
      <c r="AJ579">
        <v>512</v>
      </c>
      <c r="AK579">
        <v>72</v>
      </c>
      <c r="AL579" t="s">
        <v>119</v>
      </c>
      <c r="AM579">
        <v>2.2000000000000002</v>
      </c>
      <c r="AN579" t="s">
        <v>1072</v>
      </c>
      <c r="AO579" t="s">
        <v>67</v>
      </c>
      <c r="AP579" t="s">
        <v>68</v>
      </c>
      <c r="AQ579">
        <v>15</v>
      </c>
      <c r="AR579">
        <v>256</v>
      </c>
      <c r="AS579">
        <v>512</v>
      </c>
      <c r="AT579">
        <v>4.2359999999999998</v>
      </c>
      <c r="AU579">
        <v>8.6679999999999993</v>
      </c>
      <c r="AV579" t="s">
        <v>2183</v>
      </c>
      <c r="AW579" t="s">
        <v>2184</v>
      </c>
      <c r="AX579" t="s">
        <v>2185</v>
      </c>
    </row>
    <row r="580" spans="1:50" x14ac:dyDescent="0.25">
      <c r="A580" t="s">
        <v>2186</v>
      </c>
      <c r="B580" t="s">
        <v>1679</v>
      </c>
      <c r="C580">
        <v>1</v>
      </c>
      <c r="D580">
        <v>0</v>
      </c>
      <c r="E580" t="s">
        <v>1703</v>
      </c>
      <c r="H580">
        <v>0</v>
      </c>
      <c r="N580">
        <v>0</v>
      </c>
      <c r="Q580">
        <v>0</v>
      </c>
      <c r="R580">
        <v>0</v>
      </c>
      <c r="U580" t="s">
        <v>65</v>
      </c>
      <c r="V580">
        <v>34</v>
      </c>
      <c r="W580" t="s">
        <v>1726</v>
      </c>
      <c r="X580" t="s">
        <v>80</v>
      </c>
      <c r="Y580">
        <v>0</v>
      </c>
      <c r="Z580">
        <v>79.832267275199996</v>
      </c>
      <c r="AA580">
        <v>1.7272034567000001</v>
      </c>
      <c r="AB580" t="s">
        <v>94</v>
      </c>
      <c r="AD580" t="s">
        <v>57</v>
      </c>
      <c r="AE580">
        <v>1</v>
      </c>
      <c r="AF580">
        <v>6</v>
      </c>
      <c r="AG580">
        <v>1</v>
      </c>
      <c r="AH580">
        <v>3</v>
      </c>
      <c r="AI580">
        <v>384</v>
      </c>
      <c r="AJ580">
        <v>384</v>
      </c>
      <c r="AK580">
        <v>72</v>
      </c>
      <c r="AL580" t="s">
        <v>1394</v>
      </c>
      <c r="AM580">
        <v>2.5</v>
      </c>
      <c r="AN580" t="s">
        <v>1114</v>
      </c>
      <c r="AO580" t="s">
        <v>59</v>
      </c>
      <c r="AP580" t="s">
        <v>1781</v>
      </c>
      <c r="AQ580">
        <v>11</v>
      </c>
      <c r="AR580">
        <v>156</v>
      </c>
      <c r="AS580">
        <v>430</v>
      </c>
      <c r="AT580">
        <v>1.37</v>
      </c>
      <c r="AU580">
        <v>4.32</v>
      </c>
      <c r="AV580" t="s">
        <v>2187</v>
      </c>
      <c r="AW580" t="s">
        <v>2172</v>
      </c>
      <c r="AX580" t="s">
        <v>2188</v>
      </c>
    </row>
    <row r="581" spans="1:50" x14ac:dyDescent="0.25">
      <c r="A581" t="s">
        <v>2189</v>
      </c>
      <c r="B581" t="s">
        <v>1679</v>
      </c>
      <c r="C581">
        <v>0</v>
      </c>
      <c r="D581">
        <v>0</v>
      </c>
      <c r="E581" t="s">
        <v>1703</v>
      </c>
      <c r="H581">
        <v>0</v>
      </c>
      <c r="N581">
        <v>1</v>
      </c>
      <c r="Q581">
        <v>0</v>
      </c>
      <c r="R581">
        <v>0</v>
      </c>
      <c r="U581" t="s">
        <v>1687</v>
      </c>
      <c r="V581">
        <v>61</v>
      </c>
      <c r="W581" t="s">
        <v>79</v>
      </c>
      <c r="X581" t="s">
        <v>80</v>
      </c>
      <c r="Y581">
        <v>0</v>
      </c>
      <c r="Z581">
        <v>72.575000000000003</v>
      </c>
      <c r="AB581" t="s">
        <v>94</v>
      </c>
      <c r="AD581" t="s">
        <v>57</v>
      </c>
      <c r="AE581">
        <v>0</v>
      </c>
      <c r="AF581">
        <v>6</v>
      </c>
      <c r="AG581">
        <v>1</v>
      </c>
      <c r="AH581">
        <v>1.5</v>
      </c>
      <c r="AI581">
        <v>512</v>
      </c>
      <c r="AJ581">
        <v>512</v>
      </c>
      <c r="AK581">
        <v>66</v>
      </c>
      <c r="AL581" t="s">
        <v>66</v>
      </c>
      <c r="AM581">
        <v>2.4</v>
      </c>
      <c r="AN581" t="s">
        <v>1942</v>
      </c>
      <c r="AO581" t="s">
        <v>67</v>
      </c>
      <c r="AP581" t="s">
        <v>68</v>
      </c>
      <c r="AQ581">
        <v>15</v>
      </c>
      <c r="AR581">
        <v>921</v>
      </c>
      <c r="AS581">
        <v>1842</v>
      </c>
      <c r="AT581">
        <v>3.008</v>
      </c>
      <c r="AU581">
        <v>6.22</v>
      </c>
      <c r="AV581" t="s">
        <v>2190</v>
      </c>
      <c r="AW581" t="s">
        <v>2191</v>
      </c>
      <c r="AX581" t="s">
        <v>2192</v>
      </c>
    </row>
    <row r="582" spans="1:50" x14ac:dyDescent="0.25">
      <c r="A582" t="s">
        <v>2193</v>
      </c>
      <c r="B582" t="s">
        <v>1679</v>
      </c>
      <c r="C582">
        <v>0</v>
      </c>
      <c r="D582">
        <v>0</v>
      </c>
      <c r="E582" t="s">
        <v>1725</v>
      </c>
      <c r="H582">
        <v>0</v>
      </c>
      <c r="N582">
        <v>1</v>
      </c>
      <c r="Q582">
        <v>0</v>
      </c>
      <c r="R582">
        <v>0</v>
      </c>
      <c r="U582" t="s">
        <v>1687</v>
      </c>
      <c r="V582">
        <v>61</v>
      </c>
      <c r="W582" t="s">
        <v>79</v>
      </c>
      <c r="X582" t="s">
        <v>80</v>
      </c>
      <c r="Y582">
        <v>0</v>
      </c>
      <c r="AD582" t="s">
        <v>57</v>
      </c>
      <c r="AE582">
        <v>0</v>
      </c>
      <c r="AF582">
        <v>6</v>
      </c>
      <c r="AG582">
        <v>1</v>
      </c>
      <c r="AH582">
        <v>1.5</v>
      </c>
      <c r="AI582">
        <v>512</v>
      </c>
      <c r="AJ582">
        <v>512</v>
      </c>
      <c r="AK582">
        <v>80</v>
      </c>
      <c r="AL582" t="s">
        <v>81</v>
      </c>
      <c r="AM582">
        <v>2</v>
      </c>
      <c r="AN582" t="s">
        <v>1681</v>
      </c>
      <c r="AO582" t="s">
        <v>67</v>
      </c>
      <c r="AP582" t="s">
        <v>68</v>
      </c>
      <c r="AQ582">
        <v>15</v>
      </c>
      <c r="AR582">
        <v>372</v>
      </c>
      <c r="AS582">
        <v>745</v>
      </c>
      <c r="AT582">
        <v>2.6040000000000001</v>
      </c>
      <c r="AU582">
        <v>5.6239999999999997</v>
      </c>
      <c r="AV582" t="s">
        <v>2194</v>
      </c>
      <c r="AW582" t="s">
        <v>2195</v>
      </c>
      <c r="AX582" t="s">
        <v>2196</v>
      </c>
    </row>
    <row r="583" spans="1:50" x14ac:dyDescent="0.25">
      <c r="A583" t="s">
        <v>2197</v>
      </c>
      <c r="B583" t="s">
        <v>1679</v>
      </c>
      <c r="C583">
        <v>1</v>
      </c>
      <c r="D583">
        <v>0</v>
      </c>
      <c r="E583" t="s">
        <v>1725</v>
      </c>
      <c r="H583">
        <v>0</v>
      </c>
      <c r="N583">
        <v>0</v>
      </c>
      <c r="Q583">
        <v>0</v>
      </c>
      <c r="R583">
        <v>1</v>
      </c>
      <c r="U583" t="s">
        <v>65</v>
      </c>
      <c r="V583">
        <v>33</v>
      </c>
      <c r="W583" t="s">
        <v>1688</v>
      </c>
      <c r="X583" t="s">
        <v>80</v>
      </c>
      <c r="Y583">
        <v>0</v>
      </c>
      <c r="Z583">
        <v>86.182561262999997</v>
      </c>
      <c r="AB583" t="s">
        <v>118</v>
      </c>
      <c r="AD583" t="s">
        <v>57</v>
      </c>
      <c r="AE583">
        <v>1</v>
      </c>
      <c r="AF583">
        <v>6</v>
      </c>
      <c r="AG583">
        <v>1</v>
      </c>
      <c r="AH583">
        <v>1.5</v>
      </c>
      <c r="AI583">
        <v>384</v>
      </c>
      <c r="AJ583">
        <v>384</v>
      </c>
      <c r="AK583">
        <v>144</v>
      </c>
      <c r="AL583" t="s">
        <v>1034</v>
      </c>
      <c r="AM583">
        <v>1.2000000476999999</v>
      </c>
      <c r="AN583" t="s">
        <v>2146</v>
      </c>
      <c r="AO583" t="s">
        <v>59</v>
      </c>
      <c r="AP583" t="s">
        <v>2147</v>
      </c>
      <c r="AQ583">
        <v>11</v>
      </c>
      <c r="AR583">
        <v>25</v>
      </c>
      <c r="AS583">
        <v>66</v>
      </c>
      <c r="AT583">
        <v>1.67</v>
      </c>
      <c r="AU583">
        <v>4.57</v>
      </c>
      <c r="AV583" t="s">
        <v>2198</v>
      </c>
      <c r="AW583" t="s">
        <v>2199</v>
      </c>
      <c r="AX583" t="s">
        <v>2200</v>
      </c>
    </row>
    <row r="584" spans="1:50" x14ac:dyDescent="0.25">
      <c r="A584" t="s">
        <v>2201</v>
      </c>
      <c r="B584" t="s">
        <v>1679</v>
      </c>
      <c r="C584">
        <v>0</v>
      </c>
      <c r="D584">
        <v>0</v>
      </c>
      <c r="E584" t="s">
        <v>1693</v>
      </c>
      <c r="H584">
        <v>0</v>
      </c>
      <c r="N584">
        <v>1</v>
      </c>
      <c r="Q584">
        <v>0</v>
      </c>
      <c r="R584">
        <v>0</v>
      </c>
      <c r="U584" t="s">
        <v>1687</v>
      </c>
      <c r="V584">
        <v>70</v>
      </c>
      <c r="X584" t="s">
        <v>80</v>
      </c>
      <c r="Y584">
        <v>0</v>
      </c>
      <c r="Z584">
        <v>97.07</v>
      </c>
      <c r="AB584" t="s">
        <v>56</v>
      </c>
      <c r="AD584" t="s">
        <v>57</v>
      </c>
      <c r="AE584">
        <v>0</v>
      </c>
      <c r="AF584">
        <v>5</v>
      </c>
      <c r="AG584">
        <v>1</v>
      </c>
      <c r="AH584">
        <v>3</v>
      </c>
      <c r="AI584">
        <v>512</v>
      </c>
      <c r="AJ584">
        <v>512</v>
      </c>
      <c r="AK584">
        <v>134</v>
      </c>
      <c r="AL584" t="s">
        <v>350</v>
      </c>
      <c r="AM584">
        <v>2.4</v>
      </c>
      <c r="AN584" t="s">
        <v>1786</v>
      </c>
      <c r="AO584" t="s">
        <v>67</v>
      </c>
      <c r="AP584" t="s">
        <v>1845</v>
      </c>
      <c r="AQ584">
        <v>15</v>
      </c>
      <c r="AR584">
        <v>774</v>
      </c>
      <c r="AS584">
        <v>1548</v>
      </c>
      <c r="AT584">
        <v>4.25</v>
      </c>
      <c r="AU584">
        <v>7.9119999999999999</v>
      </c>
      <c r="AV584" t="s">
        <v>2202</v>
      </c>
      <c r="AW584" t="s">
        <v>2203</v>
      </c>
      <c r="AX584" t="s">
        <v>2204</v>
      </c>
    </row>
    <row r="585" spans="1:50" x14ac:dyDescent="0.25">
      <c r="A585" t="s">
        <v>2205</v>
      </c>
      <c r="B585" t="s">
        <v>1679</v>
      </c>
      <c r="C585">
        <v>0</v>
      </c>
      <c r="D585">
        <v>0</v>
      </c>
      <c r="E585" t="s">
        <v>1725</v>
      </c>
      <c r="H585">
        <v>1</v>
      </c>
      <c r="N585">
        <v>0</v>
      </c>
      <c r="Q585">
        <v>0</v>
      </c>
      <c r="R585">
        <v>1</v>
      </c>
      <c r="U585" t="s">
        <v>65</v>
      </c>
      <c r="V585">
        <v>44</v>
      </c>
      <c r="X585" t="s">
        <v>80</v>
      </c>
      <c r="Y585">
        <v>0</v>
      </c>
      <c r="Z585">
        <v>99.79</v>
      </c>
      <c r="AB585" t="s">
        <v>56</v>
      </c>
      <c r="AD585" t="s">
        <v>57</v>
      </c>
      <c r="AE585">
        <v>0</v>
      </c>
      <c r="AF585">
        <v>6</v>
      </c>
      <c r="AG585">
        <v>1</v>
      </c>
      <c r="AH585">
        <v>3</v>
      </c>
      <c r="AI585">
        <v>512</v>
      </c>
      <c r="AJ585">
        <v>512</v>
      </c>
      <c r="AK585">
        <v>150</v>
      </c>
      <c r="AL585" t="s">
        <v>240</v>
      </c>
      <c r="AM585">
        <v>2.4</v>
      </c>
      <c r="AN585" t="s">
        <v>1786</v>
      </c>
      <c r="AO585" t="s">
        <v>67</v>
      </c>
      <c r="AP585" t="s">
        <v>68</v>
      </c>
      <c r="AQ585">
        <v>15</v>
      </c>
      <c r="AR585">
        <v>281</v>
      </c>
      <c r="AS585">
        <v>563</v>
      </c>
      <c r="AT585">
        <v>2.7879999999999998</v>
      </c>
      <c r="AU585">
        <v>7.0759999999999996</v>
      </c>
      <c r="AV585" t="s">
        <v>2027</v>
      </c>
      <c r="AW585" t="s">
        <v>2206</v>
      </c>
      <c r="AX585" t="s">
        <v>2207</v>
      </c>
    </row>
    <row r="586" spans="1:50" x14ac:dyDescent="0.25">
      <c r="A586" t="s">
        <v>2208</v>
      </c>
      <c r="B586" t="s">
        <v>1679</v>
      </c>
      <c r="C586">
        <v>0</v>
      </c>
      <c r="D586">
        <v>0</v>
      </c>
      <c r="E586" t="s">
        <v>1740</v>
      </c>
      <c r="H586">
        <v>1</v>
      </c>
      <c r="N586">
        <v>1</v>
      </c>
      <c r="Q586">
        <v>1</v>
      </c>
      <c r="R586">
        <v>0</v>
      </c>
      <c r="U586" t="s">
        <v>1735</v>
      </c>
      <c r="V586">
        <v>49</v>
      </c>
      <c r="W586" t="s">
        <v>1726</v>
      </c>
      <c r="X586" t="s">
        <v>80</v>
      </c>
      <c r="Y586">
        <v>0</v>
      </c>
      <c r="AD586" t="s">
        <v>57</v>
      </c>
      <c r="AE586">
        <v>0</v>
      </c>
      <c r="AF586">
        <v>6</v>
      </c>
      <c r="AG586">
        <v>1</v>
      </c>
      <c r="AH586">
        <v>3</v>
      </c>
      <c r="AI586">
        <v>512</v>
      </c>
      <c r="AJ586">
        <v>512</v>
      </c>
      <c r="AK586">
        <v>134</v>
      </c>
      <c r="AL586" t="s">
        <v>119</v>
      </c>
      <c r="AM586">
        <v>2.4</v>
      </c>
      <c r="AN586" t="s">
        <v>1786</v>
      </c>
      <c r="AO586" t="s">
        <v>67</v>
      </c>
      <c r="AP586" t="s">
        <v>68</v>
      </c>
      <c r="AQ586">
        <v>15</v>
      </c>
      <c r="AR586">
        <v>230</v>
      </c>
      <c r="AS586">
        <v>460</v>
      </c>
      <c r="AT586">
        <v>2.7959999999999998</v>
      </c>
      <c r="AU586">
        <v>7.2949999999999999</v>
      </c>
      <c r="AV586" t="s">
        <v>2209</v>
      </c>
      <c r="AW586" t="s">
        <v>2210</v>
      </c>
      <c r="AX586" t="s">
        <v>2211</v>
      </c>
    </row>
    <row r="587" spans="1:50" x14ac:dyDescent="0.25">
      <c r="A587" t="s">
        <v>2212</v>
      </c>
      <c r="B587" t="s">
        <v>1679</v>
      </c>
      <c r="C587">
        <v>0</v>
      </c>
      <c r="D587">
        <v>1</v>
      </c>
      <c r="E587" t="s">
        <v>2035</v>
      </c>
      <c r="H587">
        <v>0</v>
      </c>
      <c r="N587">
        <v>1</v>
      </c>
      <c r="Q587">
        <v>1</v>
      </c>
      <c r="R587">
        <v>0</v>
      </c>
      <c r="U587" t="s">
        <v>1735</v>
      </c>
      <c r="V587">
        <v>32</v>
      </c>
      <c r="W587" t="s">
        <v>1688</v>
      </c>
      <c r="X587" t="s">
        <v>80</v>
      </c>
      <c r="Y587">
        <v>0</v>
      </c>
      <c r="Z587">
        <v>93.440040106200001</v>
      </c>
      <c r="AA587">
        <v>1.6256032533</v>
      </c>
      <c r="AB587" t="s">
        <v>56</v>
      </c>
      <c r="AD587" t="s">
        <v>57</v>
      </c>
      <c r="AE587">
        <v>0</v>
      </c>
      <c r="AF587">
        <v>6</v>
      </c>
      <c r="AG587">
        <v>1</v>
      </c>
      <c r="AH587">
        <v>3</v>
      </c>
      <c r="AI587">
        <v>512</v>
      </c>
      <c r="AJ587">
        <v>512</v>
      </c>
      <c r="AK587">
        <v>160</v>
      </c>
      <c r="AL587" t="s">
        <v>196</v>
      </c>
      <c r="AM587">
        <v>1</v>
      </c>
      <c r="AN587" t="s">
        <v>1741</v>
      </c>
      <c r="AO587" t="s">
        <v>59</v>
      </c>
      <c r="AP587" t="s">
        <v>124</v>
      </c>
      <c r="AQ587">
        <v>11</v>
      </c>
      <c r="AR587">
        <v>45</v>
      </c>
      <c r="AS587">
        <v>123</v>
      </c>
      <c r="AT587">
        <v>1.69</v>
      </c>
      <c r="AU587">
        <v>4.5999999999999996</v>
      </c>
      <c r="AV587" t="s">
        <v>1967</v>
      </c>
      <c r="AW587" t="s">
        <v>2213</v>
      </c>
      <c r="AX587" t="s">
        <v>2214</v>
      </c>
    </row>
    <row r="588" spans="1:50" x14ac:dyDescent="0.25">
      <c r="A588" t="s">
        <v>2215</v>
      </c>
      <c r="B588" t="s">
        <v>1679</v>
      </c>
      <c r="C588">
        <v>0</v>
      </c>
      <c r="D588">
        <v>0</v>
      </c>
      <c r="E588" t="s">
        <v>1703</v>
      </c>
      <c r="H588">
        <v>1</v>
      </c>
      <c r="N588">
        <v>1</v>
      </c>
      <c r="Q588">
        <v>0</v>
      </c>
      <c r="R588">
        <v>0</v>
      </c>
      <c r="U588" t="s">
        <v>1687</v>
      </c>
      <c r="V588">
        <v>57</v>
      </c>
      <c r="W588" t="s">
        <v>79</v>
      </c>
      <c r="X588" t="s">
        <v>80</v>
      </c>
      <c r="Y588">
        <v>0</v>
      </c>
      <c r="AD588" t="s">
        <v>57</v>
      </c>
      <c r="AE588">
        <v>0</v>
      </c>
      <c r="AF588">
        <v>6</v>
      </c>
      <c r="AG588">
        <v>1</v>
      </c>
      <c r="AH588">
        <v>3</v>
      </c>
      <c r="AI588">
        <v>512</v>
      </c>
      <c r="AJ588">
        <v>512</v>
      </c>
      <c r="AK588">
        <v>134</v>
      </c>
      <c r="AL588" t="s">
        <v>196</v>
      </c>
      <c r="AM588">
        <v>2.4</v>
      </c>
      <c r="AN588" t="s">
        <v>1786</v>
      </c>
      <c r="AO588" t="s">
        <v>67</v>
      </c>
      <c r="AP588" t="s">
        <v>68</v>
      </c>
      <c r="AQ588">
        <v>15</v>
      </c>
      <c r="AR588">
        <v>815</v>
      </c>
      <c r="AS588">
        <v>1629</v>
      </c>
      <c r="AT588">
        <v>4.25</v>
      </c>
      <c r="AU588">
        <v>8.5519999999999996</v>
      </c>
      <c r="AV588" t="s">
        <v>2216</v>
      </c>
      <c r="AW588" t="s">
        <v>2217</v>
      </c>
      <c r="AX588" t="s">
        <v>2218</v>
      </c>
    </row>
    <row r="589" spans="1:50" x14ac:dyDescent="0.25">
      <c r="A589" t="s">
        <v>2219</v>
      </c>
      <c r="B589" t="s">
        <v>1679</v>
      </c>
      <c r="C589">
        <v>0</v>
      </c>
      <c r="D589">
        <v>0</v>
      </c>
      <c r="E589" t="s">
        <v>1740</v>
      </c>
      <c r="H589">
        <v>1</v>
      </c>
      <c r="N589">
        <v>0</v>
      </c>
      <c r="Q589">
        <v>0</v>
      </c>
      <c r="R589">
        <v>1</v>
      </c>
      <c r="U589" t="s">
        <v>65</v>
      </c>
      <c r="V589">
        <v>49</v>
      </c>
      <c r="X589" t="s">
        <v>80</v>
      </c>
      <c r="Y589">
        <v>0</v>
      </c>
      <c r="Z589">
        <v>77.111000000000004</v>
      </c>
      <c r="AB589" t="s">
        <v>94</v>
      </c>
      <c r="AD589" t="s">
        <v>57</v>
      </c>
      <c r="AE589">
        <v>0</v>
      </c>
      <c r="AF589">
        <v>6</v>
      </c>
      <c r="AG589">
        <v>1</v>
      </c>
      <c r="AH589">
        <v>1.5</v>
      </c>
      <c r="AI589">
        <v>512</v>
      </c>
      <c r="AJ589">
        <v>512</v>
      </c>
      <c r="AK589">
        <v>66</v>
      </c>
      <c r="AL589" t="s">
        <v>113</v>
      </c>
      <c r="AM589">
        <v>2.4</v>
      </c>
      <c r="AN589" t="s">
        <v>1897</v>
      </c>
      <c r="AO589" t="s">
        <v>67</v>
      </c>
      <c r="AP589" t="s">
        <v>68</v>
      </c>
      <c r="AQ589">
        <v>15</v>
      </c>
      <c r="AR589">
        <v>50</v>
      </c>
      <c r="AS589">
        <v>100</v>
      </c>
      <c r="AT589">
        <v>4.1520000000000001</v>
      </c>
      <c r="AU589">
        <v>8.4920000000000009</v>
      </c>
      <c r="AV589" t="s">
        <v>2220</v>
      </c>
      <c r="AW589" t="s">
        <v>2221</v>
      </c>
      <c r="AX589" t="s">
        <v>2222</v>
      </c>
    </row>
    <row r="590" spans="1:50" x14ac:dyDescent="0.25">
      <c r="A590" t="s">
        <v>2223</v>
      </c>
      <c r="B590" t="s">
        <v>1679</v>
      </c>
      <c r="C590">
        <v>0</v>
      </c>
      <c r="D590">
        <v>0</v>
      </c>
      <c r="E590" t="s">
        <v>1871</v>
      </c>
      <c r="H590">
        <v>0</v>
      </c>
      <c r="N590">
        <v>1</v>
      </c>
      <c r="Q590">
        <v>1</v>
      </c>
      <c r="R590">
        <v>0</v>
      </c>
      <c r="U590" t="s">
        <v>1735</v>
      </c>
      <c r="V590">
        <v>57</v>
      </c>
      <c r="W590" t="s">
        <v>79</v>
      </c>
      <c r="X590" t="s">
        <v>80</v>
      </c>
      <c r="Y590">
        <v>0</v>
      </c>
      <c r="Z590">
        <v>68.039000000000001</v>
      </c>
      <c r="AB590" t="s">
        <v>74</v>
      </c>
      <c r="AD590" t="s">
        <v>57</v>
      </c>
      <c r="AE590">
        <v>0</v>
      </c>
      <c r="AF590">
        <v>6</v>
      </c>
      <c r="AG590">
        <v>1</v>
      </c>
      <c r="AH590">
        <v>3</v>
      </c>
      <c r="AI590">
        <v>512</v>
      </c>
      <c r="AJ590">
        <v>512</v>
      </c>
      <c r="AK590">
        <v>134</v>
      </c>
      <c r="AL590" t="s">
        <v>81</v>
      </c>
      <c r="AM590">
        <v>2.4</v>
      </c>
      <c r="AN590" t="s">
        <v>1786</v>
      </c>
      <c r="AO590" t="s">
        <v>67</v>
      </c>
      <c r="AP590" t="s">
        <v>68</v>
      </c>
      <c r="AQ590">
        <v>15</v>
      </c>
      <c r="AR590">
        <v>418</v>
      </c>
      <c r="AS590">
        <v>837</v>
      </c>
      <c r="AT590">
        <v>4.25</v>
      </c>
      <c r="AU590">
        <v>7.8849999999999998</v>
      </c>
      <c r="AV590" t="s">
        <v>1920</v>
      </c>
      <c r="AW590" t="s">
        <v>2224</v>
      </c>
      <c r="AX590" t="s">
        <v>2225</v>
      </c>
    </row>
    <row r="591" spans="1:50" x14ac:dyDescent="0.25">
      <c r="A591" t="s">
        <v>2226</v>
      </c>
      <c r="B591" t="s">
        <v>1679</v>
      </c>
      <c r="C591">
        <v>0</v>
      </c>
      <c r="D591">
        <v>0</v>
      </c>
      <c r="E591" t="s">
        <v>1693</v>
      </c>
      <c r="H591">
        <v>0</v>
      </c>
      <c r="N591">
        <v>0</v>
      </c>
      <c r="Q591">
        <v>0</v>
      </c>
      <c r="R591">
        <v>1</v>
      </c>
      <c r="U591" t="s">
        <v>65</v>
      </c>
      <c r="V591">
        <v>25</v>
      </c>
      <c r="W591" t="s">
        <v>1726</v>
      </c>
      <c r="X591" t="s">
        <v>111</v>
      </c>
      <c r="Y591">
        <v>0</v>
      </c>
      <c r="AD591" t="s">
        <v>57</v>
      </c>
      <c r="AE591">
        <v>0</v>
      </c>
      <c r="AF591">
        <v>6</v>
      </c>
      <c r="AG591">
        <v>1</v>
      </c>
      <c r="AH591">
        <v>3</v>
      </c>
      <c r="AI591">
        <v>512</v>
      </c>
      <c r="AJ591">
        <v>512</v>
      </c>
      <c r="AK591">
        <v>134</v>
      </c>
      <c r="AL591" t="s">
        <v>81</v>
      </c>
      <c r="AM591">
        <v>2.4</v>
      </c>
      <c r="AN591" t="s">
        <v>1786</v>
      </c>
      <c r="AO591" t="s">
        <v>67</v>
      </c>
      <c r="AP591" t="s">
        <v>68</v>
      </c>
      <c r="AQ591">
        <v>15</v>
      </c>
      <c r="AR591">
        <v>587</v>
      </c>
      <c r="AS591">
        <v>1175</v>
      </c>
      <c r="AT591">
        <v>2.8479999999999999</v>
      </c>
      <c r="AU591">
        <v>7.782</v>
      </c>
      <c r="AV591" t="s">
        <v>1817</v>
      </c>
      <c r="AW591" t="s">
        <v>2227</v>
      </c>
      <c r="AX591" t="s">
        <v>2228</v>
      </c>
    </row>
    <row r="592" spans="1:50" x14ac:dyDescent="0.25">
      <c r="A592" t="s">
        <v>2229</v>
      </c>
      <c r="B592" t="s">
        <v>1679</v>
      </c>
      <c r="C592">
        <v>0</v>
      </c>
      <c r="D592">
        <v>0</v>
      </c>
      <c r="E592" t="s">
        <v>1871</v>
      </c>
      <c r="H592">
        <v>1</v>
      </c>
      <c r="N592">
        <v>1</v>
      </c>
      <c r="Q592">
        <v>1</v>
      </c>
      <c r="R592">
        <v>0</v>
      </c>
      <c r="U592" t="s">
        <v>1735</v>
      </c>
      <c r="V592">
        <v>49</v>
      </c>
      <c r="W592" t="s">
        <v>1688</v>
      </c>
      <c r="X592" t="s">
        <v>55</v>
      </c>
      <c r="Y592">
        <v>0</v>
      </c>
      <c r="Z592">
        <v>53</v>
      </c>
      <c r="AA592">
        <v>1.6</v>
      </c>
      <c r="AB592" t="s">
        <v>74</v>
      </c>
      <c r="AD592" t="s">
        <v>57</v>
      </c>
      <c r="AE592">
        <v>0</v>
      </c>
      <c r="AF592">
        <v>6</v>
      </c>
      <c r="AG592">
        <v>1</v>
      </c>
      <c r="AH592">
        <v>3</v>
      </c>
      <c r="AI592">
        <v>416</v>
      </c>
      <c r="AJ592">
        <v>416</v>
      </c>
      <c r="AK592">
        <v>64</v>
      </c>
      <c r="AL592" t="s">
        <v>2230</v>
      </c>
      <c r="AM592">
        <v>2.5</v>
      </c>
      <c r="AN592" t="s">
        <v>1114</v>
      </c>
      <c r="AO592" t="s">
        <v>59</v>
      </c>
      <c r="AP592" t="s">
        <v>1781</v>
      </c>
      <c r="AQ592">
        <v>11</v>
      </c>
      <c r="AR592">
        <v>74</v>
      </c>
      <c r="AS592">
        <v>197</v>
      </c>
      <c r="AT592">
        <v>1.56</v>
      </c>
      <c r="AU592">
        <v>4.8</v>
      </c>
      <c r="AV592" t="s">
        <v>2231</v>
      </c>
      <c r="AW592" t="s">
        <v>2232</v>
      </c>
      <c r="AX592" t="s">
        <v>2233</v>
      </c>
    </row>
    <row r="593" spans="1:50" x14ac:dyDescent="0.25">
      <c r="A593" t="s">
        <v>2234</v>
      </c>
      <c r="B593" t="s">
        <v>1679</v>
      </c>
      <c r="C593">
        <v>1</v>
      </c>
      <c r="D593">
        <v>0</v>
      </c>
      <c r="E593" t="s">
        <v>1780</v>
      </c>
      <c r="H593">
        <v>1</v>
      </c>
      <c r="N593">
        <v>0</v>
      </c>
      <c r="Q593">
        <v>0</v>
      </c>
      <c r="R593">
        <v>0</v>
      </c>
      <c r="U593" t="s">
        <v>65</v>
      </c>
      <c r="V593">
        <v>41</v>
      </c>
      <c r="W593" t="s">
        <v>1688</v>
      </c>
      <c r="X593" t="s">
        <v>80</v>
      </c>
      <c r="Y593">
        <v>0</v>
      </c>
      <c r="Z593">
        <v>68.038864154999999</v>
      </c>
      <c r="AB593" t="s">
        <v>74</v>
      </c>
      <c r="AD593" t="s">
        <v>57</v>
      </c>
      <c r="AE593">
        <v>1</v>
      </c>
      <c r="AF593">
        <v>6</v>
      </c>
      <c r="AG593">
        <v>1</v>
      </c>
      <c r="AH593">
        <v>1.5</v>
      </c>
      <c r="AI593">
        <v>384</v>
      </c>
      <c r="AJ593">
        <v>384</v>
      </c>
      <c r="AK593">
        <v>160</v>
      </c>
      <c r="AL593" t="s">
        <v>2036</v>
      </c>
      <c r="AM593">
        <v>1</v>
      </c>
      <c r="AN593" t="s">
        <v>1741</v>
      </c>
      <c r="AO593" t="s">
        <v>59</v>
      </c>
      <c r="AP593" t="s">
        <v>60</v>
      </c>
      <c r="AQ593">
        <v>11</v>
      </c>
      <c r="AR593">
        <v>110</v>
      </c>
      <c r="AS593">
        <v>277</v>
      </c>
      <c r="AT593">
        <v>2.42</v>
      </c>
      <c r="AU593">
        <v>5.23</v>
      </c>
      <c r="AV593" t="s">
        <v>2235</v>
      </c>
      <c r="AW593" t="s">
        <v>2236</v>
      </c>
      <c r="AX593" t="s">
        <v>2237</v>
      </c>
    </row>
    <row r="594" spans="1:50" x14ac:dyDescent="0.25">
      <c r="A594" t="s">
        <v>2238</v>
      </c>
      <c r="B594" t="s">
        <v>1679</v>
      </c>
      <c r="C594">
        <v>0</v>
      </c>
      <c r="D594">
        <v>0</v>
      </c>
      <c r="E594" t="s">
        <v>1686</v>
      </c>
      <c r="H594">
        <v>1</v>
      </c>
      <c r="N594">
        <v>0</v>
      </c>
      <c r="Q594">
        <v>0</v>
      </c>
      <c r="R594">
        <v>1</v>
      </c>
      <c r="U594" t="s">
        <v>65</v>
      </c>
      <c r="V594">
        <v>64</v>
      </c>
      <c r="X594" t="s">
        <v>80</v>
      </c>
      <c r="Y594">
        <v>0</v>
      </c>
      <c r="Z594">
        <v>73.481999999999999</v>
      </c>
      <c r="AB594" t="s">
        <v>94</v>
      </c>
      <c r="AD594" t="s">
        <v>57</v>
      </c>
      <c r="AE594">
        <v>0</v>
      </c>
      <c r="AF594">
        <v>6</v>
      </c>
      <c r="AG594">
        <v>1</v>
      </c>
      <c r="AH594">
        <v>1.5</v>
      </c>
      <c r="AI594">
        <v>512</v>
      </c>
      <c r="AJ594">
        <v>512</v>
      </c>
      <c r="AK594">
        <v>72</v>
      </c>
      <c r="AL594" t="s">
        <v>119</v>
      </c>
      <c r="AM594">
        <v>2.2000000000000002</v>
      </c>
      <c r="AN594" t="s">
        <v>1072</v>
      </c>
      <c r="AO594" t="s">
        <v>67</v>
      </c>
      <c r="AP594" t="s">
        <v>68</v>
      </c>
      <c r="AQ594">
        <v>15</v>
      </c>
      <c r="AR594">
        <v>180</v>
      </c>
      <c r="AS594">
        <v>361</v>
      </c>
      <c r="AT594">
        <v>4.2359999999999998</v>
      </c>
      <c r="AU594">
        <v>8.6679999999999993</v>
      </c>
      <c r="AV594" t="s">
        <v>2239</v>
      </c>
      <c r="AW594" t="s">
        <v>2240</v>
      </c>
      <c r="AX594" t="s">
        <v>2241</v>
      </c>
    </row>
    <row r="595" spans="1:50" x14ac:dyDescent="0.25">
      <c r="A595" t="s">
        <v>2242</v>
      </c>
      <c r="B595" t="s">
        <v>1679</v>
      </c>
      <c r="C595">
        <v>0</v>
      </c>
      <c r="D595">
        <v>0</v>
      </c>
      <c r="E595" t="s">
        <v>1839</v>
      </c>
      <c r="H595">
        <v>0</v>
      </c>
      <c r="N595">
        <v>1</v>
      </c>
      <c r="Q595">
        <v>1</v>
      </c>
      <c r="R595">
        <v>0</v>
      </c>
      <c r="U595" t="s">
        <v>1735</v>
      </c>
      <c r="V595">
        <v>39</v>
      </c>
      <c r="X595" t="s">
        <v>80</v>
      </c>
      <c r="Y595">
        <v>0</v>
      </c>
      <c r="Z595">
        <v>65.771000000000001</v>
      </c>
      <c r="AB595" t="s">
        <v>74</v>
      </c>
      <c r="AD595" t="s">
        <v>57</v>
      </c>
      <c r="AE595">
        <v>0</v>
      </c>
      <c r="AF595">
        <v>6</v>
      </c>
      <c r="AG595">
        <v>1</v>
      </c>
      <c r="AH595">
        <v>3</v>
      </c>
      <c r="AI595">
        <v>512</v>
      </c>
      <c r="AJ595">
        <v>512</v>
      </c>
      <c r="AK595">
        <v>134</v>
      </c>
      <c r="AL595" t="s">
        <v>119</v>
      </c>
      <c r="AM595">
        <v>2.4</v>
      </c>
      <c r="AN595" t="s">
        <v>1786</v>
      </c>
      <c r="AO595" t="s">
        <v>67</v>
      </c>
      <c r="AP595" t="s">
        <v>68</v>
      </c>
      <c r="AQ595">
        <v>15</v>
      </c>
      <c r="AR595">
        <v>240</v>
      </c>
      <c r="AS595">
        <v>480</v>
      </c>
      <c r="AT595">
        <v>2.7959999999999998</v>
      </c>
      <c r="AU595">
        <v>7.3029999999999999</v>
      </c>
      <c r="AV595" t="s">
        <v>1817</v>
      </c>
      <c r="AW595" t="s">
        <v>2243</v>
      </c>
      <c r="AX595" t="s">
        <v>2244</v>
      </c>
    </row>
    <row r="596" spans="1:50" x14ac:dyDescent="0.25">
      <c r="A596" t="s">
        <v>2245</v>
      </c>
      <c r="B596" t="s">
        <v>1679</v>
      </c>
      <c r="C596">
        <v>0</v>
      </c>
      <c r="D596">
        <v>0</v>
      </c>
      <c r="E596" t="s">
        <v>1698</v>
      </c>
      <c r="H596">
        <v>0</v>
      </c>
      <c r="N596">
        <v>1</v>
      </c>
      <c r="Q596">
        <v>0</v>
      </c>
      <c r="R596">
        <v>0</v>
      </c>
      <c r="U596" t="s">
        <v>1687</v>
      </c>
      <c r="V596">
        <v>45</v>
      </c>
      <c r="W596" t="s">
        <v>1688</v>
      </c>
      <c r="X596" t="s">
        <v>80</v>
      </c>
      <c r="Y596">
        <v>0</v>
      </c>
      <c r="Z596">
        <v>79.831999999999994</v>
      </c>
      <c r="AB596" t="s">
        <v>94</v>
      </c>
      <c r="AD596" t="s">
        <v>57</v>
      </c>
      <c r="AE596">
        <v>0</v>
      </c>
      <c r="AF596">
        <v>6</v>
      </c>
      <c r="AG596">
        <v>1</v>
      </c>
      <c r="AH596">
        <v>3</v>
      </c>
      <c r="AI596">
        <v>512</v>
      </c>
      <c r="AJ596">
        <v>512</v>
      </c>
      <c r="AK596">
        <v>134</v>
      </c>
      <c r="AL596" t="s">
        <v>119</v>
      </c>
      <c r="AM596">
        <v>2.4</v>
      </c>
      <c r="AN596" t="s">
        <v>1786</v>
      </c>
      <c r="AO596" t="s">
        <v>67</v>
      </c>
      <c r="AP596" t="s">
        <v>68</v>
      </c>
      <c r="AQ596">
        <v>15</v>
      </c>
      <c r="AR596">
        <v>320</v>
      </c>
      <c r="AS596">
        <v>641</v>
      </c>
      <c r="AT596">
        <v>2.8039999999999998</v>
      </c>
      <c r="AU596">
        <v>7.32</v>
      </c>
      <c r="AV596" t="s">
        <v>1817</v>
      </c>
      <c r="AW596" t="s">
        <v>2246</v>
      </c>
      <c r="AX596" t="s">
        <v>2247</v>
      </c>
    </row>
    <row r="597" spans="1:50" x14ac:dyDescent="0.25">
      <c r="A597" t="s">
        <v>2248</v>
      </c>
      <c r="B597" t="s">
        <v>1679</v>
      </c>
      <c r="C597">
        <v>0</v>
      </c>
      <c r="D597">
        <v>0</v>
      </c>
      <c r="E597" t="s">
        <v>1680</v>
      </c>
      <c r="H597">
        <v>0</v>
      </c>
      <c r="N597">
        <v>1</v>
      </c>
      <c r="Q597">
        <v>0</v>
      </c>
      <c r="R597">
        <v>0</v>
      </c>
      <c r="U597" t="s">
        <v>1687</v>
      </c>
      <c r="V597">
        <v>45</v>
      </c>
      <c r="W597" t="s">
        <v>1688</v>
      </c>
      <c r="X597" t="s">
        <v>80</v>
      </c>
      <c r="Y597">
        <v>0</v>
      </c>
      <c r="Z597">
        <v>64.864000000000004</v>
      </c>
      <c r="AB597" t="s">
        <v>74</v>
      </c>
      <c r="AD597" t="s">
        <v>57</v>
      </c>
      <c r="AE597">
        <v>0</v>
      </c>
      <c r="AF597">
        <v>6</v>
      </c>
      <c r="AG597">
        <v>1</v>
      </c>
      <c r="AH597">
        <v>1.5</v>
      </c>
      <c r="AI597">
        <v>512</v>
      </c>
      <c r="AJ597">
        <v>512</v>
      </c>
      <c r="AK597">
        <v>80</v>
      </c>
      <c r="AL597" t="s">
        <v>113</v>
      </c>
      <c r="AM597">
        <v>2</v>
      </c>
      <c r="AN597" t="s">
        <v>996</v>
      </c>
      <c r="AO597" t="s">
        <v>67</v>
      </c>
      <c r="AP597" t="s">
        <v>68</v>
      </c>
      <c r="AQ597">
        <v>15</v>
      </c>
      <c r="AR597">
        <v>139</v>
      </c>
      <c r="AS597">
        <v>278</v>
      </c>
      <c r="AT597">
        <v>4.2</v>
      </c>
      <c r="AU597">
        <v>7</v>
      </c>
      <c r="AV597" t="s">
        <v>2126</v>
      </c>
      <c r="AW597" t="s">
        <v>2249</v>
      </c>
      <c r="AX597" t="s">
        <v>2250</v>
      </c>
    </row>
    <row r="598" spans="1:50" x14ac:dyDescent="0.25">
      <c r="A598" t="s">
        <v>2251</v>
      </c>
      <c r="B598" t="s">
        <v>1679</v>
      </c>
      <c r="C598">
        <v>0</v>
      </c>
      <c r="D598">
        <v>0</v>
      </c>
      <c r="E598" t="s">
        <v>1740</v>
      </c>
      <c r="H598">
        <v>1</v>
      </c>
      <c r="N598">
        <v>0</v>
      </c>
      <c r="Q598">
        <v>1</v>
      </c>
      <c r="R598">
        <v>0</v>
      </c>
      <c r="U598" t="s">
        <v>72</v>
      </c>
      <c r="V598">
        <v>58</v>
      </c>
      <c r="W598" t="s">
        <v>79</v>
      </c>
      <c r="X598" t="s">
        <v>80</v>
      </c>
      <c r="Y598">
        <v>0</v>
      </c>
      <c r="AD598" t="s">
        <v>57</v>
      </c>
      <c r="AE598">
        <v>0</v>
      </c>
      <c r="AF598">
        <v>6</v>
      </c>
      <c r="AG598">
        <v>1</v>
      </c>
      <c r="AH598">
        <v>3</v>
      </c>
      <c r="AI598">
        <v>512</v>
      </c>
      <c r="AJ598">
        <v>512</v>
      </c>
      <c r="AK598">
        <v>134</v>
      </c>
      <c r="AL598" t="s">
        <v>81</v>
      </c>
      <c r="AM598">
        <v>2.4</v>
      </c>
      <c r="AN598" t="s">
        <v>1786</v>
      </c>
      <c r="AO598" t="s">
        <v>67</v>
      </c>
      <c r="AP598" t="s">
        <v>68</v>
      </c>
      <c r="AQ598">
        <v>15</v>
      </c>
      <c r="AR598">
        <v>384</v>
      </c>
      <c r="AS598">
        <v>768</v>
      </c>
      <c r="AT598">
        <v>4.25</v>
      </c>
      <c r="AU598">
        <v>7.8849999999999998</v>
      </c>
      <c r="AV598" t="s">
        <v>1817</v>
      </c>
      <c r="AW598" t="s">
        <v>2252</v>
      </c>
      <c r="AX598" t="s">
        <v>2253</v>
      </c>
    </row>
    <row r="599" spans="1:50" x14ac:dyDescent="0.25">
      <c r="A599" t="s">
        <v>2254</v>
      </c>
      <c r="B599" t="s">
        <v>1679</v>
      </c>
      <c r="C599">
        <v>1</v>
      </c>
      <c r="D599">
        <v>1</v>
      </c>
      <c r="E599" t="s">
        <v>1680</v>
      </c>
      <c r="H599">
        <v>0</v>
      </c>
      <c r="N599">
        <v>1</v>
      </c>
      <c r="Q599">
        <v>0</v>
      </c>
      <c r="R599">
        <v>0</v>
      </c>
      <c r="U599" t="s">
        <v>1687</v>
      </c>
      <c r="V599">
        <v>34</v>
      </c>
      <c r="W599" t="s">
        <v>1688</v>
      </c>
      <c r="X599" t="s">
        <v>80</v>
      </c>
      <c r="Y599">
        <v>0</v>
      </c>
      <c r="AD599" t="s">
        <v>57</v>
      </c>
      <c r="AE599">
        <v>1</v>
      </c>
      <c r="AF599">
        <v>6</v>
      </c>
      <c r="AG599">
        <v>1</v>
      </c>
      <c r="AH599">
        <v>1.5</v>
      </c>
      <c r="AI599">
        <v>384</v>
      </c>
      <c r="AJ599">
        <v>384</v>
      </c>
      <c r="AK599">
        <v>160</v>
      </c>
      <c r="AL599" t="s">
        <v>1394</v>
      </c>
      <c r="AM599">
        <v>1</v>
      </c>
      <c r="AN599" t="s">
        <v>1728</v>
      </c>
      <c r="AO599" t="s">
        <v>59</v>
      </c>
      <c r="AP599" t="s">
        <v>1729</v>
      </c>
      <c r="AQ599">
        <v>11</v>
      </c>
      <c r="AR599">
        <v>44</v>
      </c>
      <c r="AS599">
        <v>120</v>
      </c>
      <c r="AT599">
        <v>1.81</v>
      </c>
      <c r="AU599">
        <v>5.05</v>
      </c>
      <c r="AV599" t="s">
        <v>1787</v>
      </c>
      <c r="AW599" t="s">
        <v>2255</v>
      </c>
      <c r="AX599" t="s">
        <v>2256</v>
      </c>
    </row>
    <row r="600" spans="1:50" x14ac:dyDescent="0.25">
      <c r="A600" t="s">
        <v>2257</v>
      </c>
      <c r="B600" t="s">
        <v>1679</v>
      </c>
      <c r="C600">
        <v>0</v>
      </c>
      <c r="D600">
        <v>0</v>
      </c>
      <c r="E600" t="s">
        <v>1703</v>
      </c>
      <c r="H600">
        <v>1</v>
      </c>
      <c r="N600">
        <v>0</v>
      </c>
      <c r="Q600">
        <v>0</v>
      </c>
      <c r="R600">
        <v>1</v>
      </c>
      <c r="U600" t="s">
        <v>65</v>
      </c>
      <c r="V600">
        <v>32</v>
      </c>
      <c r="W600" t="s">
        <v>1688</v>
      </c>
      <c r="X600" t="s">
        <v>80</v>
      </c>
      <c r="Y600">
        <v>0</v>
      </c>
      <c r="Z600">
        <v>92.53</v>
      </c>
      <c r="AB600" t="s">
        <v>118</v>
      </c>
      <c r="AD600" t="s">
        <v>57</v>
      </c>
      <c r="AE600">
        <v>0</v>
      </c>
      <c r="AF600">
        <v>6</v>
      </c>
      <c r="AG600">
        <v>1</v>
      </c>
      <c r="AH600">
        <v>1.5</v>
      </c>
      <c r="AI600">
        <v>512</v>
      </c>
      <c r="AJ600">
        <v>512</v>
      </c>
      <c r="AK600">
        <v>80</v>
      </c>
      <c r="AL600" t="s">
        <v>113</v>
      </c>
      <c r="AM600">
        <v>2</v>
      </c>
      <c r="AN600" t="s">
        <v>996</v>
      </c>
      <c r="AO600" t="s">
        <v>67</v>
      </c>
      <c r="AP600" t="s">
        <v>68</v>
      </c>
      <c r="AQ600">
        <v>15</v>
      </c>
      <c r="AR600">
        <v>53</v>
      </c>
      <c r="AS600">
        <v>107</v>
      </c>
      <c r="AT600">
        <v>4.2</v>
      </c>
      <c r="AU600">
        <v>7.056</v>
      </c>
      <c r="AV600" t="s">
        <v>2258</v>
      </c>
      <c r="AW600" t="s">
        <v>2011</v>
      </c>
      <c r="AX600" t="s">
        <v>2259</v>
      </c>
    </row>
    <row r="601" spans="1:50" x14ac:dyDescent="0.25">
      <c r="A601" t="s">
        <v>2260</v>
      </c>
      <c r="B601" t="s">
        <v>1679</v>
      </c>
      <c r="C601">
        <v>0</v>
      </c>
      <c r="D601">
        <v>0</v>
      </c>
      <c r="E601" t="s">
        <v>1686</v>
      </c>
      <c r="H601">
        <v>0</v>
      </c>
      <c r="N601">
        <v>1</v>
      </c>
      <c r="Q601">
        <v>0</v>
      </c>
      <c r="R601">
        <v>0</v>
      </c>
      <c r="U601" t="s">
        <v>1687</v>
      </c>
      <c r="V601">
        <v>39</v>
      </c>
      <c r="W601" t="s">
        <v>1688</v>
      </c>
      <c r="X601" t="s">
        <v>80</v>
      </c>
      <c r="Y601">
        <v>0</v>
      </c>
      <c r="Z601">
        <v>64</v>
      </c>
      <c r="AB601" t="s">
        <v>74</v>
      </c>
      <c r="AD601" t="s">
        <v>57</v>
      </c>
      <c r="AE601">
        <v>0</v>
      </c>
      <c r="AF601">
        <v>6</v>
      </c>
      <c r="AG601">
        <v>1</v>
      </c>
      <c r="AH601">
        <v>1.5</v>
      </c>
      <c r="AI601">
        <v>512</v>
      </c>
      <c r="AJ601">
        <v>512</v>
      </c>
      <c r="AK601">
        <v>160</v>
      </c>
      <c r="AL601" t="s">
        <v>2261</v>
      </c>
      <c r="AM601">
        <v>2</v>
      </c>
      <c r="AN601" t="s">
        <v>1154</v>
      </c>
      <c r="AO601" t="s">
        <v>1155</v>
      </c>
      <c r="AP601" t="s">
        <v>1305</v>
      </c>
      <c r="AQ601">
        <v>11</v>
      </c>
      <c r="AR601">
        <v>969</v>
      </c>
      <c r="AS601">
        <v>1685</v>
      </c>
      <c r="AT601">
        <v>2.6589999999999998</v>
      </c>
      <c r="AU601">
        <v>4.8167999999999997</v>
      </c>
      <c r="AV601" t="s">
        <v>2262</v>
      </c>
      <c r="AW601" t="s">
        <v>2232</v>
      </c>
      <c r="AX601" t="s">
        <v>2263</v>
      </c>
    </row>
    <row r="602" spans="1:50" x14ac:dyDescent="0.25">
      <c r="A602" t="s">
        <v>2264</v>
      </c>
      <c r="B602" t="s">
        <v>1679</v>
      </c>
      <c r="C602">
        <v>0</v>
      </c>
      <c r="D602">
        <v>0</v>
      </c>
      <c r="E602" t="s">
        <v>1839</v>
      </c>
      <c r="H602">
        <v>1</v>
      </c>
      <c r="N602">
        <v>0</v>
      </c>
      <c r="Q602">
        <v>1</v>
      </c>
      <c r="R602">
        <v>1</v>
      </c>
      <c r="U602" t="s">
        <v>72</v>
      </c>
      <c r="V602">
        <v>69</v>
      </c>
      <c r="W602" t="s">
        <v>79</v>
      </c>
      <c r="X602" t="s">
        <v>111</v>
      </c>
      <c r="Y602">
        <v>0</v>
      </c>
      <c r="Z602">
        <v>54.43</v>
      </c>
      <c r="AB602" t="s">
        <v>74</v>
      </c>
      <c r="AD602" t="s">
        <v>57</v>
      </c>
      <c r="AE602">
        <v>0</v>
      </c>
      <c r="AF602">
        <v>6</v>
      </c>
      <c r="AG602">
        <v>1</v>
      </c>
      <c r="AH602">
        <v>3</v>
      </c>
      <c r="AI602">
        <v>512</v>
      </c>
      <c r="AJ602">
        <v>512</v>
      </c>
      <c r="AK602">
        <v>134</v>
      </c>
      <c r="AL602" t="s">
        <v>81</v>
      </c>
      <c r="AM602">
        <v>2.4</v>
      </c>
      <c r="AN602" t="s">
        <v>1786</v>
      </c>
      <c r="AO602" t="s">
        <v>67</v>
      </c>
      <c r="AP602" t="s">
        <v>1845</v>
      </c>
      <c r="AQ602">
        <v>15</v>
      </c>
      <c r="AR602">
        <v>600</v>
      </c>
      <c r="AS602">
        <v>1200</v>
      </c>
      <c r="AT602">
        <v>4.7</v>
      </c>
      <c r="AU602">
        <v>8.952</v>
      </c>
      <c r="AV602" t="s">
        <v>2265</v>
      </c>
      <c r="AW602" t="s">
        <v>2266</v>
      </c>
      <c r="AX602" t="s">
        <v>2267</v>
      </c>
    </row>
    <row r="603" spans="1:50" x14ac:dyDescent="0.25">
      <c r="A603" t="s">
        <v>2268</v>
      </c>
      <c r="B603" t="s">
        <v>1679</v>
      </c>
      <c r="C603">
        <v>0</v>
      </c>
      <c r="D603">
        <v>0</v>
      </c>
      <c r="E603" t="s">
        <v>2035</v>
      </c>
      <c r="H603">
        <v>0</v>
      </c>
      <c r="N603">
        <v>0</v>
      </c>
      <c r="Q603">
        <v>1</v>
      </c>
      <c r="R603">
        <v>1</v>
      </c>
      <c r="U603" t="s">
        <v>72</v>
      </c>
      <c r="V603">
        <v>43</v>
      </c>
      <c r="W603" t="s">
        <v>1688</v>
      </c>
      <c r="X603" t="s">
        <v>111</v>
      </c>
      <c r="Y603">
        <v>0</v>
      </c>
      <c r="Z603">
        <v>57.606000000000002</v>
      </c>
      <c r="AB603" t="s">
        <v>74</v>
      </c>
      <c r="AD603" t="s">
        <v>57</v>
      </c>
      <c r="AE603">
        <v>0</v>
      </c>
      <c r="AF603">
        <v>6</v>
      </c>
      <c r="AG603">
        <v>1</v>
      </c>
      <c r="AH603">
        <v>3</v>
      </c>
      <c r="AI603">
        <v>512</v>
      </c>
      <c r="AJ603">
        <v>512</v>
      </c>
      <c r="AK603">
        <v>136</v>
      </c>
      <c r="AL603" t="s">
        <v>196</v>
      </c>
      <c r="AM603">
        <v>2.4</v>
      </c>
      <c r="AN603" t="s">
        <v>1786</v>
      </c>
      <c r="AO603" t="s">
        <v>67</v>
      </c>
      <c r="AP603" t="s">
        <v>68</v>
      </c>
      <c r="AQ603">
        <v>15</v>
      </c>
      <c r="AR603">
        <v>315</v>
      </c>
      <c r="AS603">
        <v>630</v>
      </c>
      <c r="AT603">
        <v>4.25</v>
      </c>
      <c r="AU603">
        <v>8.5519999999999996</v>
      </c>
      <c r="AV603" t="s">
        <v>2269</v>
      </c>
      <c r="AW603" t="s">
        <v>2270</v>
      </c>
      <c r="AX603" t="s">
        <v>2271</v>
      </c>
    </row>
    <row r="604" spans="1:50" x14ac:dyDescent="0.25">
      <c r="A604" t="s">
        <v>2272</v>
      </c>
      <c r="B604" t="s">
        <v>1679</v>
      </c>
      <c r="C604">
        <v>0</v>
      </c>
      <c r="D604">
        <v>0</v>
      </c>
      <c r="E604" t="s">
        <v>1703</v>
      </c>
      <c r="H604">
        <v>0</v>
      </c>
      <c r="N604">
        <v>1</v>
      </c>
      <c r="Q604">
        <v>0</v>
      </c>
      <c r="R604">
        <v>0</v>
      </c>
      <c r="U604" t="s">
        <v>1687</v>
      </c>
      <c r="V604">
        <v>59</v>
      </c>
      <c r="W604" t="s">
        <v>79</v>
      </c>
      <c r="X604" t="s">
        <v>80</v>
      </c>
      <c r="Y604">
        <v>0</v>
      </c>
      <c r="Z604">
        <v>81</v>
      </c>
      <c r="AB604" t="s">
        <v>94</v>
      </c>
      <c r="AD604" t="s">
        <v>57</v>
      </c>
      <c r="AE604">
        <v>0</v>
      </c>
      <c r="AF604">
        <v>6</v>
      </c>
      <c r="AG604">
        <v>1</v>
      </c>
      <c r="AH604">
        <v>1.5</v>
      </c>
      <c r="AI604">
        <v>512</v>
      </c>
      <c r="AJ604">
        <v>512</v>
      </c>
      <c r="AK604">
        <v>158</v>
      </c>
      <c r="AL604" t="s">
        <v>1876</v>
      </c>
      <c r="AM604">
        <v>2</v>
      </c>
      <c r="AN604" t="s">
        <v>1877</v>
      </c>
      <c r="AO604" t="s">
        <v>1155</v>
      </c>
      <c r="AP604" t="s">
        <v>1767</v>
      </c>
      <c r="AQ604">
        <v>11</v>
      </c>
      <c r="AR604">
        <v>366</v>
      </c>
      <c r="AS604">
        <v>636</v>
      </c>
      <c r="AT604">
        <v>3.5449999999999999</v>
      </c>
      <c r="AU604">
        <v>7.1877000000000004</v>
      </c>
      <c r="AV604" t="s">
        <v>2273</v>
      </c>
      <c r="AW604" t="s">
        <v>2274</v>
      </c>
      <c r="AX604" t="s">
        <v>2275</v>
      </c>
    </row>
    <row r="605" spans="1:50" x14ac:dyDescent="0.25">
      <c r="A605" t="s">
        <v>2276</v>
      </c>
      <c r="B605" t="s">
        <v>1679</v>
      </c>
      <c r="C605">
        <v>0</v>
      </c>
      <c r="D605">
        <v>0</v>
      </c>
      <c r="E605" t="s">
        <v>1693</v>
      </c>
      <c r="H605">
        <v>0</v>
      </c>
      <c r="N605">
        <v>1</v>
      </c>
      <c r="Q605">
        <v>0</v>
      </c>
      <c r="R605">
        <v>0</v>
      </c>
      <c r="U605" t="s">
        <v>1687</v>
      </c>
      <c r="V605">
        <v>52</v>
      </c>
      <c r="W605" t="s">
        <v>79</v>
      </c>
      <c r="X605" t="s">
        <v>80</v>
      </c>
      <c r="Y605">
        <v>0</v>
      </c>
      <c r="AD605" t="s">
        <v>57</v>
      </c>
      <c r="AE605">
        <v>0</v>
      </c>
      <c r="AF605">
        <v>6</v>
      </c>
      <c r="AG605">
        <v>1</v>
      </c>
      <c r="AH605">
        <v>1.5</v>
      </c>
      <c r="AI605">
        <v>512</v>
      </c>
      <c r="AJ605">
        <v>512</v>
      </c>
      <c r="AK605">
        <v>72</v>
      </c>
      <c r="AL605" t="s">
        <v>119</v>
      </c>
      <c r="AM605">
        <v>2.2000000000000002</v>
      </c>
      <c r="AN605" t="s">
        <v>1072</v>
      </c>
      <c r="AO605" t="s">
        <v>67</v>
      </c>
      <c r="AP605" t="s">
        <v>68</v>
      </c>
      <c r="AQ605">
        <v>15</v>
      </c>
      <c r="AR605">
        <v>253</v>
      </c>
      <c r="AS605">
        <v>507</v>
      </c>
      <c r="AT605">
        <v>4.2359999999999998</v>
      </c>
      <c r="AU605">
        <v>8.6679999999999993</v>
      </c>
      <c r="AV605" t="s">
        <v>2277</v>
      </c>
      <c r="AW605" t="s">
        <v>2278</v>
      </c>
      <c r="AX605" t="s">
        <v>2279</v>
      </c>
    </row>
    <row r="606" spans="1:50" x14ac:dyDescent="0.25">
      <c r="A606" t="s">
        <v>2280</v>
      </c>
      <c r="B606" t="s">
        <v>1679</v>
      </c>
      <c r="C606">
        <v>0</v>
      </c>
      <c r="D606">
        <v>0</v>
      </c>
      <c r="E606" t="s">
        <v>1703</v>
      </c>
      <c r="H606">
        <v>0</v>
      </c>
      <c r="N606">
        <v>0</v>
      </c>
      <c r="Q606">
        <v>0</v>
      </c>
      <c r="R606">
        <v>1</v>
      </c>
      <c r="U606" t="s">
        <v>65</v>
      </c>
      <c r="V606">
        <v>56</v>
      </c>
      <c r="W606" t="s">
        <v>79</v>
      </c>
      <c r="X606" t="s">
        <v>80</v>
      </c>
      <c r="Y606">
        <v>0</v>
      </c>
      <c r="Z606">
        <v>84.367999999999995</v>
      </c>
      <c r="AB606" t="s">
        <v>118</v>
      </c>
      <c r="AD606" t="s">
        <v>57</v>
      </c>
      <c r="AE606">
        <v>0</v>
      </c>
      <c r="AF606">
        <v>6</v>
      </c>
      <c r="AG606">
        <v>1</v>
      </c>
      <c r="AH606">
        <v>3</v>
      </c>
      <c r="AI606">
        <v>512</v>
      </c>
      <c r="AJ606">
        <v>512</v>
      </c>
      <c r="AK606">
        <v>80</v>
      </c>
      <c r="AL606" t="s">
        <v>119</v>
      </c>
      <c r="AM606">
        <v>2</v>
      </c>
      <c r="AN606" t="s">
        <v>1915</v>
      </c>
      <c r="AO606" t="s">
        <v>67</v>
      </c>
      <c r="AP606" t="s">
        <v>68</v>
      </c>
      <c r="AQ606">
        <v>15</v>
      </c>
      <c r="AR606">
        <v>340</v>
      </c>
      <c r="AS606">
        <v>681</v>
      </c>
      <c r="AT606">
        <v>2.1</v>
      </c>
      <c r="AU606">
        <v>4.3490000000000002</v>
      </c>
      <c r="AV606" t="s">
        <v>2281</v>
      </c>
      <c r="AW606" t="s">
        <v>2282</v>
      </c>
      <c r="AX606" t="s">
        <v>2283</v>
      </c>
    </row>
    <row r="607" spans="1:50" x14ac:dyDescent="0.25">
      <c r="A607" t="s">
        <v>2284</v>
      </c>
      <c r="B607" t="s">
        <v>1679</v>
      </c>
      <c r="C607">
        <v>1</v>
      </c>
      <c r="D607">
        <v>1</v>
      </c>
      <c r="E607" t="s">
        <v>1791</v>
      </c>
      <c r="H607">
        <v>0</v>
      </c>
      <c r="N607">
        <v>0</v>
      </c>
      <c r="Q607">
        <v>1</v>
      </c>
      <c r="R607">
        <v>1</v>
      </c>
      <c r="U607" t="s">
        <v>72</v>
      </c>
      <c r="V607">
        <v>50</v>
      </c>
      <c r="W607" t="s">
        <v>79</v>
      </c>
      <c r="X607" t="s">
        <v>80</v>
      </c>
      <c r="Y607">
        <v>0</v>
      </c>
      <c r="Z607">
        <v>81.646636986000004</v>
      </c>
      <c r="AB607" t="s">
        <v>94</v>
      </c>
      <c r="AD607" t="s">
        <v>57</v>
      </c>
      <c r="AE607">
        <v>1</v>
      </c>
      <c r="AF607">
        <v>6</v>
      </c>
      <c r="AG607">
        <v>1</v>
      </c>
      <c r="AH607">
        <v>1.5</v>
      </c>
      <c r="AI607">
        <v>384</v>
      </c>
      <c r="AJ607">
        <v>384</v>
      </c>
      <c r="AK607">
        <v>160</v>
      </c>
      <c r="AL607" t="s">
        <v>1800</v>
      </c>
      <c r="AM607">
        <v>1</v>
      </c>
      <c r="AN607" t="s">
        <v>1741</v>
      </c>
      <c r="AO607" t="s">
        <v>59</v>
      </c>
      <c r="AP607" t="s">
        <v>60</v>
      </c>
      <c r="AQ607">
        <v>11</v>
      </c>
      <c r="AR607">
        <v>68</v>
      </c>
      <c r="AS607">
        <v>178</v>
      </c>
      <c r="AT607">
        <v>2.3199999999999998</v>
      </c>
      <c r="AU607">
        <v>5.15</v>
      </c>
      <c r="AV607" t="s">
        <v>2285</v>
      </c>
      <c r="AW607" t="s">
        <v>2286</v>
      </c>
      <c r="AX607" t="s">
        <v>2287</v>
      </c>
    </row>
    <row r="608" spans="1:50" x14ac:dyDescent="0.25">
      <c r="A608" t="s">
        <v>2288</v>
      </c>
      <c r="B608" t="s">
        <v>1679</v>
      </c>
      <c r="C608">
        <v>0</v>
      </c>
      <c r="D608">
        <v>0</v>
      </c>
      <c r="E608" t="s">
        <v>1740</v>
      </c>
      <c r="H608">
        <v>1</v>
      </c>
      <c r="N608">
        <v>0</v>
      </c>
      <c r="Q608">
        <v>0</v>
      </c>
      <c r="R608">
        <v>1</v>
      </c>
      <c r="U608" t="s">
        <v>65</v>
      </c>
      <c r="V608">
        <v>47</v>
      </c>
      <c r="W608" t="s">
        <v>1726</v>
      </c>
      <c r="X608" t="s">
        <v>111</v>
      </c>
      <c r="Y608">
        <v>0</v>
      </c>
      <c r="Z608">
        <v>57.152999999999999</v>
      </c>
      <c r="AB608" t="s">
        <v>74</v>
      </c>
      <c r="AD608" t="s">
        <v>57</v>
      </c>
      <c r="AE608">
        <v>0</v>
      </c>
      <c r="AF608">
        <v>6</v>
      </c>
      <c r="AG608">
        <v>1</v>
      </c>
      <c r="AH608">
        <v>1.5</v>
      </c>
      <c r="AI608">
        <v>512</v>
      </c>
      <c r="AJ608">
        <v>512</v>
      </c>
      <c r="AK608">
        <v>66</v>
      </c>
      <c r="AL608" t="s">
        <v>196</v>
      </c>
      <c r="AM608">
        <v>2.4</v>
      </c>
      <c r="AN608" t="s">
        <v>1942</v>
      </c>
      <c r="AO608" t="s">
        <v>67</v>
      </c>
      <c r="AP608" t="s">
        <v>68</v>
      </c>
      <c r="AQ608">
        <v>15</v>
      </c>
      <c r="AR608">
        <v>283</v>
      </c>
      <c r="AS608">
        <v>567</v>
      </c>
      <c r="AT608">
        <v>2.984</v>
      </c>
      <c r="AU608">
        <v>6.2039999999999997</v>
      </c>
      <c r="AV608" t="s">
        <v>2289</v>
      </c>
      <c r="AW608" t="s">
        <v>2290</v>
      </c>
      <c r="AX608" t="s">
        <v>2291</v>
      </c>
    </row>
    <row r="609" spans="1:50" x14ac:dyDescent="0.25">
      <c r="A609" t="s">
        <v>2292</v>
      </c>
      <c r="B609" t="s">
        <v>1679</v>
      </c>
      <c r="C609">
        <v>0</v>
      </c>
      <c r="D609">
        <v>0</v>
      </c>
      <c r="E609" t="s">
        <v>1839</v>
      </c>
      <c r="H609">
        <v>0</v>
      </c>
      <c r="N609">
        <v>0</v>
      </c>
      <c r="Q609">
        <v>1</v>
      </c>
      <c r="R609">
        <v>1</v>
      </c>
      <c r="U609" t="s">
        <v>72</v>
      </c>
      <c r="V609">
        <v>37</v>
      </c>
      <c r="W609" t="s">
        <v>1688</v>
      </c>
      <c r="X609" t="s">
        <v>80</v>
      </c>
      <c r="Y609">
        <v>0</v>
      </c>
      <c r="Z609">
        <v>69.400000000000006</v>
      </c>
      <c r="AB609" t="s">
        <v>94</v>
      </c>
      <c r="AD609" t="s">
        <v>57</v>
      </c>
      <c r="AE609">
        <v>0</v>
      </c>
      <c r="AF609">
        <v>6</v>
      </c>
      <c r="AG609">
        <v>1</v>
      </c>
      <c r="AH609">
        <v>1.5</v>
      </c>
      <c r="AI609">
        <v>512</v>
      </c>
      <c r="AJ609">
        <v>512</v>
      </c>
      <c r="AK609">
        <v>80</v>
      </c>
      <c r="AL609" t="s">
        <v>81</v>
      </c>
      <c r="AM609">
        <v>2</v>
      </c>
      <c r="AN609" t="s">
        <v>996</v>
      </c>
      <c r="AO609" t="s">
        <v>67</v>
      </c>
      <c r="AP609" t="s">
        <v>68</v>
      </c>
      <c r="AQ609">
        <v>15</v>
      </c>
      <c r="AR609">
        <v>98</v>
      </c>
      <c r="AS609">
        <v>196</v>
      </c>
      <c r="AT609">
        <v>4.2</v>
      </c>
      <c r="AU609">
        <v>7</v>
      </c>
      <c r="AV609" t="s">
        <v>2293</v>
      </c>
      <c r="AW609" t="s">
        <v>2294</v>
      </c>
      <c r="AX609" t="s">
        <v>2295</v>
      </c>
    </row>
    <row r="610" spans="1:50" x14ac:dyDescent="0.25">
      <c r="A610" t="s">
        <v>2296</v>
      </c>
      <c r="B610" t="s">
        <v>1679</v>
      </c>
      <c r="C610">
        <v>0</v>
      </c>
      <c r="D610">
        <v>1</v>
      </c>
      <c r="E610" t="s">
        <v>1686</v>
      </c>
      <c r="H610">
        <v>0</v>
      </c>
      <c r="N610">
        <v>1</v>
      </c>
      <c r="Q610">
        <v>0</v>
      </c>
      <c r="R610">
        <v>0</v>
      </c>
      <c r="U610" t="s">
        <v>1687</v>
      </c>
      <c r="V610">
        <v>46</v>
      </c>
      <c r="W610" t="s">
        <v>1688</v>
      </c>
      <c r="X610" t="s">
        <v>80</v>
      </c>
      <c r="Y610">
        <v>0</v>
      </c>
      <c r="Z610">
        <v>81</v>
      </c>
      <c r="AB610" t="s">
        <v>94</v>
      </c>
      <c r="AD610" t="s">
        <v>57</v>
      </c>
      <c r="AE610">
        <v>0</v>
      </c>
      <c r="AF610">
        <v>6</v>
      </c>
      <c r="AG610">
        <v>1</v>
      </c>
      <c r="AH610">
        <v>1.5</v>
      </c>
      <c r="AI610">
        <v>512</v>
      </c>
      <c r="AJ610">
        <v>512</v>
      </c>
      <c r="AK610">
        <v>64</v>
      </c>
      <c r="AL610" t="s">
        <v>113</v>
      </c>
      <c r="AM610">
        <v>2.5</v>
      </c>
      <c r="AN610" t="s">
        <v>1705</v>
      </c>
      <c r="AO610" t="s">
        <v>67</v>
      </c>
      <c r="AP610" t="s">
        <v>89</v>
      </c>
      <c r="AQ610">
        <v>15</v>
      </c>
      <c r="AR610">
        <v>356</v>
      </c>
      <c r="AS610">
        <v>712</v>
      </c>
      <c r="AT610">
        <v>2.5840000000000001</v>
      </c>
      <c r="AU610">
        <v>5.9109999999999996</v>
      </c>
      <c r="AV610" t="s">
        <v>2297</v>
      </c>
      <c r="AW610" t="s">
        <v>2298</v>
      </c>
      <c r="AX610" t="s">
        <v>2299</v>
      </c>
    </row>
    <row r="611" spans="1:50" x14ac:dyDescent="0.25">
      <c r="A611" t="s">
        <v>2300</v>
      </c>
      <c r="B611" t="s">
        <v>1679</v>
      </c>
      <c r="C611">
        <v>0</v>
      </c>
      <c r="D611">
        <v>0</v>
      </c>
      <c r="E611" t="s">
        <v>1680</v>
      </c>
      <c r="H611">
        <v>1</v>
      </c>
      <c r="N611">
        <v>0</v>
      </c>
      <c r="Q611">
        <v>0</v>
      </c>
      <c r="R611">
        <v>1</v>
      </c>
      <c r="U611" t="s">
        <v>65</v>
      </c>
      <c r="V611">
        <v>47</v>
      </c>
      <c r="W611" t="s">
        <v>79</v>
      </c>
      <c r="X611" t="s">
        <v>80</v>
      </c>
      <c r="Y611">
        <v>0</v>
      </c>
      <c r="Z611">
        <v>99.79</v>
      </c>
      <c r="AB611" t="s">
        <v>56</v>
      </c>
      <c r="AD611" t="s">
        <v>57</v>
      </c>
      <c r="AE611">
        <v>0</v>
      </c>
      <c r="AF611">
        <v>6</v>
      </c>
      <c r="AG611">
        <v>1</v>
      </c>
      <c r="AH611">
        <v>3</v>
      </c>
      <c r="AI611">
        <v>512</v>
      </c>
      <c r="AJ611">
        <v>512</v>
      </c>
      <c r="AK611">
        <v>80</v>
      </c>
      <c r="AL611" t="s">
        <v>196</v>
      </c>
      <c r="AM611">
        <v>2</v>
      </c>
      <c r="AN611" t="s">
        <v>1915</v>
      </c>
      <c r="AO611" t="s">
        <v>67</v>
      </c>
      <c r="AP611" t="s">
        <v>68</v>
      </c>
      <c r="AQ611">
        <v>15</v>
      </c>
      <c r="AR611">
        <v>160</v>
      </c>
      <c r="AS611">
        <v>321</v>
      </c>
      <c r="AT611">
        <v>2.1440000000000001</v>
      </c>
      <c r="AU611">
        <v>5.08</v>
      </c>
      <c r="AV611" t="s">
        <v>2301</v>
      </c>
      <c r="AW611" t="s">
        <v>2302</v>
      </c>
      <c r="AX611" t="s">
        <v>2303</v>
      </c>
    </row>
    <row r="612" spans="1:50" x14ac:dyDescent="0.25">
      <c r="A612" t="s">
        <v>2304</v>
      </c>
      <c r="B612" t="s">
        <v>1679</v>
      </c>
      <c r="C612">
        <v>0</v>
      </c>
      <c r="D612">
        <v>0</v>
      </c>
      <c r="E612" t="s">
        <v>1725</v>
      </c>
      <c r="H612">
        <v>0</v>
      </c>
      <c r="N612">
        <v>1</v>
      </c>
      <c r="Q612">
        <v>0</v>
      </c>
      <c r="R612">
        <v>0</v>
      </c>
      <c r="U612" t="s">
        <v>1687</v>
      </c>
      <c r="V612">
        <v>53</v>
      </c>
      <c r="X612" t="s">
        <v>55</v>
      </c>
      <c r="Y612">
        <v>0</v>
      </c>
      <c r="Z612">
        <v>95</v>
      </c>
      <c r="AB612" t="s">
        <v>118</v>
      </c>
      <c r="AD612" t="s">
        <v>57</v>
      </c>
      <c r="AE612">
        <v>0</v>
      </c>
      <c r="AF612">
        <v>6</v>
      </c>
      <c r="AG612">
        <v>1</v>
      </c>
      <c r="AH612">
        <v>1.5</v>
      </c>
      <c r="AI612">
        <v>640</v>
      </c>
      <c r="AJ612">
        <v>640</v>
      </c>
      <c r="AK612">
        <v>134</v>
      </c>
      <c r="AL612" t="s">
        <v>2305</v>
      </c>
      <c r="AM612">
        <v>2.4</v>
      </c>
      <c r="AN612" t="s">
        <v>1877</v>
      </c>
      <c r="AO612" t="s">
        <v>1155</v>
      </c>
      <c r="AP612" t="s">
        <v>2306</v>
      </c>
      <c r="AQ612">
        <v>11</v>
      </c>
      <c r="AR612">
        <v>117</v>
      </c>
      <c r="AS612">
        <v>203</v>
      </c>
      <c r="AT612">
        <v>3.593</v>
      </c>
      <c r="AU612">
        <v>7.2889999999999997</v>
      </c>
      <c r="AV612" t="s">
        <v>2307</v>
      </c>
      <c r="AW612" t="s">
        <v>2227</v>
      </c>
      <c r="AX612" t="s">
        <v>2308</v>
      </c>
    </row>
    <row r="613" spans="1:50" x14ac:dyDescent="0.25">
      <c r="A613" t="s">
        <v>2309</v>
      </c>
      <c r="B613" t="s">
        <v>1679</v>
      </c>
      <c r="C613">
        <v>0</v>
      </c>
      <c r="D613">
        <v>1</v>
      </c>
      <c r="E613" t="s">
        <v>1725</v>
      </c>
      <c r="H613">
        <v>0</v>
      </c>
      <c r="N613">
        <v>1</v>
      </c>
      <c r="Q613">
        <v>0</v>
      </c>
      <c r="R613">
        <v>0</v>
      </c>
      <c r="U613" t="s">
        <v>1687</v>
      </c>
      <c r="V613">
        <v>56</v>
      </c>
      <c r="W613" t="s">
        <v>79</v>
      </c>
      <c r="X613" t="s">
        <v>80</v>
      </c>
      <c r="Y613">
        <v>0</v>
      </c>
      <c r="Z613">
        <v>71</v>
      </c>
      <c r="AA613">
        <v>1.73</v>
      </c>
      <c r="AB613" t="s">
        <v>74</v>
      </c>
      <c r="AD613" t="s">
        <v>57</v>
      </c>
      <c r="AE613">
        <v>0</v>
      </c>
      <c r="AF613">
        <v>6</v>
      </c>
      <c r="AG613">
        <v>1</v>
      </c>
      <c r="AH613">
        <v>3</v>
      </c>
      <c r="AI613">
        <v>416</v>
      </c>
      <c r="AJ613">
        <v>416</v>
      </c>
      <c r="AK613">
        <v>64</v>
      </c>
      <c r="AL613" t="s">
        <v>1933</v>
      </c>
      <c r="AM613">
        <v>2.5</v>
      </c>
      <c r="AN613" t="s">
        <v>1114</v>
      </c>
      <c r="AO613" t="s">
        <v>59</v>
      </c>
      <c r="AP613" t="s">
        <v>1781</v>
      </c>
      <c r="AQ613">
        <v>11</v>
      </c>
      <c r="AR613">
        <v>127</v>
      </c>
      <c r="AS613">
        <v>304</v>
      </c>
      <c r="AT613">
        <v>1.51</v>
      </c>
      <c r="AU613">
        <v>4.74</v>
      </c>
      <c r="AV613" t="s">
        <v>2310</v>
      </c>
      <c r="AW613" t="s">
        <v>1827</v>
      </c>
      <c r="AX613" t="s">
        <v>2311</v>
      </c>
    </row>
    <row r="614" spans="1:50" x14ac:dyDescent="0.25">
      <c r="A614" t="s">
        <v>2312</v>
      </c>
      <c r="B614" t="s">
        <v>1679</v>
      </c>
      <c r="C614">
        <v>0</v>
      </c>
      <c r="D614">
        <v>1</v>
      </c>
      <c r="E614" t="s">
        <v>1740</v>
      </c>
      <c r="H614">
        <v>0</v>
      </c>
      <c r="N614">
        <v>1</v>
      </c>
      <c r="Q614">
        <v>0</v>
      </c>
      <c r="R614">
        <v>0</v>
      </c>
      <c r="U614" t="s">
        <v>1687</v>
      </c>
      <c r="V614">
        <v>57</v>
      </c>
      <c r="W614" t="s">
        <v>79</v>
      </c>
      <c r="X614" t="s">
        <v>80</v>
      </c>
      <c r="Y614">
        <v>0</v>
      </c>
      <c r="AD614" t="s">
        <v>57</v>
      </c>
      <c r="AE614">
        <v>0</v>
      </c>
      <c r="AF614">
        <v>6</v>
      </c>
      <c r="AG614">
        <v>1</v>
      </c>
      <c r="AH614">
        <v>1.5</v>
      </c>
      <c r="AI614">
        <v>512</v>
      </c>
      <c r="AJ614">
        <v>512</v>
      </c>
      <c r="AK614">
        <v>80</v>
      </c>
      <c r="AL614" t="s">
        <v>81</v>
      </c>
      <c r="AM614">
        <v>2</v>
      </c>
      <c r="AN614" t="s">
        <v>1681</v>
      </c>
      <c r="AO614" t="s">
        <v>67</v>
      </c>
      <c r="AP614" t="s">
        <v>68</v>
      </c>
      <c r="AQ614">
        <v>15</v>
      </c>
      <c r="AR614">
        <v>324</v>
      </c>
      <c r="AS614">
        <v>648</v>
      </c>
      <c r="AT614">
        <v>2.6040000000000001</v>
      </c>
      <c r="AU614">
        <v>5.6239999999999997</v>
      </c>
      <c r="AV614" t="s">
        <v>2313</v>
      </c>
      <c r="AW614" t="s">
        <v>2314</v>
      </c>
      <c r="AX614" t="s">
        <v>2315</v>
      </c>
    </row>
    <row r="615" spans="1:50" x14ac:dyDescent="0.25">
      <c r="A615" t="s">
        <v>2316</v>
      </c>
      <c r="B615" t="s">
        <v>1679</v>
      </c>
      <c r="C615">
        <v>0</v>
      </c>
      <c r="D615">
        <v>0</v>
      </c>
      <c r="E615" t="s">
        <v>1740</v>
      </c>
      <c r="H615">
        <v>0</v>
      </c>
      <c r="N615">
        <v>0</v>
      </c>
      <c r="Q615">
        <v>0</v>
      </c>
      <c r="R615">
        <v>0</v>
      </c>
      <c r="U615" t="s">
        <v>65</v>
      </c>
      <c r="V615">
        <v>70</v>
      </c>
      <c r="W615" t="s">
        <v>79</v>
      </c>
      <c r="X615" t="s">
        <v>80</v>
      </c>
      <c r="Y615">
        <v>0</v>
      </c>
      <c r="Z615">
        <v>63.503</v>
      </c>
      <c r="AB615" t="s">
        <v>74</v>
      </c>
      <c r="AD615" t="s">
        <v>57</v>
      </c>
      <c r="AE615">
        <v>0</v>
      </c>
      <c r="AF615">
        <v>6</v>
      </c>
      <c r="AG615">
        <v>1</v>
      </c>
      <c r="AH615">
        <v>1.5</v>
      </c>
      <c r="AI615">
        <v>512</v>
      </c>
      <c r="AJ615">
        <v>512</v>
      </c>
      <c r="AK615">
        <v>80</v>
      </c>
      <c r="AL615" t="s">
        <v>113</v>
      </c>
      <c r="AM615">
        <v>2</v>
      </c>
      <c r="AN615" t="s">
        <v>996</v>
      </c>
      <c r="AO615" t="s">
        <v>67</v>
      </c>
      <c r="AP615" t="s">
        <v>68</v>
      </c>
      <c r="AQ615">
        <v>15</v>
      </c>
      <c r="AR615">
        <v>321</v>
      </c>
      <c r="AS615">
        <v>642</v>
      </c>
      <c r="AT615">
        <v>4.2</v>
      </c>
      <c r="AU615">
        <v>7</v>
      </c>
      <c r="AV615" t="s">
        <v>2317</v>
      </c>
      <c r="AW615" t="s">
        <v>2318</v>
      </c>
      <c r="AX615" t="s">
        <v>2319</v>
      </c>
    </row>
    <row r="616" spans="1:50" x14ac:dyDescent="0.25">
      <c r="A616" t="s">
        <v>2320</v>
      </c>
      <c r="B616" t="s">
        <v>1679</v>
      </c>
      <c r="C616">
        <v>0</v>
      </c>
      <c r="D616">
        <v>1</v>
      </c>
      <c r="E616" t="s">
        <v>2035</v>
      </c>
      <c r="H616">
        <v>0</v>
      </c>
      <c r="N616">
        <v>1</v>
      </c>
      <c r="Q616">
        <v>1</v>
      </c>
      <c r="R616">
        <v>1</v>
      </c>
      <c r="U616" t="s">
        <v>1735</v>
      </c>
      <c r="V616">
        <v>40</v>
      </c>
      <c r="W616" t="s">
        <v>1688</v>
      </c>
      <c r="X616" t="s">
        <v>55</v>
      </c>
      <c r="Y616">
        <v>0</v>
      </c>
      <c r="Z616">
        <v>76.656999999999996</v>
      </c>
      <c r="AB616" t="s">
        <v>94</v>
      </c>
      <c r="AD616" t="s">
        <v>57</v>
      </c>
      <c r="AE616">
        <v>0</v>
      </c>
      <c r="AF616">
        <v>6</v>
      </c>
      <c r="AG616">
        <v>1</v>
      </c>
      <c r="AH616">
        <v>3</v>
      </c>
      <c r="AI616">
        <v>512</v>
      </c>
      <c r="AJ616">
        <v>512</v>
      </c>
      <c r="AK616">
        <v>80</v>
      </c>
      <c r="AL616" t="s">
        <v>66</v>
      </c>
      <c r="AM616">
        <v>2</v>
      </c>
      <c r="AN616" t="s">
        <v>1915</v>
      </c>
      <c r="AO616" t="s">
        <v>67</v>
      </c>
      <c r="AP616" t="s">
        <v>68</v>
      </c>
      <c r="AQ616">
        <v>15</v>
      </c>
      <c r="AR616">
        <v>525</v>
      </c>
      <c r="AS616">
        <v>1051</v>
      </c>
      <c r="AT616">
        <v>2.1800000000000002</v>
      </c>
      <c r="AU616">
        <v>5.4459999999999997</v>
      </c>
      <c r="AV616" t="s">
        <v>2321</v>
      </c>
      <c r="AW616" t="s">
        <v>2322</v>
      </c>
      <c r="AX616" t="s">
        <v>2323</v>
      </c>
    </row>
    <row r="617" spans="1:50" x14ac:dyDescent="0.25">
      <c r="A617" t="s">
        <v>2324</v>
      </c>
      <c r="B617" t="s">
        <v>1679</v>
      </c>
      <c r="C617">
        <v>0</v>
      </c>
      <c r="D617">
        <v>1</v>
      </c>
      <c r="E617" t="s">
        <v>1740</v>
      </c>
      <c r="H617">
        <v>0</v>
      </c>
      <c r="N617">
        <v>1</v>
      </c>
      <c r="Q617">
        <v>1</v>
      </c>
      <c r="R617">
        <v>0</v>
      </c>
      <c r="U617" t="s">
        <v>1735</v>
      </c>
      <c r="V617">
        <v>53</v>
      </c>
      <c r="W617" t="s">
        <v>1704</v>
      </c>
      <c r="X617" t="s">
        <v>80</v>
      </c>
      <c r="Y617">
        <v>0</v>
      </c>
      <c r="AD617" t="s">
        <v>57</v>
      </c>
      <c r="AE617">
        <v>0</v>
      </c>
      <c r="AF617">
        <v>6</v>
      </c>
      <c r="AG617">
        <v>1</v>
      </c>
      <c r="AH617">
        <v>3</v>
      </c>
      <c r="AI617">
        <v>512</v>
      </c>
      <c r="AJ617">
        <v>512</v>
      </c>
      <c r="AK617">
        <v>134</v>
      </c>
      <c r="AL617" t="s">
        <v>119</v>
      </c>
      <c r="AM617">
        <v>2.4</v>
      </c>
      <c r="AN617" t="s">
        <v>1786</v>
      </c>
      <c r="AO617" t="s">
        <v>67</v>
      </c>
      <c r="AP617" t="s">
        <v>68</v>
      </c>
      <c r="AQ617">
        <v>15</v>
      </c>
      <c r="AR617">
        <v>280</v>
      </c>
      <c r="AS617">
        <v>561</v>
      </c>
      <c r="AT617">
        <v>2.8079999999999998</v>
      </c>
      <c r="AU617">
        <v>7.32</v>
      </c>
      <c r="AV617" t="s">
        <v>2325</v>
      </c>
      <c r="AW617" t="s">
        <v>2326</v>
      </c>
      <c r="AX617" t="s">
        <v>2327</v>
      </c>
    </row>
    <row r="618" spans="1:50" x14ac:dyDescent="0.25">
      <c r="A618" t="s">
        <v>2328</v>
      </c>
      <c r="B618" t="s">
        <v>1679</v>
      </c>
      <c r="C618">
        <v>0</v>
      </c>
      <c r="D618">
        <v>1</v>
      </c>
      <c r="E618" t="s">
        <v>1740</v>
      </c>
      <c r="H618">
        <v>1</v>
      </c>
      <c r="N618">
        <v>1</v>
      </c>
      <c r="Q618">
        <v>1</v>
      </c>
      <c r="R618">
        <v>0</v>
      </c>
      <c r="U618" t="s">
        <v>1735</v>
      </c>
      <c r="V618">
        <v>49</v>
      </c>
      <c r="X618" t="s">
        <v>80</v>
      </c>
      <c r="Y618">
        <v>0</v>
      </c>
      <c r="Z618">
        <v>72.575000000000003</v>
      </c>
      <c r="AB618" t="s">
        <v>94</v>
      </c>
      <c r="AD618" t="s">
        <v>57</v>
      </c>
      <c r="AE618">
        <v>0</v>
      </c>
      <c r="AF618">
        <v>6</v>
      </c>
      <c r="AG618">
        <v>1</v>
      </c>
      <c r="AH618">
        <v>1.5</v>
      </c>
      <c r="AI618">
        <v>512</v>
      </c>
      <c r="AJ618">
        <v>512</v>
      </c>
      <c r="AK618">
        <v>66</v>
      </c>
      <c r="AL618" t="s">
        <v>81</v>
      </c>
      <c r="AM618">
        <v>2.4</v>
      </c>
      <c r="AN618" t="s">
        <v>1902</v>
      </c>
      <c r="AO618" t="s">
        <v>67</v>
      </c>
      <c r="AP618" t="s">
        <v>68</v>
      </c>
      <c r="AQ618">
        <v>15</v>
      </c>
      <c r="AR618">
        <v>397</v>
      </c>
      <c r="AS618">
        <v>795</v>
      </c>
      <c r="AT618">
        <v>4.0960000000000001</v>
      </c>
      <c r="AU618">
        <v>8.3960000000000008</v>
      </c>
      <c r="AW618" t="s">
        <v>2329</v>
      </c>
      <c r="AX618" t="s">
        <v>2330</v>
      </c>
    </row>
    <row r="619" spans="1:50" x14ac:dyDescent="0.25">
      <c r="A619" t="s">
        <v>2331</v>
      </c>
      <c r="B619" t="s">
        <v>1679</v>
      </c>
      <c r="C619">
        <v>0</v>
      </c>
      <c r="D619">
        <v>0</v>
      </c>
      <c r="E619" t="s">
        <v>1725</v>
      </c>
      <c r="H619">
        <v>0</v>
      </c>
      <c r="N619">
        <v>0</v>
      </c>
      <c r="Q619">
        <v>0</v>
      </c>
      <c r="R619">
        <v>0</v>
      </c>
      <c r="U619" t="s">
        <v>65</v>
      </c>
      <c r="V619">
        <v>56</v>
      </c>
      <c r="X619" t="s">
        <v>80</v>
      </c>
      <c r="Y619">
        <v>0</v>
      </c>
      <c r="Z619">
        <v>52</v>
      </c>
      <c r="AB619" t="s">
        <v>74</v>
      </c>
      <c r="AD619" t="s">
        <v>57</v>
      </c>
      <c r="AE619">
        <v>0</v>
      </c>
      <c r="AF619">
        <v>6</v>
      </c>
      <c r="AG619">
        <v>1</v>
      </c>
      <c r="AH619">
        <v>1.5</v>
      </c>
      <c r="AI619">
        <v>512</v>
      </c>
      <c r="AJ619">
        <v>512</v>
      </c>
      <c r="AK619">
        <v>160</v>
      </c>
      <c r="AL619" t="s">
        <v>1010</v>
      </c>
      <c r="AM619">
        <v>2</v>
      </c>
      <c r="AN619" t="s">
        <v>1154</v>
      </c>
      <c r="AO619" t="s">
        <v>1155</v>
      </c>
      <c r="AP619" t="s">
        <v>1305</v>
      </c>
      <c r="AQ619">
        <v>11</v>
      </c>
      <c r="AR619">
        <v>776</v>
      </c>
      <c r="AS619">
        <v>1350</v>
      </c>
      <c r="AT619">
        <v>2.8140000000000001</v>
      </c>
      <c r="AU619">
        <v>5.4090999999999996</v>
      </c>
      <c r="AV619" t="s">
        <v>2332</v>
      </c>
      <c r="AW619" t="s">
        <v>2333</v>
      </c>
      <c r="AX619" t="s">
        <v>2334</v>
      </c>
    </row>
    <row r="620" spans="1:50" x14ac:dyDescent="0.25">
      <c r="A620" t="s">
        <v>2335</v>
      </c>
      <c r="B620" t="s">
        <v>1679</v>
      </c>
      <c r="C620">
        <v>0</v>
      </c>
      <c r="D620">
        <v>0</v>
      </c>
      <c r="E620" t="s">
        <v>1740</v>
      </c>
      <c r="H620">
        <v>0</v>
      </c>
      <c r="N620">
        <v>0</v>
      </c>
      <c r="Q620">
        <v>1</v>
      </c>
      <c r="R620">
        <v>0</v>
      </c>
      <c r="U620" t="s">
        <v>72</v>
      </c>
      <c r="V620">
        <v>66</v>
      </c>
      <c r="W620" t="s">
        <v>79</v>
      </c>
      <c r="X620" t="s">
        <v>80</v>
      </c>
      <c r="Y620">
        <v>0</v>
      </c>
      <c r="Z620">
        <v>65.771000000000001</v>
      </c>
      <c r="AB620" t="s">
        <v>74</v>
      </c>
      <c r="AD620" t="s">
        <v>57</v>
      </c>
      <c r="AE620">
        <v>0</v>
      </c>
      <c r="AF620">
        <v>6</v>
      </c>
      <c r="AG620">
        <v>1</v>
      </c>
      <c r="AH620">
        <v>1.5</v>
      </c>
      <c r="AI620">
        <v>512</v>
      </c>
      <c r="AJ620">
        <v>512</v>
      </c>
      <c r="AK620">
        <v>80</v>
      </c>
      <c r="AL620" t="s">
        <v>113</v>
      </c>
      <c r="AM620">
        <v>2</v>
      </c>
      <c r="AN620" t="s">
        <v>996</v>
      </c>
      <c r="AO620" t="s">
        <v>67</v>
      </c>
      <c r="AP620" t="s">
        <v>68</v>
      </c>
      <c r="AQ620">
        <v>15</v>
      </c>
      <c r="AR620">
        <v>104</v>
      </c>
      <c r="AS620">
        <v>208</v>
      </c>
      <c r="AT620">
        <v>4.2</v>
      </c>
      <c r="AU620">
        <v>6.9960000000000004</v>
      </c>
      <c r="AV620" t="s">
        <v>2336</v>
      </c>
      <c r="AW620" t="s">
        <v>2337</v>
      </c>
      <c r="AX620" t="s">
        <v>2338</v>
      </c>
    </row>
    <row r="621" spans="1:50" x14ac:dyDescent="0.25">
      <c r="A621" t="s">
        <v>2339</v>
      </c>
      <c r="B621" t="s">
        <v>1679</v>
      </c>
      <c r="C621">
        <v>0</v>
      </c>
      <c r="D621">
        <v>1</v>
      </c>
      <c r="E621" t="s">
        <v>1703</v>
      </c>
      <c r="H621">
        <v>0</v>
      </c>
      <c r="N621">
        <v>1</v>
      </c>
      <c r="Q621">
        <v>0</v>
      </c>
      <c r="R621">
        <v>0</v>
      </c>
      <c r="U621" t="s">
        <v>1687</v>
      </c>
      <c r="V621">
        <v>54</v>
      </c>
      <c r="W621" t="s">
        <v>79</v>
      </c>
      <c r="X621" t="s">
        <v>80</v>
      </c>
      <c r="Y621">
        <v>1</v>
      </c>
      <c r="Z621">
        <v>90.71</v>
      </c>
      <c r="AA621">
        <v>1.63</v>
      </c>
      <c r="AB621" t="s">
        <v>118</v>
      </c>
      <c r="AD621" t="s">
        <v>57</v>
      </c>
      <c r="AE621">
        <v>0</v>
      </c>
      <c r="AF621">
        <v>6</v>
      </c>
      <c r="AG621">
        <v>1</v>
      </c>
      <c r="AH621">
        <v>3</v>
      </c>
      <c r="AI621">
        <v>384</v>
      </c>
      <c r="AJ621">
        <v>384</v>
      </c>
      <c r="AK621">
        <v>64</v>
      </c>
      <c r="AL621" t="s">
        <v>1394</v>
      </c>
      <c r="AM621">
        <v>2.5</v>
      </c>
      <c r="AN621" t="s">
        <v>1114</v>
      </c>
      <c r="AO621" t="s">
        <v>59</v>
      </c>
      <c r="AP621" t="s">
        <v>1781</v>
      </c>
      <c r="AQ621">
        <v>11</v>
      </c>
      <c r="AR621">
        <v>96</v>
      </c>
      <c r="AS621">
        <v>222</v>
      </c>
      <c r="AT621">
        <v>1.37</v>
      </c>
      <c r="AU621">
        <v>4.32</v>
      </c>
      <c r="AV621" t="s">
        <v>2340</v>
      </c>
      <c r="AW621" t="s">
        <v>2341</v>
      </c>
      <c r="AX621" t="s">
        <v>2342</v>
      </c>
    </row>
    <row r="622" spans="1:50" x14ac:dyDescent="0.25">
      <c r="A622" t="s">
        <v>2343</v>
      </c>
      <c r="B622" t="s">
        <v>1679</v>
      </c>
      <c r="C622">
        <v>0</v>
      </c>
      <c r="D622">
        <v>1</v>
      </c>
      <c r="E622" t="s">
        <v>1680</v>
      </c>
      <c r="H622">
        <v>0</v>
      </c>
      <c r="N622">
        <v>1</v>
      </c>
      <c r="Q622">
        <v>0</v>
      </c>
      <c r="R622">
        <v>0</v>
      </c>
      <c r="U622" t="s">
        <v>1687</v>
      </c>
      <c r="V622">
        <v>39</v>
      </c>
      <c r="W622" t="s">
        <v>1688</v>
      </c>
      <c r="X622" t="s">
        <v>80</v>
      </c>
      <c r="Y622">
        <v>0</v>
      </c>
      <c r="AD622" t="s">
        <v>57</v>
      </c>
      <c r="AE622">
        <v>0</v>
      </c>
      <c r="AF622">
        <v>6</v>
      </c>
      <c r="AG622">
        <v>1</v>
      </c>
      <c r="AH622">
        <v>1.5</v>
      </c>
      <c r="AI622">
        <v>512</v>
      </c>
      <c r="AJ622">
        <v>512</v>
      </c>
      <c r="AK622">
        <v>90</v>
      </c>
      <c r="AL622" t="s">
        <v>119</v>
      </c>
      <c r="AM622">
        <v>2</v>
      </c>
      <c r="AN622" t="s">
        <v>1681</v>
      </c>
      <c r="AO622" t="s">
        <v>67</v>
      </c>
      <c r="AP622" t="s">
        <v>68</v>
      </c>
      <c r="AQ622">
        <v>15</v>
      </c>
      <c r="AR622">
        <v>248</v>
      </c>
      <c r="AS622">
        <v>497</v>
      </c>
      <c r="AT622">
        <v>2.56</v>
      </c>
      <c r="AU622">
        <v>5.266</v>
      </c>
      <c r="AV622" t="s">
        <v>2344</v>
      </c>
      <c r="AW622" t="s">
        <v>2345</v>
      </c>
      <c r="AX622" t="s">
        <v>2346</v>
      </c>
    </row>
    <row r="623" spans="1:50" x14ac:dyDescent="0.25">
      <c r="A623" t="s">
        <v>2347</v>
      </c>
      <c r="B623" t="s">
        <v>1679</v>
      </c>
      <c r="C623">
        <v>1</v>
      </c>
      <c r="D623">
        <v>1</v>
      </c>
      <c r="E623" t="s">
        <v>1780</v>
      </c>
      <c r="H623">
        <v>0</v>
      </c>
      <c r="N623">
        <v>1</v>
      </c>
      <c r="Q623">
        <v>0</v>
      </c>
      <c r="R623">
        <v>0</v>
      </c>
      <c r="U623" t="s">
        <v>1687</v>
      </c>
      <c r="V623">
        <v>60</v>
      </c>
      <c r="W623" t="s">
        <v>79</v>
      </c>
      <c r="X623" t="s">
        <v>80</v>
      </c>
      <c r="Y623">
        <v>0</v>
      </c>
      <c r="Z623">
        <v>72.574788432000005</v>
      </c>
      <c r="AB623" t="s">
        <v>94</v>
      </c>
      <c r="AD623" t="s">
        <v>57</v>
      </c>
      <c r="AE623">
        <v>1</v>
      </c>
      <c r="AF623">
        <v>6</v>
      </c>
      <c r="AG623">
        <v>1</v>
      </c>
      <c r="AH623">
        <v>1.5</v>
      </c>
      <c r="AI623">
        <v>384</v>
      </c>
      <c r="AJ623">
        <v>384</v>
      </c>
      <c r="AK623">
        <v>160</v>
      </c>
      <c r="AL623" t="s">
        <v>1800</v>
      </c>
      <c r="AM623">
        <v>1</v>
      </c>
      <c r="AN623" t="s">
        <v>1741</v>
      </c>
      <c r="AO623" t="s">
        <v>59</v>
      </c>
      <c r="AP623" t="s">
        <v>60</v>
      </c>
      <c r="AQ623">
        <v>11</v>
      </c>
      <c r="AR623">
        <v>89</v>
      </c>
      <c r="AS623">
        <v>242</v>
      </c>
      <c r="AT623">
        <v>2.3199999999999998</v>
      </c>
      <c r="AU623">
        <v>5.15</v>
      </c>
      <c r="AV623" t="s">
        <v>2348</v>
      </c>
      <c r="AW623" t="s">
        <v>2349</v>
      </c>
      <c r="AX623" t="s">
        <v>2350</v>
      </c>
    </row>
    <row r="624" spans="1:50" x14ac:dyDescent="0.25">
      <c r="A624" t="s">
        <v>2351</v>
      </c>
      <c r="B624" t="s">
        <v>1679</v>
      </c>
      <c r="C624">
        <v>0</v>
      </c>
      <c r="D624">
        <v>0</v>
      </c>
      <c r="E624" t="s">
        <v>1698</v>
      </c>
      <c r="H624">
        <v>1</v>
      </c>
      <c r="N624">
        <v>0</v>
      </c>
      <c r="Q624">
        <v>0</v>
      </c>
      <c r="R624">
        <v>1</v>
      </c>
      <c r="U624" t="s">
        <v>65</v>
      </c>
      <c r="V624">
        <v>53</v>
      </c>
      <c r="W624" t="s">
        <v>79</v>
      </c>
      <c r="X624" t="s">
        <v>80</v>
      </c>
      <c r="Y624">
        <v>0</v>
      </c>
      <c r="Z624">
        <v>95.254000000000005</v>
      </c>
      <c r="AB624" t="s">
        <v>118</v>
      </c>
      <c r="AD624" t="s">
        <v>57</v>
      </c>
      <c r="AE624">
        <v>0</v>
      </c>
      <c r="AF624">
        <v>6</v>
      </c>
      <c r="AG624">
        <v>1</v>
      </c>
      <c r="AH624">
        <v>1.5</v>
      </c>
      <c r="AI624">
        <v>512</v>
      </c>
      <c r="AJ624">
        <v>512</v>
      </c>
      <c r="AK624">
        <v>80</v>
      </c>
      <c r="AL624" t="s">
        <v>153</v>
      </c>
      <c r="AM624">
        <v>2</v>
      </c>
      <c r="AN624" t="s">
        <v>1681</v>
      </c>
      <c r="AO624" t="s">
        <v>67</v>
      </c>
      <c r="AP624" t="s">
        <v>68</v>
      </c>
      <c r="AQ624">
        <v>15</v>
      </c>
      <c r="AR624">
        <v>220</v>
      </c>
      <c r="AS624">
        <v>441</v>
      </c>
      <c r="AT624">
        <v>2.62</v>
      </c>
      <c r="AU624">
        <v>5.8360000000000003</v>
      </c>
      <c r="AV624" t="s">
        <v>2352</v>
      </c>
      <c r="AW624" t="s">
        <v>2353</v>
      </c>
      <c r="AX624" t="s">
        <v>2354</v>
      </c>
    </row>
    <row r="625" spans="1:50" x14ac:dyDescent="0.25">
      <c r="A625" t="s">
        <v>2355</v>
      </c>
      <c r="B625" t="s">
        <v>1679</v>
      </c>
      <c r="C625">
        <v>0</v>
      </c>
      <c r="D625">
        <v>1</v>
      </c>
      <c r="E625" t="s">
        <v>1703</v>
      </c>
      <c r="H625">
        <v>0</v>
      </c>
      <c r="N625">
        <v>0</v>
      </c>
      <c r="Q625">
        <v>0</v>
      </c>
      <c r="R625">
        <v>1</v>
      </c>
      <c r="U625" t="s">
        <v>65</v>
      </c>
      <c r="V625">
        <v>42</v>
      </c>
      <c r="W625" t="s">
        <v>1688</v>
      </c>
      <c r="X625" t="s">
        <v>80</v>
      </c>
      <c r="Y625">
        <v>0</v>
      </c>
      <c r="Z625">
        <v>56.698999999999998</v>
      </c>
      <c r="AB625" t="s">
        <v>74</v>
      </c>
      <c r="AD625" t="s">
        <v>57</v>
      </c>
      <c r="AE625">
        <v>0</v>
      </c>
      <c r="AF625">
        <v>6</v>
      </c>
      <c r="AG625">
        <v>1</v>
      </c>
      <c r="AH625">
        <v>1.5</v>
      </c>
      <c r="AI625">
        <v>512</v>
      </c>
      <c r="AJ625">
        <v>512</v>
      </c>
      <c r="AK625">
        <v>80</v>
      </c>
      <c r="AL625" t="s">
        <v>153</v>
      </c>
      <c r="AM625">
        <v>2</v>
      </c>
      <c r="AN625" t="s">
        <v>996</v>
      </c>
      <c r="AO625" t="s">
        <v>67</v>
      </c>
      <c r="AP625" t="s">
        <v>68</v>
      </c>
      <c r="AQ625">
        <v>15</v>
      </c>
      <c r="AR625">
        <v>98</v>
      </c>
      <c r="AS625">
        <v>196</v>
      </c>
      <c r="AT625">
        <v>4.2</v>
      </c>
      <c r="AU625">
        <v>7</v>
      </c>
      <c r="AV625" t="s">
        <v>2356</v>
      </c>
      <c r="AW625" t="s">
        <v>2357</v>
      </c>
      <c r="AX625" t="s">
        <v>2358</v>
      </c>
    </row>
    <row r="626" spans="1:50" x14ac:dyDescent="0.25">
      <c r="A626" t="s">
        <v>2359</v>
      </c>
      <c r="B626" t="s">
        <v>1679</v>
      </c>
      <c r="C626">
        <v>0</v>
      </c>
      <c r="D626">
        <v>0</v>
      </c>
      <c r="E626" t="s">
        <v>1780</v>
      </c>
      <c r="H626">
        <v>0</v>
      </c>
      <c r="N626">
        <v>0</v>
      </c>
      <c r="Q626">
        <v>0</v>
      </c>
      <c r="R626">
        <v>1</v>
      </c>
      <c r="U626" t="s">
        <v>65</v>
      </c>
      <c r="V626">
        <v>42</v>
      </c>
      <c r="W626" t="s">
        <v>1726</v>
      </c>
      <c r="X626" t="s">
        <v>55</v>
      </c>
      <c r="Y626">
        <v>0</v>
      </c>
      <c r="Z626">
        <v>58.967015601</v>
      </c>
      <c r="AB626" t="s">
        <v>74</v>
      </c>
      <c r="AD626" t="s">
        <v>57</v>
      </c>
      <c r="AE626">
        <v>0</v>
      </c>
      <c r="AF626">
        <v>6</v>
      </c>
      <c r="AG626">
        <v>1</v>
      </c>
      <c r="AH626">
        <v>1.5</v>
      </c>
      <c r="AI626">
        <v>512</v>
      </c>
      <c r="AJ626">
        <v>512</v>
      </c>
      <c r="AK626">
        <v>80</v>
      </c>
      <c r="AL626" t="s">
        <v>1010</v>
      </c>
      <c r="AM626">
        <v>2</v>
      </c>
      <c r="AN626" t="s">
        <v>1011</v>
      </c>
      <c r="AO626" t="s">
        <v>59</v>
      </c>
      <c r="AP626" t="s">
        <v>60</v>
      </c>
      <c r="AQ626">
        <v>11</v>
      </c>
      <c r="AR626">
        <v>52</v>
      </c>
      <c r="AS626">
        <v>141</v>
      </c>
      <c r="AT626">
        <v>1.67</v>
      </c>
      <c r="AU626">
        <v>4.51</v>
      </c>
      <c r="AV626" t="s">
        <v>2360</v>
      </c>
      <c r="AW626" t="s">
        <v>2361</v>
      </c>
      <c r="AX626" t="s">
        <v>2362</v>
      </c>
    </row>
    <row r="627" spans="1:50" x14ac:dyDescent="0.25">
      <c r="A627" t="s">
        <v>2363</v>
      </c>
      <c r="B627" t="s">
        <v>1679</v>
      </c>
      <c r="C627">
        <v>0</v>
      </c>
      <c r="D627">
        <v>0</v>
      </c>
      <c r="E627" t="s">
        <v>1740</v>
      </c>
      <c r="H627">
        <v>1</v>
      </c>
      <c r="N627">
        <v>0</v>
      </c>
      <c r="Q627">
        <v>0</v>
      </c>
      <c r="R627">
        <v>1</v>
      </c>
      <c r="U627" t="s">
        <v>65</v>
      </c>
      <c r="V627">
        <v>33</v>
      </c>
      <c r="W627" t="s">
        <v>1726</v>
      </c>
      <c r="X627" t="s">
        <v>80</v>
      </c>
      <c r="Y627">
        <v>0</v>
      </c>
      <c r="Z627">
        <v>73.63</v>
      </c>
      <c r="AB627" t="s">
        <v>94</v>
      </c>
      <c r="AD627" t="s">
        <v>57</v>
      </c>
      <c r="AE627">
        <v>1</v>
      </c>
      <c r="AF627">
        <v>6</v>
      </c>
      <c r="AG627">
        <v>1</v>
      </c>
      <c r="AH627">
        <v>3</v>
      </c>
      <c r="AI627">
        <v>384</v>
      </c>
      <c r="AJ627">
        <v>384</v>
      </c>
      <c r="AK627">
        <v>72</v>
      </c>
      <c r="AL627" t="s">
        <v>1394</v>
      </c>
      <c r="AM627">
        <v>2.5</v>
      </c>
      <c r="AN627" t="s">
        <v>1114</v>
      </c>
      <c r="AO627" t="s">
        <v>59</v>
      </c>
      <c r="AP627" t="s">
        <v>1781</v>
      </c>
      <c r="AQ627">
        <v>11</v>
      </c>
      <c r="AR627">
        <v>53</v>
      </c>
      <c r="AS627">
        <v>145</v>
      </c>
      <c r="AT627">
        <v>1.37</v>
      </c>
      <c r="AU627">
        <v>4.32</v>
      </c>
      <c r="AV627" t="s">
        <v>2364</v>
      </c>
      <c r="AW627" t="s">
        <v>2365</v>
      </c>
      <c r="AX627" t="s">
        <v>2366</v>
      </c>
    </row>
    <row r="628" spans="1:50" x14ac:dyDescent="0.25">
      <c r="A628" t="s">
        <v>2367</v>
      </c>
      <c r="B628" t="s">
        <v>1679</v>
      </c>
      <c r="C628">
        <v>0</v>
      </c>
      <c r="D628">
        <v>1</v>
      </c>
      <c r="E628" t="s">
        <v>1740</v>
      </c>
      <c r="H628">
        <v>0</v>
      </c>
      <c r="N628">
        <v>1</v>
      </c>
      <c r="Q628">
        <v>1</v>
      </c>
      <c r="R628">
        <v>0</v>
      </c>
      <c r="U628" t="s">
        <v>1735</v>
      </c>
      <c r="V628">
        <v>41</v>
      </c>
      <c r="W628" t="s">
        <v>1726</v>
      </c>
      <c r="X628" t="s">
        <v>80</v>
      </c>
      <c r="Y628">
        <v>0</v>
      </c>
      <c r="AD628" t="s">
        <v>57</v>
      </c>
      <c r="AE628">
        <v>0</v>
      </c>
      <c r="AF628">
        <v>6</v>
      </c>
      <c r="AG628">
        <v>1</v>
      </c>
      <c r="AH628">
        <v>1.5</v>
      </c>
      <c r="AI628">
        <v>512</v>
      </c>
      <c r="AJ628">
        <v>512</v>
      </c>
      <c r="AK628">
        <v>80</v>
      </c>
      <c r="AL628" t="s">
        <v>128</v>
      </c>
      <c r="AM628">
        <v>2</v>
      </c>
      <c r="AN628" t="s">
        <v>1681</v>
      </c>
      <c r="AO628" t="s">
        <v>67</v>
      </c>
      <c r="AP628" t="s">
        <v>68</v>
      </c>
      <c r="AQ628">
        <v>15</v>
      </c>
      <c r="AR628">
        <v>184</v>
      </c>
      <c r="AS628">
        <v>369</v>
      </c>
      <c r="AT628">
        <v>2.58</v>
      </c>
      <c r="AU628">
        <v>5.4509999999999996</v>
      </c>
      <c r="AV628" t="s">
        <v>2368</v>
      </c>
      <c r="AW628" t="s">
        <v>2369</v>
      </c>
      <c r="AX628" t="s">
        <v>2370</v>
      </c>
    </row>
    <row r="629" spans="1:50" x14ac:dyDescent="0.25">
      <c r="A629" t="s">
        <v>2371</v>
      </c>
      <c r="B629" t="s">
        <v>1679</v>
      </c>
      <c r="C629">
        <v>0</v>
      </c>
      <c r="D629">
        <v>0</v>
      </c>
      <c r="E629" t="s">
        <v>1725</v>
      </c>
      <c r="H629">
        <v>0</v>
      </c>
      <c r="N629">
        <v>0</v>
      </c>
      <c r="Q629">
        <v>0</v>
      </c>
      <c r="R629">
        <v>1</v>
      </c>
      <c r="U629" t="s">
        <v>65</v>
      </c>
      <c r="V629">
        <v>37</v>
      </c>
      <c r="W629" t="s">
        <v>1726</v>
      </c>
      <c r="X629" t="s">
        <v>80</v>
      </c>
      <c r="Y629">
        <v>0</v>
      </c>
      <c r="Z629">
        <v>62</v>
      </c>
      <c r="AB629" t="s">
        <v>74</v>
      </c>
      <c r="AD629" t="s">
        <v>57</v>
      </c>
      <c r="AE629">
        <v>0</v>
      </c>
      <c r="AF629">
        <v>6</v>
      </c>
      <c r="AG629">
        <v>1</v>
      </c>
      <c r="AH629">
        <v>3</v>
      </c>
      <c r="AI629">
        <v>512</v>
      </c>
      <c r="AJ629">
        <v>512</v>
      </c>
      <c r="AK629">
        <v>160</v>
      </c>
      <c r="AL629" t="s">
        <v>2372</v>
      </c>
      <c r="AM629">
        <v>2</v>
      </c>
      <c r="AN629" t="s">
        <v>1419</v>
      </c>
      <c r="AO629" t="s">
        <v>1155</v>
      </c>
      <c r="AP629" t="s">
        <v>1767</v>
      </c>
      <c r="AQ629">
        <v>11</v>
      </c>
      <c r="AR629">
        <v>1171</v>
      </c>
      <c r="AS629">
        <v>2036</v>
      </c>
      <c r="AT629">
        <v>1.73</v>
      </c>
      <c r="AU629">
        <v>4</v>
      </c>
      <c r="AV629" t="s">
        <v>2373</v>
      </c>
      <c r="AW629" t="s">
        <v>2374</v>
      </c>
      <c r="AX629" t="s">
        <v>2375</v>
      </c>
    </row>
    <row r="630" spans="1:50" x14ac:dyDescent="0.25">
      <c r="A630" t="s">
        <v>2376</v>
      </c>
      <c r="B630" t="s">
        <v>1679</v>
      </c>
      <c r="C630">
        <v>0</v>
      </c>
      <c r="D630">
        <v>0</v>
      </c>
      <c r="E630" t="s">
        <v>1871</v>
      </c>
      <c r="H630">
        <v>1</v>
      </c>
      <c r="N630">
        <v>1</v>
      </c>
      <c r="Q630">
        <v>1</v>
      </c>
      <c r="R630">
        <v>0</v>
      </c>
      <c r="U630" t="s">
        <v>1735</v>
      </c>
      <c r="V630">
        <v>50</v>
      </c>
      <c r="W630" t="s">
        <v>1704</v>
      </c>
      <c r="X630" t="s">
        <v>80</v>
      </c>
      <c r="Y630">
        <v>0</v>
      </c>
      <c r="Z630">
        <v>78.924999999999997</v>
      </c>
      <c r="AB630" t="s">
        <v>94</v>
      </c>
      <c r="AD630" t="s">
        <v>57</v>
      </c>
      <c r="AE630">
        <v>0</v>
      </c>
      <c r="AF630">
        <v>6</v>
      </c>
      <c r="AG630">
        <v>1</v>
      </c>
      <c r="AH630">
        <v>3</v>
      </c>
      <c r="AI630">
        <v>512</v>
      </c>
      <c r="AJ630">
        <v>512</v>
      </c>
      <c r="AK630">
        <v>80</v>
      </c>
      <c r="AL630" t="s">
        <v>66</v>
      </c>
      <c r="AM630">
        <v>2</v>
      </c>
      <c r="AN630" t="s">
        <v>1915</v>
      </c>
      <c r="AO630" t="s">
        <v>67</v>
      </c>
      <c r="AP630" t="s">
        <v>68</v>
      </c>
      <c r="AQ630">
        <v>15</v>
      </c>
      <c r="AR630">
        <v>537</v>
      </c>
      <c r="AS630">
        <v>1074</v>
      </c>
      <c r="AT630">
        <v>2.1800000000000002</v>
      </c>
      <c r="AU630">
        <v>5.4450000000000003</v>
      </c>
      <c r="AV630" t="s">
        <v>2377</v>
      </c>
      <c r="AW630" t="s">
        <v>1842</v>
      </c>
      <c r="AX630" t="s">
        <v>2378</v>
      </c>
    </row>
    <row r="631" spans="1:50" x14ac:dyDescent="0.25">
      <c r="A631" t="s">
        <v>2379</v>
      </c>
      <c r="B631" t="s">
        <v>1679</v>
      </c>
      <c r="C631">
        <v>0</v>
      </c>
      <c r="D631">
        <v>1</v>
      </c>
      <c r="E631" t="s">
        <v>1686</v>
      </c>
      <c r="H631">
        <v>1</v>
      </c>
      <c r="N631">
        <v>0</v>
      </c>
      <c r="Q631">
        <v>0</v>
      </c>
      <c r="R631">
        <v>1</v>
      </c>
      <c r="U631" t="s">
        <v>65</v>
      </c>
      <c r="V631">
        <v>54</v>
      </c>
      <c r="W631" t="s">
        <v>1688</v>
      </c>
      <c r="X631" t="s">
        <v>80</v>
      </c>
      <c r="Y631">
        <v>0</v>
      </c>
      <c r="Z631">
        <v>89.721000000000004</v>
      </c>
      <c r="AB631" t="s">
        <v>118</v>
      </c>
      <c r="AD631" t="s">
        <v>57</v>
      </c>
      <c r="AE631">
        <v>1</v>
      </c>
      <c r="AF631">
        <v>6</v>
      </c>
      <c r="AG631">
        <v>1</v>
      </c>
      <c r="AH631">
        <v>1.5</v>
      </c>
      <c r="AI631">
        <v>384</v>
      </c>
      <c r="AJ631">
        <v>384</v>
      </c>
      <c r="AK631">
        <v>176</v>
      </c>
      <c r="AL631" t="s">
        <v>1719</v>
      </c>
      <c r="AM631">
        <v>1.1000000238000001</v>
      </c>
      <c r="AN631" t="s">
        <v>1720</v>
      </c>
      <c r="AO631" t="s">
        <v>59</v>
      </c>
      <c r="AP631" t="s">
        <v>60</v>
      </c>
      <c r="AQ631">
        <v>11</v>
      </c>
      <c r="AR631">
        <v>275</v>
      </c>
      <c r="AS631">
        <v>626</v>
      </c>
      <c r="AT631">
        <v>1.46</v>
      </c>
      <c r="AU631">
        <v>4.0999999999999996</v>
      </c>
      <c r="AV631" t="s">
        <v>2380</v>
      </c>
      <c r="AW631" t="s">
        <v>2381</v>
      </c>
      <c r="AX631" t="s">
        <v>2382</v>
      </c>
    </row>
    <row r="632" spans="1:50" x14ac:dyDescent="0.25">
      <c r="A632" t="s">
        <v>2383</v>
      </c>
      <c r="B632" t="s">
        <v>1679</v>
      </c>
      <c r="C632">
        <v>0</v>
      </c>
      <c r="D632">
        <v>0</v>
      </c>
      <c r="E632" t="s">
        <v>1725</v>
      </c>
      <c r="H632">
        <v>1</v>
      </c>
      <c r="N632">
        <v>1</v>
      </c>
      <c r="Q632">
        <v>0</v>
      </c>
      <c r="R632">
        <v>1</v>
      </c>
      <c r="U632" t="s">
        <v>1687</v>
      </c>
      <c r="V632">
        <v>56</v>
      </c>
      <c r="W632" t="s">
        <v>79</v>
      </c>
      <c r="X632" t="s">
        <v>80</v>
      </c>
      <c r="Y632">
        <v>0</v>
      </c>
      <c r="Z632">
        <v>87.089746118400001</v>
      </c>
      <c r="AA632">
        <v>1.6002032024999999</v>
      </c>
      <c r="AB632" t="s">
        <v>118</v>
      </c>
      <c r="AD632" t="s">
        <v>57</v>
      </c>
      <c r="AE632">
        <v>0</v>
      </c>
      <c r="AF632">
        <v>6</v>
      </c>
      <c r="AG632">
        <v>1</v>
      </c>
      <c r="AH632">
        <v>3</v>
      </c>
      <c r="AI632">
        <v>512</v>
      </c>
      <c r="AJ632">
        <v>512</v>
      </c>
      <c r="AK632">
        <v>160</v>
      </c>
      <c r="AL632" t="s">
        <v>1861</v>
      </c>
      <c r="AM632">
        <v>1</v>
      </c>
      <c r="AN632" t="s">
        <v>1741</v>
      </c>
      <c r="AO632" t="s">
        <v>59</v>
      </c>
      <c r="AP632" t="s">
        <v>124</v>
      </c>
      <c r="AQ632">
        <v>11</v>
      </c>
      <c r="AR632">
        <v>82</v>
      </c>
      <c r="AS632">
        <v>229</v>
      </c>
      <c r="AT632">
        <v>1.73</v>
      </c>
      <c r="AU632">
        <v>4.5999999999999996</v>
      </c>
      <c r="AV632" t="s">
        <v>2384</v>
      </c>
      <c r="AW632" t="s">
        <v>2385</v>
      </c>
      <c r="AX632" t="s">
        <v>2386</v>
      </c>
    </row>
    <row r="633" spans="1:50" x14ac:dyDescent="0.25">
      <c r="A633" t="s">
        <v>2387</v>
      </c>
      <c r="B633" t="s">
        <v>1679</v>
      </c>
      <c r="C633">
        <v>0</v>
      </c>
      <c r="D633">
        <v>0</v>
      </c>
      <c r="E633" t="s">
        <v>1703</v>
      </c>
      <c r="H633">
        <v>0</v>
      </c>
      <c r="N633">
        <v>0</v>
      </c>
      <c r="Q633">
        <v>0</v>
      </c>
      <c r="R633">
        <v>1</v>
      </c>
      <c r="U633" t="s">
        <v>65</v>
      </c>
      <c r="V633">
        <v>44</v>
      </c>
      <c r="W633" t="s">
        <v>1726</v>
      </c>
      <c r="X633" t="s">
        <v>55</v>
      </c>
      <c r="Y633">
        <v>0</v>
      </c>
      <c r="Z633">
        <v>93.893632533900004</v>
      </c>
      <c r="AB633" t="s">
        <v>118</v>
      </c>
      <c r="AD633" t="s">
        <v>57</v>
      </c>
      <c r="AE633">
        <v>0</v>
      </c>
      <c r="AF633">
        <v>6</v>
      </c>
      <c r="AG633">
        <v>1</v>
      </c>
      <c r="AH633">
        <v>1.5</v>
      </c>
      <c r="AI633">
        <v>512</v>
      </c>
      <c r="AJ633">
        <v>512</v>
      </c>
      <c r="AK633">
        <v>80</v>
      </c>
      <c r="AL633" t="s">
        <v>1010</v>
      </c>
      <c r="AM633">
        <v>2</v>
      </c>
      <c r="AN633" t="s">
        <v>1011</v>
      </c>
      <c r="AO633" t="s">
        <v>59</v>
      </c>
      <c r="AP633" t="s">
        <v>2388</v>
      </c>
      <c r="AQ633">
        <v>11</v>
      </c>
      <c r="AR633">
        <v>89</v>
      </c>
      <c r="AS633">
        <v>239</v>
      </c>
      <c r="AT633">
        <v>1.96</v>
      </c>
      <c r="AU633">
        <v>5.07</v>
      </c>
      <c r="AV633" t="s">
        <v>2389</v>
      </c>
      <c r="AW633" t="s">
        <v>2390</v>
      </c>
      <c r="AX633" t="s">
        <v>2391</v>
      </c>
    </row>
    <row r="634" spans="1:50" x14ac:dyDescent="0.25">
      <c r="A634" t="s">
        <v>2392</v>
      </c>
      <c r="B634" t="s">
        <v>1679</v>
      </c>
      <c r="C634">
        <v>0</v>
      </c>
      <c r="D634">
        <v>0</v>
      </c>
      <c r="E634" t="s">
        <v>1680</v>
      </c>
      <c r="H634">
        <v>0</v>
      </c>
      <c r="N634">
        <v>0</v>
      </c>
      <c r="Q634">
        <v>0</v>
      </c>
      <c r="R634">
        <v>1</v>
      </c>
      <c r="U634" t="s">
        <v>65</v>
      </c>
      <c r="V634">
        <v>70</v>
      </c>
      <c r="W634" t="s">
        <v>79</v>
      </c>
      <c r="X634" t="s">
        <v>55</v>
      </c>
      <c r="Y634">
        <v>0</v>
      </c>
      <c r="Z634">
        <v>74.843000000000004</v>
      </c>
      <c r="AB634" t="s">
        <v>94</v>
      </c>
      <c r="AD634" t="s">
        <v>57</v>
      </c>
      <c r="AE634">
        <v>1</v>
      </c>
      <c r="AF634">
        <v>6</v>
      </c>
      <c r="AG634">
        <v>1</v>
      </c>
      <c r="AH634">
        <v>1.5</v>
      </c>
      <c r="AI634">
        <v>512</v>
      </c>
      <c r="AJ634">
        <v>512</v>
      </c>
      <c r="AK634">
        <v>200</v>
      </c>
      <c r="AL634" t="s">
        <v>196</v>
      </c>
      <c r="AM634">
        <v>1.6</v>
      </c>
      <c r="AN634" t="s">
        <v>1938</v>
      </c>
      <c r="AO634" t="s">
        <v>67</v>
      </c>
      <c r="AP634" t="s">
        <v>68</v>
      </c>
      <c r="AQ634">
        <v>15</v>
      </c>
      <c r="AR634">
        <v>176</v>
      </c>
      <c r="AS634">
        <v>352</v>
      </c>
      <c r="AT634">
        <v>2.2080000000000002</v>
      </c>
      <c r="AU634">
        <v>4.6120000000000001</v>
      </c>
      <c r="AV634" t="s">
        <v>2393</v>
      </c>
      <c r="AW634" t="s">
        <v>2394</v>
      </c>
      <c r="AX634" t="s">
        <v>2395</v>
      </c>
    </row>
    <row r="635" spans="1:50" x14ac:dyDescent="0.25">
      <c r="A635" t="s">
        <v>2396</v>
      </c>
      <c r="B635" t="s">
        <v>1679</v>
      </c>
      <c r="C635">
        <v>0</v>
      </c>
      <c r="D635">
        <v>1</v>
      </c>
      <c r="E635" t="s">
        <v>1680</v>
      </c>
      <c r="H635">
        <v>0</v>
      </c>
      <c r="N635">
        <v>0</v>
      </c>
      <c r="Q635">
        <v>0</v>
      </c>
      <c r="R635">
        <v>1</v>
      </c>
      <c r="U635" t="s">
        <v>65</v>
      </c>
      <c r="V635">
        <v>42</v>
      </c>
      <c r="W635" t="s">
        <v>1688</v>
      </c>
      <c r="X635" t="s">
        <v>80</v>
      </c>
      <c r="Y635">
        <v>0</v>
      </c>
      <c r="Z635">
        <v>58.97</v>
      </c>
      <c r="AB635" t="s">
        <v>74</v>
      </c>
      <c r="AD635" t="s">
        <v>57</v>
      </c>
      <c r="AE635">
        <v>0</v>
      </c>
      <c r="AF635">
        <v>6</v>
      </c>
      <c r="AG635">
        <v>1</v>
      </c>
      <c r="AH635">
        <v>3</v>
      </c>
      <c r="AI635">
        <v>512</v>
      </c>
      <c r="AJ635">
        <v>512</v>
      </c>
      <c r="AK635">
        <v>134</v>
      </c>
      <c r="AL635" t="s">
        <v>119</v>
      </c>
      <c r="AM635">
        <v>2.4</v>
      </c>
      <c r="AN635" t="s">
        <v>1786</v>
      </c>
      <c r="AO635" t="s">
        <v>67</v>
      </c>
      <c r="AP635" t="s">
        <v>1845</v>
      </c>
      <c r="AQ635">
        <v>15</v>
      </c>
      <c r="AR635">
        <v>410</v>
      </c>
      <c r="AS635">
        <v>820</v>
      </c>
      <c r="AT635">
        <v>4.66</v>
      </c>
      <c r="AU635">
        <v>8.8879999999999999</v>
      </c>
      <c r="AV635" t="s">
        <v>2397</v>
      </c>
      <c r="AW635" t="s">
        <v>1972</v>
      </c>
      <c r="AX635" t="s">
        <v>2398</v>
      </c>
    </row>
    <row r="636" spans="1:50" x14ac:dyDescent="0.25">
      <c r="A636" t="s">
        <v>2399</v>
      </c>
      <c r="B636" t="s">
        <v>1679</v>
      </c>
      <c r="C636">
        <v>0</v>
      </c>
      <c r="D636">
        <v>1</v>
      </c>
      <c r="E636" t="s">
        <v>1686</v>
      </c>
      <c r="H636">
        <v>0</v>
      </c>
      <c r="N636">
        <v>1</v>
      </c>
      <c r="Q636">
        <v>0</v>
      </c>
      <c r="R636">
        <v>1</v>
      </c>
      <c r="U636" t="s">
        <v>1687</v>
      </c>
      <c r="V636">
        <v>68</v>
      </c>
      <c r="W636" t="s">
        <v>79</v>
      </c>
      <c r="X636" t="s">
        <v>80</v>
      </c>
      <c r="Y636">
        <v>0</v>
      </c>
      <c r="Z636">
        <v>89.811000000000007</v>
      </c>
      <c r="AB636" t="s">
        <v>118</v>
      </c>
      <c r="AD636" t="s">
        <v>57</v>
      </c>
      <c r="AE636">
        <v>0</v>
      </c>
      <c r="AF636">
        <v>6</v>
      </c>
      <c r="AG636">
        <v>1</v>
      </c>
      <c r="AH636">
        <v>1.5</v>
      </c>
      <c r="AI636">
        <v>512</v>
      </c>
      <c r="AJ636">
        <v>512</v>
      </c>
      <c r="AK636">
        <v>80</v>
      </c>
      <c r="AL636" t="s">
        <v>153</v>
      </c>
      <c r="AM636">
        <v>2</v>
      </c>
      <c r="AN636" t="s">
        <v>1681</v>
      </c>
      <c r="AO636" t="s">
        <v>67</v>
      </c>
      <c r="AP636" t="s">
        <v>68</v>
      </c>
      <c r="AQ636">
        <v>15</v>
      </c>
      <c r="AR636">
        <v>480</v>
      </c>
      <c r="AS636">
        <v>1175</v>
      </c>
      <c r="AT636">
        <v>2.62</v>
      </c>
      <c r="AU636">
        <v>5.8419999999999996</v>
      </c>
      <c r="AV636" t="s">
        <v>2400</v>
      </c>
      <c r="AW636" t="s">
        <v>2401</v>
      </c>
      <c r="AX636" t="s">
        <v>2402</v>
      </c>
    </row>
    <row r="637" spans="1:50" x14ac:dyDescent="0.25">
      <c r="A637" t="s">
        <v>2403</v>
      </c>
      <c r="B637" t="s">
        <v>1679</v>
      </c>
      <c r="C637">
        <v>0</v>
      </c>
      <c r="D637">
        <v>0</v>
      </c>
      <c r="E637" t="s">
        <v>1703</v>
      </c>
      <c r="H637">
        <v>0</v>
      </c>
      <c r="N637">
        <v>1</v>
      </c>
      <c r="Q637">
        <v>0</v>
      </c>
      <c r="R637">
        <v>0</v>
      </c>
      <c r="U637" t="s">
        <v>1687</v>
      </c>
      <c r="V637">
        <v>48</v>
      </c>
      <c r="W637" t="s">
        <v>79</v>
      </c>
      <c r="X637" t="s">
        <v>55</v>
      </c>
      <c r="Y637">
        <v>0</v>
      </c>
      <c r="Z637">
        <v>93.894000000000005</v>
      </c>
      <c r="AB637" t="s">
        <v>118</v>
      </c>
      <c r="AD637" t="s">
        <v>57</v>
      </c>
      <c r="AE637">
        <v>0</v>
      </c>
      <c r="AF637">
        <v>6</v>
      </c>
      <c r="AG637">
        <v>1</v>
      </c>
      <c r="AH637">
        <v>1.5</v>
      </c>
      <c r="AI637">
        <v>512</v>
      </c>
      <c r="AJ637">
        <v>512</v>
      </c>
      <c r="AK637">
        <v>72</v>
      </c>
      <c r="AL637" t="s">
        <v>119</v>
      </c>
      <c r="AM637">
        <v>2.2000000000000002</v>
      </c>
      <c r="AN637" t="s">
        <v>1072</v>
      </c>
      <c r="AO637" t="s">
        <v>67</v>
      </c>
      <c r="AP637" t="s">
        <v>68</v>
      </c>
      <c r="AQ637">
        <v>15</v>
      </c>
      <c r="AR637">
        <v>155</v>
      </c>
      <c r="AS637">
        <v>311</v>
      </c>
      <c r="AT637">
        <v>4.2359999999999998</v>
      </c>
      <c r="AU637">
        <v>8.6679999999999993</v>
      </c>
      <c r="AV637" t="s">
        <v>2404</v>
      </c>
      <c r="AW637" t="s">
        <v>2405</v>
      </c>
      <c r="AX637" t="s">
        <v>2406</v>
      </c>
    </row>
    <row r="638" spans="1:50" x14ac:dyDescent="0.25">
      <c r="A638" t="s">
        <v>2407</v>
      </c>
      <c r="B638" t="s">
        <v>1679</v>
      </c>
      <c r="C638">
        <v>0</v>
      </c>
      <c r="D638">
        <v>1</v>
      </c>
      <c r="E638" t="s">
        <v>1725</v>
      </c>
      <c r="H638">
        <v>0</v>
      </c>
      <c r="N638">
        <v>1</v>
      </c>
      <c r="Q638">
        <v>0</v>
      </c>
      <c r="R638">
        <v>0</v>
      </c>
      <c r="U638" t="s">
        <v>1687</v>
      </c>
      <c r="V638">
        <v>46</v>
      </c>
      <c r="W638" t="s">
        <v>1688</v>
      </c>
      <c r="X638" t="s">
        <v>80</v>
      </c>
      <c r="Y638">
        <v>0</v>
      </c>
      <c r="Z638">
        <v>58.06</v>
      </c>
      <c r="AB638" t="s">
        <v>74</v>
      </c>
      <c r="AD638" t="s">
        <v>57</v>
      </c>
      <c r="AE638">
        <v>0</v>
      </c>
      <c r="AF638">
        <v>6</v>
      </c>
      <c r="AG638">
        <v>1</v>
      </c>
      <c r="AH638">
        <v>1.5</v>
      </c>
      <c r="AI638">
        <v>512</v>
      </c>
      <c r="AJ638">
        <v>512</v>
      </c>
      <c r="AK638">
        <v>80</v>
      </c>
      <c r="AL638" t="s">
        <v>81</v>
      </c>
      <c r="AM638">
        <v>2</v>
      </c>
      <c r="AN638" t="s">
        <v>996</v>
      </c>
      <c r="AO638" t="s">
        <v>67</v>
      </c>
      <c r="AP638" t="s">
        <v>68</v>
      </c>
      <c r="AQ638">
        <v>15</v>
      </c>
      <c r="AR638">
        <v>133</v>
      </c>
      <c r="AS638">
        <v>266</v>
      </c>
      <c r="AT638">
        <v>4.2</v>
      </c>
      <c r="AU638">
        <v>7</v>
      </c>
      <c r="AV638" t="s">
        <v>2408</v>
      </c>
      <c r="AW638" t="s">
        <v>1899</v>
      </c>
      <c r="AX638" t="s">
        <v>2409</v>
      </c>
    </row>
    <row r="639" spans="1:50" x14ac:dyDescent="0.25">
      <c r="A639" t="s">
        <v>2410</v>
      </c>
      <c r="B639" t="s">
        <v>1679</v>
      </c>
      <c r="C639">
        <v>0</v>
      </c>
      <c r="D639">
        <v>0</v>
      </c>
      <c r="E639" t="s">
        <v>1680</v>
      </c>
      <c r="H639">
        <v>0</v>
      </c>
      <c r="N639">
        <v>1</v>
      </c>
      <c r="Q639">
        <v>0</v>
      </c>
      <c r="R639">
        <v>0</v>
      </c>
      <c r="U639" t="s">
        <v>1687</v>
      </c>
      <c r="V639">
        <v>49</v>
      </c>
      <c r="W639" t="s">
        <v>1688</v>
      </c>
      <c r="X639" t="s">
        <v>55</v>
      </c>
      <c r="Y639">
        <v>0</v>
      </c>
      <c r="Z639">
        <v>89.811000000000007</v>
      </c>
      <c r="AB639" t="s">
        <v>118</v>
      </c>
      <c r="AD639" t="s">
        <v>57</v>
      </c>
      <c r="AE639">
        <v>0</v>
      </c>
      <c r="AF639">
        <v>6</v>
      </c>
      <c r="AG639">
        <v>1</v>
      </c>
      <c r="AH639">
        <v>1.5</v>
      </c>
      <c r="AI639">
        <v>512</v>
      </c>
      <c r="AJ639">
        <v>512</v>
      </c>
      <c r="AK639">
        <v>66</v>
      </c>
      <c r="AL639" t="s">
        <v>153</v>
      </c>
      <c r="AM639">
        <v>2.4</v>
      </c>
      <c r="AN639" t="s">
        <v>1942</v>
      </c>
      <c r="AO639" t="s">
        <v>67</v>
      </c>
      <c r="AP639" t="s">
        <v>68</v>
      </c>
      <c r="AQ639">
        <v>15</v>
      </c>
      <c r="AR639">
        <v>317</v>
      </c>
      <c r="AS639">
        <v>634</v>
      </c>
      <c r="AT639">
        <v>2.972</v>
      </c>
      <c r="AU639">
        <v>6.1879999999999997</v>
      </c>
      <c r="AV639" t="s">
        <v>2411</v>
      </c>
      <c r="AW639" t="s">
        <v>2412</v>
      </c>
      <c r="AX639" t="s">
        <v>2413</v>
      </c>
    </row>
    <row r="640" spans="1:50" x14ac:dyDescent="0.25">
      <c r="A640" t="s">
        <v>2414</v>
      </c>
      <c r="B640" t="s">
        <v>1679</v>
      </c>
      <c r="C640">
        <v>0</v>
      </c>
      <c r="D640">
        <v>1</v>
      </c>
      <c r="E640" t="s">
        <v>1703</v>
      </c>
      <c r="H640">
        <v>0</v>
      </c>
      <c r="N640">
        <v>1</v>
      </c>
      <c r="Q640">
        <v>0</v>
      </c>
      <c r="R640">
        <v>0</v>
      </c>
      <c r="U640" t="s">
        <v>1687</v>
      </c>
      <c r="V640">
        <v>54</v>
      </c>
      <c r="W640" t="s">
        <v>79</v>
      </c>
      <c r="X640" t="s">
        <v>55</v>
      </c>
      <c r="Y640">
        <v>0</v>
      </c>
      <c r="Z640">
        <v>67.160028826300007</v>
      </c>
      <c r="AA640">
        <v>1.8034036092000001</v>
      </c>
      <c r="AB640" t="s">
        <v>74</v>
      </c>
      <c r="AD640" t="s">
        <v>57</v>
      </c>
      <c r="AE640">
        <v>0</v>
      </c>
      <c r="AF640">
        <v>6</v>
      </c>
      <c r="AG640">
        <v>1</v>
      </c>
      <c r="AH640">
        <v>1.5</v>
      </c>
      <c r="AI640">
        <v>512</v>
      </c>
      <c r="AJ640">
        <v>512</v>
      </c>
      <c r="AK640">
        <v>80</v>
      </c>
      <c r="AL640" t="s">
        <v>1010</v>
      </c>
      <c r="AM640">
        <v>2</v>
      </c>
      <c r="AN640" t="s">
        <v>1011</v>
      </c>
      <c r="AO640" t="s">
        <v>59</v>
      </c>
      <c r="AP640" t="s">
        <v>60</v>
      </c>
      <c r="AQ640">
        <v>11</v>
      </c>
      <c r="AR640">
        <v>75</v>
      </c>
      <c r="AS640">
        <v>190</v>
      </c>
      <c r="AT640">
        <v>1.81</v>
      </c>
      <c r="AU640">
        <v>4.33</v>
      </c>
      <c r="AV640" t="s">
        <v>2415</v>
      </c>
      <c r="AW640" t="s">
        <v>2416</v>
      </c>
      <c r="AX640" t="s">
        <v>2417</v>
      </c>
    </row>
    <row r="641" spans="1:50" x14ac:dyDescent="0.25">
      <c r="A641" t="s">
        <v>2418</v>
      </c>
      <c r="B641" t="s">
        <v>1679</v>
      </c>
      <c r="C641">
        <v>0</v>
      </c>
      <c r="D641">
        <v>0</v>
      </c>
      <c r="E641" t="s">
        <v>1698</v>
      </c>
      <c r="H641">
        <v>1</v>
      </c>
      <c r="N641">
        <v>1</v>
      </c>
      <c r="Q641">
        <v>0</v>
      </c>
      <c r="R641">
        <v>0</v>
      </c>
      <c r="U641" t="s">
        <v>1687</v>
      </c>
      <c r="V641">
        <v>38</v>
      </c>
      <c r="W641" t="s">
        <v>1688</v>
      </c>
      <c r="X641" t="s">
        <v>80</v>
      </c>
      <c r="Y641">
        <v>0</v>
      </c>
      <c r="Z641">
        <v>86.183000000000007</v>
      </c>
      <c r="AB641" t="s">
        <v>118</v>
      </c>
      <c r="AD641" t="s">
        <v>57</v>
      </c>
      <c r="AE641">
        <v>0</v>
      </c>
      <c r="AF641">
        <v>6</v>
      </c>
      <c r="AG641">
        <v>1</v>
      </c>
      <c r="AH641">
        <v>1.5</v>
      </c>
      <c r="AI641">
        <v>512</v>
      </c>
      <c r="AJ641">
        <v>512</v>
      </c>
      <c r="AK641">
        <v>72</v>
      </c>
      <c r="AL641" t="s">
        <v>119</v>
      </c>
      <c r="AM641">
        <v>2.2000000000000002</v>
      </c>
      <c r="AN641" t="s">
        <v>1072</v>
      </c>
      <c r="AO641" t="s">
        <v>67</v>
      </c>
      <c r="AP641" t="s">
        <v>68</v>
      </c>
      <c r="AQ641">
        <v>15</v>
      </c>
      <c r="AR641">
        <v>287</v>
      </c>
      <c r="AS641">
        <v>574</v>
      </c>
      <c r="AT641">
        <v>4.2359999999999998</v>
      </c>
      <c r="AU641">
        <v>8.6679999999999993</v>
      </c>
      <c r="AV641" t="s">
        <v>2419</v>
      </c>
      <c r="AW641" t="s">
        <v>2420</v>
      </c>
      <c r="AX641" t="s">
        <v>2421</v>
      </c>
    </row>
    <row r="642" spans="1:50" x14ac:dyDescent="0.25">
      <c r="A642" t="s">
        <v>2422</v>
      </c>
      <c r="B642" t="s">
        <v>1679</v>
      </c>
      <c r="C642">
        <v>0</v>
      </c>
      <c r="D642">
        <v>0</v>
      </c>
      <c r="E642" t="s">
        <v>1740</v>
      </c>
      <c r="H642">
        <v>1</v>
      </c>
      <c r="N642">
        <v>1</v>
      </c>
      <c r="Q642">
        <v>0</v>
      </c>
      <c r="R642">
        <v>1</v>
      </c>
      <c r="U642" t="s">
        <v>1687</v>
      </c>
      <c r="V642">
        <v>31</v>
      </c>
      <c r="W642" t="s">
        <v>1726</v>
      </c>
      <c r="X642" t="s">
        <v>80</v>
      </c>
      <c r="Y642">
        <v>0</v>
      </c>
      <c r="Z642">
        <v>49.895000000000003</v>
      </c>
      <c r="AB642" t="s">
        <v>247</v>
      </c>
      <c r="AD642" t="s">
        <v>57</v>
      </c>
      <c r="AE642">
        <v>0</v>
      </c>
      <c r="AF642">
        <v>6</v>
      </c>
      <c r="AG642">
        <v>1</v>
      </c>
      <c r="AH642">
        <v>1.5</v>
      </c>
      <c r="AI642">
        <v>512</v>
      </c>
      <c r="AJ642">
        <v>512</v>
      </c>
      <c r="AK642">
        <v>66</v>
      </c>
      <c r="AL642" t="s">
        <v>2022</v>
      </c>
      <c r="AM642">
        <v>2.4</v>
      </c>
      <c r="AN642" t="s">
        <v>1942</v>
      </c>
      <c r="AO642" t="s">
        <v>67</v>
      </c>
      <c r="AP642" t="s">
        <v>68</v>
      </c>
      <c r="AQ642">
        <v>15</v>
      </c>
      <c r="AR642">
        <v>423</v>
      </c>
      <c r="AS642">
        <v>847</v>
      </c>
      <c r="AT642">
        <v>3.0840000000000001</v>
      </c>
      <c r="AU642">
        <v>6.3520000000000003</v>
      </c>
      <c r="AV642" t="s">
        <v>2423</v>
      </c>
      <c r="AW642" t="s">
        <v>2424</v>
      </c>
      <c r="AX642" t="s">
        <v>2425</v>
      </c>
    </row>
    <row r="643" spans="1:50" x14ac:dyDescent="0.25">
      <c r="A643" t="s">
        <v>2426</v>
      </c>
      <c r="B643" t="s">
        <v>1679</v>
      </c>
      <c r="C643">
        <v>0</v>
      </c>
      <c r="D643">
        <v>0</v>
      </c>
      <c r="E643" t="s">
        <v>1740</v>
      </c>
      <c r="H643">
        <v>0</v>
      </c>
      <c r="N643">
        <v>0</v>
      </c>
      <c r="Q643">
        <v>0</v>
      </c>
      <c r="R643">
        <v>1</v>
      </c>
      <c r="U643" t="s">
        <v>65</v>
      </c>
      <c r="V643">
        <v>43</v>
      </c>
      <c r="W643" t="s">
        <v>1726</v>
      </c>
      <c r="X643" t="s">
        <v>80</v>
      </c>
      <c r="Y643">
        <v>0</v>
      </c>
      <c r="AD643" t="s">
        <v>57</v>
      </c>
      <c r="AE643">
        <v>0</v>
      </c>
      <c r="AF643">
        <v>6</v>
      </c>
      <c r="AG643">
        <v>1</v>
      </c>
      <c r="AH643">
        <v>1.5</v>
      </c>
      <c r="AI643">
        <v>384</v>
      </c>
      <c r="AJ643">
        <v>384</v>
      </c>
      <c r="AK643">
        <v>134</v>
      </c>
      <c r="AL643" t="s">
        <v>1394</v>
      </c>
      <c r="AM643">
        <v>1.2000000476999999</v>
      </c>
      <c r="AN643" t="s">
        <v>2146</v>
      </c>
      <c r="AO643" t="s">
        <v>59</v>
      </c>
      <c r="AP643" t="s">
        <v>2147</v>
      </c>
      <c r="AQ643">
        <v>11</v>
      </c>
      <c r="AR643">
        <v>24</v>
      </c>
      <c r="AS643">
        <v>63</v>
      </c>
      <c r="AT643">
        <v>1.62</v>
      </c>
      <c r="AU643">
        <v>4.57</v>
      </c>
      <c r="AV643" t="s">
        <v>2427</v>
      </c>
      <c r="AW643" t="s">
        <v>2428</v>
      </c>
      <c r="AX643" t="s">
        <v>2429</v>
      </c>
    </row>
    <row r="644" spans="1:50" x14ac:dyDescent="0.25">
      <c r="A644" t="s">
        <v>2430</v>
      </c>
      <c r="B644" t="s">
        <v>1679</v>
      </c>
      <c r="C644">
        <v>0</v>
      </c>
      <c r="D644">
        <v>1</v>
      </c>
      <c r="E644" t="s">
        <v>1791</v>
      </c>
      <c r="H644">
        <v>0</v>
      </c>
      <c r="N644">
        <v>1</v>
      </c>
      <c r="Q644">
        <v>1</v>
      </c>
      <c r="R644">
        <v>0</v>
      </c>
      <c r="U644" t="s">
        <v>1735</v>
      </c>
      <c r="V644">
        <v>68</v>
      </c>
      <c r="X644" t="s">
        <v>80</v>
      </c>
      <c r="Y644">
        <v>0</v>
      </c>
      <c r="Z644">
        <v>98</v>
      </c>
      <c r="AB644" t="s">
        <v>56</v>
      </c>
      <c r="AD644" t="s">
        <v>57</v>
      </c>
      <c r="AE644">
        <v>0</v>
      </c>
      <c r="AF644">
        <v>6</v>
      </c>
      <c r="AG644">
        <v>1</v>
      </c>
      <c r="AH644">
        <v>3</v>
      </c>
      <c r="AI644">
        <v>640</v>
      </c>
      <c r="AJ644">
        <v>640</v>
      </c>
      <c r="AK644">
        <v>160</v>
      </c>
      <c r="AL644" t="s">
        <v>2431</v>
      </c>
      <c r="AM644">
        <v>2</v>
      </c>
      <c r="AN644" t="s">
        <v>1877</v>
      </c>
      <c r="AO644" t="s">
        <v>1155</v>
      </c>
      <c r="AP644" t="s">
        <v>1305</v>
      </c>
      <c r="AQ644">
        <v>11</v>
      </c>
      <c r="AR644">
        <v>301</v>
      </c>
      <c r="AS644">
        <v>523</v>
      </c>
      <c r="AT644">
        <v>4.6040000000000001</v>
      </c>
      <c r="AU644">
        <v>7.4</v>
      </c>
      <c r="AW644" t="s">
        <v>2432</v>
      </c>
      <c r="AX644" t="s">
        <v>2433</v>
      </c>
    </row>
    <row r="645" spans="1:50" x14ac:dyDescent="0.25">
      <c r="A645" t="s">
        <v>2434</v>
      </c>
      <c r="B645" t="s">
        <v>1679</v>
      </c>
      <c r="C645">
        <v>0</v>
      </c>
      <c r="D645">
        <v>1</v>
      </c>
      <c r="E645" t="s">
        <v>1703</v>
      </c>
      <c r="H645">
        <v>0</v>
      </c>
      <c r="N645">
        <v>0</v>
      </c>
      <c r="Q645">
        <v>0</v>
      </c>
      <c r="R645">
        <v>1</v>
      </c>
      <c r="U645" t="s">
        <v>65</v>
      </c>
      <c r="V645">
        <v>63</v>
      </c>
      <c r="W645" t="s">
        <v>79</v>
      </c>
      <c r="X645" t="s">
        <v>80</v>
      </c>
      <c r="Y645">
        <v>0</v>
      </c>
      <c r="Z645">
        <v>95.254000000000005</v>
      </c>
      <c r="AB645" t="s">
        <v>118</v>
      </c>
      <c r="AD645" t="s">
        <v>57</v>
      </c>
      <c r="AE645">
        <v>0</v>
      </c>
      <c r="AF645">
        <v>6</v>
      </c>
      <c r="AG645">
        <v>1</v>
      </c>
      <c r="AH645">
        <v>1.5</v>
      </c>
      <c r="AI645">
        <v>512</v>
      </c>
      <c r="AJ645">
        <v>512</v>
      </c>
      <c r="AK645">
        <v>66</v>
      </c>
      <c r="AL645" t="s">
        <v>81</v>
      </c>
      <c r="AM645">
        <v>2.4</v>
      </c>
      <c r="AN645" t="s">
        <v>1942</v>
      </c>
      <c r="AO645" t="s">
        <v>67</v>
      </c>
      <c r="AP645" t="s">
        <v>68</v>
      </c>
      <c r="AQ645">
        <v>15</v>
      </c>
      <c r="AR645">
        <v>414</v>
      </c>
      <c r="AS645">
        <v>828</v>
      </c>
      <c r="AT645">
        <v>2.956</v>
      </c>
      <c r="AU645">
        <v>6.1680000000000001</v>
      </c>
      <c r="AV645" t="s">
        <v>2435</v>
      </c>
      <c r="AW645" t="s">
        <v>2436</v>
      </c>
      <c r="AX645" t="s">
        <v>2437</v>
      </c>
    </row>
    <row r="646" spans="1:50" x14ac:dyDescent="0.25">
      <c r="A646" t="s">
        <v>2438</v>
      </c>
      <c r="B646" t="s">
        <v>1679</v>
      </c>
      <c r="C646">
        <v>0</v>
      </c>
      <c r="D646">
        <v>0</v>
      </c>
      <c r="E646" t="s">
        <v>1680</v>
      </c>
      <c r="H646">
        <v>0</v>
      </c>
      <c r="N646">
        <v>1</v>
      </c>
      <c r="Q646">
        <v>0</v>
      </c>
      <c r="R646">
        <v>0</v>
      </c>
      <c r="U646" t="s">
        <v>1687</v>
      </c>
      <c r="V646">
        <v>31</v>
      </c>
      <c r="W646" t="s">
        <v>1726</v>
      </c>
      <c r="X646" t="s">
        <v>80</v>
      </c>
      <c r="Y646">
        <v>0</v>
      </c>
      <c r="AD646" t="s">
        <v>57</v>
      </c>
      <c r="AE646">
        <v>0</v>
      </c>
      <c r="AF646">
        <v>6</v>
      </c>
      <c r="AG646">
        <v>1</v>
      </c>
      <c r="AH646">
        <v>3</v>
      </c>
      <c r="AI646">
        <v>512</v>
      </c>
      <c r="AJ646">
        <v>512</v>
      </c>
      <c r="AK646">
        <v>134</v>
      </c>
      <c r="AL646" t="s">
        <v>128</v>
      </c>
      <c r="AM646">
        <v>2.4</v>
      </c>
      <c r="AN646" t="s">
        <v>1786</v>
      </c>
      <c r="AO646" t="s">
        <v>67</v>
      </c>
      <c r="AP646" t="s">
        <v>68</v>
      </c>
      <c r="AQ646">
        <v>15</v>
      </c>
      <c r="AR646">
        <v>298</v>
      </c>
      <c r="AS646">
        <v>596</v>
      </c>
      <c r="AT646">
        <v>2.8359999999999999</v>
      </c>
      <c r="AU646">
        <v>7.5410000000000004</v>
      </c>
      <c r="AV646" t="s">
        <v>2325</v>
      </c>
      <c r="AW646" t="s">
        <v>2439</v>
      </c>
      <c r="AX646" t="s">
        <v>2440</v>
      </c>
    </row>
    <row r="647" spans="1:50" x14ac:dyDescent="0.25">
      <c r="A647" t="s">
        <v>2441</v>
      </c>
      <c r="B647" t="s">
        <v>1679</v>
      </c>
      <c r="C647">
        <v>0</v>
      </c>
      <c r="D647">
        <v>1</v>
      </c>
      <c r="E647" t="s">
        <v>1839</v>
      </c>
      <c r="H647">
        <v>0</v>
      </c>
      <c r="N647">
        <v>1</v>
      </c>
      <c r="Q647">
        <v>1</v>
      </c>
      <c r="R647">
        <v>0</v>
      </c>
      <c r="U647" t="s">
        <v>1735</v>
      </c>
      <c r="V647">
        <v>43</v>
      </c>
      <c r="X647" t="s">
        <v>111</v>
      </c>
      <c r="Y647">
        <v>0</v>
      </c>
      <c r="Z647">
        <v>70.307000000000002</v>
      </c>
      <c r="AB647" t="s">
        <v>94</v>
      </c>
      <c r="AD647" t="s">
        <v>57</v>
      </c>
      <c r="AE647">
        <v>0</v>
      </c>
      <c r="AF647">
        <v>6</v>
      </c>
      <c r="AG647">
        <v>1</v>
      </c>
      <c r="AH647">
        <v>1.5</v>
      </c>
      <c r="AI647">
        <v>512</v>
      </c>
      <c r="AJ647">
        <v>512</v>
      </c>
      <c r="AK647">
        <v>66</v>
      </c>
      <c r="AL647" t="s">
        <v>497</v>
      </c>
      <c r="AM647">
        <v>2.4</v>
      </c>
      <c r="AN647" t="s">
        <v>1942</v>
      </c>
      <c r="AO647" t="s">
        <v>67</v>
      </c>
      <c r="AP647" t="s">
        <v>68</v>
      </c>
      <c r="AQ647">
        <v>15</v>
      </c>
      <c r="AR647">
        <v>571</v>
      </c>
      <c r="AS647">
        <v>1143</v>
      </c>
      <c r="AT647">
        <v>3.028</v>
      </c>
      <c r="AU647">
        <v>6.2560000000000002</v>
      </c>
      <c r="AV647" t="s">
        <v>2442</v>
      </c>
      <c r="AW647" t="s">
        <v>2443</v>
      </c>
      <c r="AX647" t="s">
        <v>2444</v>
      </c>
    </row>
    <row r="648" spans="1:50" x14ac:dyDescent="0.25">
      <c r="A648" t="s">
        <v>2445</v>
      </c>
      <c r="B648" t="s">
        <v>1679</v>
      </c>
      <c r="C648">
        <v>0</v>
      </c>
      <c r="D648">
        <v>1</v>
      </c>
      <c r="E648" t="s">
        <v>1703</v>
      </c>
      <c r="H648">
        <v>1</v>
      </c>
      <c r="N648">
        <v>0</v>
      </c>
      <c r="Q648">
        <v>0</v>
      </c>
      <c r="R648">
        <v>1</v>
      </c>
      <c r="U648" t="s">
        <v>65</v>
      </c>
      <c r="V648">
        <v>41</v>
      </c>
      <c r="W648" t="s">
        <v>1688</v>
      </c>
      <c r="X648" t="s">
        <v>80</v>
      </c>
      <c r="Y648">
        <v>0</v>
      </c>
      <c r="AD648" t="s">
        <v>57</v>
      </c>
      <c r="AE648">
        <v>1</v>
      </c>
      <c r="AF648">
        <v>6</v>
      </c>
      <c r="AG648">
        <v>1</v>
      </c>
      <c r="AH648">
        <v>1.5</v>
      </c>
      <c r="AI648">
        <v>384</v>
      </c>
      <c r="AJ648">
        <v>384</v>
      </c>
      <c r="AK648">
        <v>160</v>
      </c>
      <c r="AL648" t="s">
        <v>1727</v>
      </c>
      <c r="AM648">
        <v>1</v>
      </c>
      <c r="AN648" t="s">
        <v>1728</v>
      </c>
      <c r="AO648" t="s">
        <v>59</v>
      </c>
      <c r="AP648" t="s">
        <v>1729</v>
      </c>
      <c r="AQ648">
        <v>11</v>
      </c>
      <c r="AR648">
        <v>53</v>
      </c>
      <c r="AS648">
        <v>148</v>
      </c>
      <c r="AT648">
        <v>1.81</v>
      </c>
      <c r="AU648">
        <v>5.05</v>
      </c>
      <c r="AV648" t="s">
        <v>2325</v>
      </c>
      <c r="AW648" t="s">
        <v>2446</v>
      </c>
      <c r="AX648" t="s">
        <v>2447</v>
      </c>
    </row>
    <row r="649" spans="1:50" x14ac:dyDescent="0.25">
      <c r="A649" t="s">
        <v>2448</v>
      </c>
      <c r="B649" t="s">
        <v>1679</v>
      </c>
      <c r="C649">
        <v>0</v>
      </c>
      <c r="D649">
        <v>1</v>
      </c>
      <c r="E649" t="s">
        <v>1839</v>
      </c>
      <c r="H649">
        <v>1</v>
      </c>
      <c r="N649">
        <v>1</v>
      </c>
      <c r="Q649">
        <v>1</v>
      </c>
      <c r="R649">
        <v>0</v>
      </c>
      <c r="U649" t="s">
        <v>1735</v>
      </c>
      <c r="V649">
        <v>59</v>
      </c>
      <c r="X649" t="s">
        <v>80</v>
      </c>
      <c r="Y649">
        <v>0</v>
      </c>
      <c r="Z649">
        <v>52.163129185499997</v>
      </c>
      <c r="AB649" t="s">
        <v>74</v>
      </c>
      <c r="AD649" t="s">
        <v>57</v>
      </c>
      <c r="AE649">
        <v>1</v>
      </c>
      <c r="AF649">
        <v>6</v>
      </c>
      <c r="AG649">
        <v>1</v>
      </c>
      <c r="AH649">
        <v>1.5</v>
      </c>
      <c r="AI649">
        <v>384</v>
      </c>
      <c r="AJ649">
        <v>384</v>
      </c>
      <c r="AK649">
        <v>160</v>
      </c>
      <c r="AL649" t="s">
        <v>2036</v>
      </c>
      <c r="AM649">
        <v>1</v>
      </c>
      <c r="AN649" t="s">
        <v>1741</v>
      </c>
      <c r="AO649" t="s">
        <v>59</v>
      </c>
      <c r="AP649" t="s">
        <v>60</v>
      </c>
      <c r="AQ649">
        <v>11</v>
      </c>
      <c r="AR649">
        <v>109</v>
      </c>
      <c r="AS649">
        <v>279</v>
      </c>
      <c r="AT649">
        <v>2.42</v>
      </c>
      <c r="AU649">
        <v>5.23</v>
      </c>
      <c r="AV649" t="s">
        <v>2449</v>
      </c>
      <c r="AW649" t="s">
        <v>2450</v>
      </c>
      <c r="AX649" t="s">
        <v>2451</v>
      </c>
    </row>
    <row r="650" spans="1:50" x14ac:dyDescent="0.25">
      <c r="A650" t="s">
        <v>2452</v>
      </c>
      <c r="B650" t="s">
        <v>1679</v>
      </c>
      <c r="C650">
        <v>0</v>
      </c>
      <c r="D650">
        <v>0</v>
      </c>
      <c r="E650" t="s">
        <v>1725</v>
      </c>
      <c r="H650">
        <v>1</v>
      </c>
      <c r="N650">
        <v>0</v>
      </c>
      <c r="Q650">
        <v>0</v>
      </c>
      <c r="R650">
        <v>1</v>
      </c>
      <c r="U650" t="s">
        <v>65</v>
      </c>
      <c r="V650">
        <v>38</v>
      </c>
      <c r="W650" t="s">
        <v>1688</v>
      </c>
      <c r="X650" t="s">
        <v>80</v>
      </c>
      <c r="Y650">
        <v>0</v>
      </c>
      <c r="Z650">
        <v>60</v>
      </c>
      <c r="AB650" t="s">
        <v>74</v>
      </c>
      <c r="AD650" t="s">
        <v>57</v>
      </c>
      <c r="AE650">
        <v>0</v>
      </c>
      <c r="AF650">
        <v>6</v>
      </c>
      <c r="AG650">
        <v>1</v>
      </c>
      <c r="AH650">
        <v>1.5</v>
      </c>
      <c r="AI650">
        <v>400</v>
      </c>
      <c r="AJ650">
        <v>400</v>
      </c>
      <c r="AK650">
        <v>64</v>
      </c>
      <c r="AL650" t="s">
        <v>1924</v>
      </c>
      <c r="AM650">
        <v>2.5</v>
      </c>
      <c r="AN650" t="s">
        <v>1531</v>
      </c>
      <c r="AO650" t="s">
        <v>1155</v>
      </c>
      <c r="AP650" t="s">
        <v>1767</v>
      </c>
      <c r="AQ650">
        <v>11</v>
      </c>
      <c r="AR650">
        <v>50.81</v>
      </c>
      <c r="AS650">
        <v>88.29</v>
      </c>
      <c r="AT650">
        <v>4.6040000000000001</v>
      </c>
      <c r="AU650">
        <v>7.2140000000000004</v>
      </c>
      <c r="AV650" t="s">
        <v>2453</v>
      </c>
      <c r="AW650" t="s">
        <v>1904</v>
      </c>
      <c r="AX650" t="s">
        <v>2454</v>
      </c>
    </row>
    <row r="651" spans="1:50" x14ac:dyDescent="0.25">
      <c r="A651" t="s">
        <v>2455</v>
      </c>
      <c r="B651" t="s">
        <v>1679</v>
      </c>
      <c r="C651">
        <v>0</v>
      </c>
      <c r="D651">
        <v>0</v>
      </c>
      <c r="E651" t="s">
        <v>1839</v>
      </c>
      <c r="H651">
        <v>0</v>
      </c>
      <c r="N651">
        <v>1</v>
      </c>
      <c r="Q651">
        <v>1</v>
      </c>
      <c r="R651">
        <v>0</v>
      </c>
      <c r="U651" t="s">
        <v>1735</v>
      </c>
      <c r="V651">
        <v>51</v>
      </c>
      <c r="W651" t="s">
        <v>1704</v>
      </c>
      <c r="X651" t="s">
        <v>80</v>
      </c>
      <c r="Y651">
        <v>0</v>
      </c>
      <c r="Z651">
        <v>102.0582962325</v>
      </c>
      <c r="AB651" t="s">
        <v>56</v>
      </c>
      <c r="AD651" t="s">
        <v>57</v>
      </c>
      <c r="AE651">
        <v>1</v>
      </c>
      <c r="AF651">
        <v>6</v>
      </c>
      <c r="AG651">
        <v>1</v>
      </c>
      <c r="AH651">
        <v>1.5</v>
      </c>
      <c r="AI651">
        <v>384</v>
      </c>
      <c r="AJ651">
        <v>384</v>
      </c>
      <c r="AK651">
        <v>144</v>
      </c>
      <c r="AL651" t="s">
        <v>2456</v>
      </c>
      <c r="AM651">
        <v>1.2000000476999999</v>
      </c>
      <c r="AN651" t="s">
        <v>2146</v>
      </c>
      <c r="AO651" t="s">
        <v>59</v>
      </c>
      <c r="AP651" t="s">
        <v>2147</v>
      </c>
      <c r="AQ651">
        <v>11</v>
      </c>
      <c r="AR651">
        <v>45</v>
      </c>
      <c r="AS651">
        <v>125</v>
      </c>
      <c r="AT651">
        <v>1.59</v>
      </c>
      <c r="AU651">
        <v>4.57</v>
      </c>
      <c r="AV651" t="s">
        <v>2427</v>
      </c>
      <c r="AW651" t="s">
        <v>2457</v>
      </c>
      <c r="AX651" t="s">
        <v>2458</v>
      </c>
    </row>
    <row r="652" spans="1:50" x14ac:dyDescent="0.25">
      <c r="A652" t="s">
        <v>2459</v>
      </c>
      <c r="B652" t="s">
        <v>1679</v>
      </c>
      <c r="C652">
        <v>0</v>
      </c>
      <c r="D652">
        <v>1</v>
      </c>
      <c r="E652" t="s">
        <v>1703</v>
      </c>
      <c r="H652">
        <v>0</v>
      </c>
      <c r="N652">
        <v>0</v>
      </c>
      <c r="Q652">
        <v>0</v>
      </c>
      <c r="R652">
        <v>1</v>
      </c>
      <c r="U652" t="s">
        <v>65</v>
      </c>
      <c r="V652">
        <v>57</v>
      </c>
      <c r="X652" t="s">
        <v>80</v>
      </c>
      <c r="Y652">
        <v>0</v>
      </c>
      <c r="Z652">
        <v>111.1301447865</v>
      </c>
      <c r="AB652" t="s">
        <v>269</v>
      </c>
      <c r="AD652" t="s">
        <v>57</v>
      </c>
      <c r="AE652">
        <v>1</v>
      </c>
      <c r="AF652">
        <v>6</v>
      </c>
      <c r="AG652">
        <v>1</v>
      </c>
      <c r="AH652">
        <v>1.5</v>
      </c>
      <c r="AI652">
        <v>384</v>
      </c>
      <c r="AJ652">
        <v>384</v>
      </c>
      <c r="AK652">
        <v>144</v>
      </c>
      <c r="AL652" t="s">
        <v>2460</v>
      </c>
      <c r="AM652">
        <v>1.2000000476999999</v>
      </c>
      <c r="AN652" t="s">
        <v>2146</v>
      </c>
      <c r="AO652" t="s">
        <v>59</v>
      </c>
      <c r="AP652" t="s">
        <v>2147</v>
      </c>
      <c r="AQ652">
        <v>11</v>
      </c>
      <c r="AR652">
        <v>36</v>
      </c>
      <c r="AS652">
        <v>96</v>
      </c>
      <c r="AT652">
        <v>1.53</v>
      </c>
      <c r="AU652">
        <v>4.57</v>
      </c>
      <c r="AV652" t="s">
        <v>2427</v>
      </c>
      <c r="AW652" t="s">
        <v>2461</v>
      </c>
      <c r="AX652" t="s">
        <v>2462</v>
      </c>
    </row>
    <row r="653" spans="1:50" x14ac:dyDescent="0.25">
      <c r="A653" t="s">
        <v>2463</v>
      </c>
      <c r="B653" t="s">
        <v>1679</v>
      </c>
      <c r="C653">
        <v>0</v>
      </c>
      <c r="D653">
        <v>0</v>
      </c>
      <c r="E653" t="s">
        <v>1734</v>
      </c>
      <c r="H653">
        <v>1</v>
      </c>
      <c r="N653">
        <v>0</v>
      </c>
      <c r="Q653">
        <v>1</v>
      </c>
      <c r="R653">
        <v>1</v>
      </c>
      <c r="U653" t="s">
        <v>72</v>
      </c>
      <c r="V653">
        <v>57</v>
      </c>
      <c r="X653" t="s">
        <v>80</v>
      </c>
      <c r="Y653">
        <v>0</v>
      </c>
      <c r="Z653">
        <v>63.502939877999999</v>
      </c>
      <c r="AB653" t="s">
        <v>74</v>
      </c>
      <c r="AD653" t="s">
        <v>57</v>
      </c>
      <c r="AE653">
        <v>1</v>
      </c>
      <c r="AF653">
        <v>6</v>
      </c>
      <c r="AG653">
        <v>1</v>
      </c>
      <c r="AH653">
        <v>1.5</v>
      </c>
      <c r="AI653">
        <v>384</v>
      </c>
      <c r="AJ653">
        <v>384</v>
      </c>
      <c r="AK653">
        <v>160</v>
      </c>
      <c r="AL653" t="s">
        <v>75</v>
      </c>
      <c r="AM653">
        <v>1</v>
      </c>
      <c r="AN653" t="s">
        <v>1741</v>
      </c>
      <c r="AO653" t="s">
        <v>59</v>
      </c>
      <c r="AP653" t="s">
        <v>60</v>
      </c>
      <c r="AQ653">
        <v>11</v>
      </c>
      <c r="AR653">
        <v>79</v>
      </c>
      <c r="AS653">
        <v>209</v>
      </c>
      <c r="AT653">
        <v>2.37</v>
      </c>
      <c r="AU653">
        <v>5.15</v>
      </c>
      <c r="AV653" t="s">
        <v>2464</v>
      </c>
      <c r="AW653" t="s">
        <v>1737</v>
      </c>
      <c r="AX653" t="s">
        <v>2465</v>
      </c>
    </row>
    <row r="654" spans="1:50" x14ac:dyDescent="0.25">
      <c r="A654" t="s">
        <v>2466</v>
      </c>
      <c r="B654" t="s">
        <v>1679</v>
      </c>
      <c r="C654">
        <v>0</v>
      </c>
      <c r="D654">
        <v>0</v>
      </c>
      <c r="E654" t="s">
        <v>1740</v>
      </c>
      <c r="H654">
        <v>0</v>
      </c>
      <c r="N654">
        <v>1</v>
      </c>
      <c r="Q654">
        <v>1</v>
      </c>
      <c r="R654">
        <v>0</v>
      </c>
      <c r="U654" t="s">
        <v>1735</v>
      </c>
      <c r="V654">
        <v>44</v>
      </c>
      <c r="W654" t="s">
        <v>1726</v>
      </c>
      <c r="X654" t="s">
        <v>55</v>
      </c>
      <c r="Y654">
        <v>0</v>
      </c>
      <c r="Z654">
        <v>99.79</v>
      </c>
      <c r="AB654" t="s">
        <v>56</v>
      </c>
      <c r="AD654" t="s">
        <v>57</v>
      </c>
      <c r="AE654">
        <v>0</v>
      </c>
      <c r="AF654">
        <v>6</v>
      </c>
      <c r="AG654">
        <v>1</v>
      </c>
      <c r="AH654">
        <v>1.5</v>
      </c>
      <c r="AI654">
        <v>512</v>
      </c>
      <c r="AJ654">
        <v>512</v>
      </c>
      <c r="AK654">
        <v>66</v>
      </c>
      <c r="AL654" t="s">
        <v>81</v>
      </c>
      <c r="AM654">
        <v>2.4</v>
      </c>
      <c r="AN654" t="s">
        <v>1897</v>
      </c>
      <c r="AO654" t="s">
        <v>67</v>
      </c>
      <c r="AP654" t="s">
        <v>68</v>
      </c>
      <c r="AQ654">
        <v>15</v>
      </c>
      <c r="AR654">
        <v>158</v>
      </c>
      <c r="AS654">
        <v>316</v>
      </c>
      <c r="AT654">
        <v>4.1040000000000001</v>
      </c>
      <c r="AU654">
        <v>8.4039999999999999</v>
      </c>
      <c r="AV654" t="s">
        <v>2467</v>
      </c>
      <c r="AW654" t="s">
        <v>2468</v>
      </c>
      <c r="AX654" t="s">
        <v>2469</v>
      </c>
    </row>
    <row r="655" spans="1:50" x14ac:dyDescent="0.25">
      <c r="A655" t="s">
        <v>2470</v>
      </c>
      <c r="B655" t="s">
        <v>1679</v>
      </c>
      <c r="C655">
        <v>0</v>
      </c>
      <c r="D655">
        <v>1</v>
      </c>
      <c r="E655" t="s">
        <v>1703</v>
      </c>
      <c r="H655">
        <v>0</v>
      </c>
      <c r="N655">
        <v>0</v>
      </c>
      <c r="Q655">
        <v>0</v>
      </c>
      <c r="R655">
        <v>1</v>
      </c>
      <c r="U655" t="s">
        <v>65</v>
      </c>
      <c r="V655">
        <v>50</v>
      </c>
      <c r="W655" t="s">
        <v>1688</v>
      </c>
      <c r="X655" t="s">
        <v>111</v>
      </c>
      <c r="Y655">
        <v>0</v>
      </c>
      <c r="Z655">
        <v>65.319999999999993</v>
      </c>
      <c r="AB655" t="s">
        <v>74</v>
      </c>
      <c r="AD655" t="s">
        <v>57</v>
      </c>
      <c r="AE655">
        <v>0</v>
      </c>
      <c r="AF655">
        <v>6</v>
      </c>
      <c r="AG655">
        <v>1</v>
      </c>
      <c r="AH655">
        <v>1.5</v>
      </c>
      <c r="AI655">
        <v>512</v>
      </c>
      <c r="AJ655">
        <v>512</v>
      </c>
      <c r="AK655">
        <v>80</v>
      </c>
      <c r="AL655" t="s">
        <v>497</v>
      </c>
      <c r="AM655">
        <v>2</v>
      </c>
      <c r="AN655" t="s">
        <v>996</v>
      </c>
      <c r="AO655" t="s">
        <v>67</v>
      </c>
      <c r="AP655" t="s">
        <v>68</v>
      </c>
      <c r="AQ655">
        <v>15</v>
      </c>
      <c r="AR655">
        <v>59</v>
      </c>
      <c r="AS655">
        <v>118</v>
      </c>
      <c r="AT655">
        <v>4.2</v>
      </c>
      <c r="AU655">
        <v>7.0960000000000001</v>
      </c>
      <c r="AV655" t="s">
        <v>2471</v>
      </c>
      <c r="AW655" t="s">
        <v>2472</v>
      </c>
      <c r="AX655" t="s">
        <v>2473</v>
      </c>
    </row>
    <row r="656" spans="1:50" x14ac:dyDescent="0.25">
      <c r="A656" t="s">
        <v>2474</v>
      </c>
      <c r="B656" t="s">
        <v>1679</v>
      </c>
      <c r="C656">
        <v>0</v>
      </c>
      <c r="D656">
        <v>0</v>
      </c>
      <c r="E656" t="s">
        <v>1703</v>
      </c>
      <c r="H656">
        <v>0</v>
      </c>
      <c r="N656">
        <v>0</v>
      </c>
      <c r="Q656">
        <v>0</v>
      </c>
      <c r="R656">
        <v>1</v>
      </c>
      <c r="U656" t="s">
        <v>65</v>
      </c>
      <c r="V656">
        <v>48</v>
      </c>
      <c r="W656" t="s">
        <v>1688</v>
      </c>
      <c r="X656" t="s">
        <v>80</v>
      </c>
      <c r="Y656">
        <v>0</v>
      </c>
      <c r="Z656">
        <v>60</v>
      </c>
      <c r="AB656" t="s">
        <v>74</v>
      </c>
      <c r="AD656" t="s">
        <v>57</v>
      </c>
      <c r="AE656">
        <v>0</v>
      </c>
      <c r="AF656">
        <v>6</v>
      </c>
      <c r="AG656">
        <v>1</v>
      </c>
      <c r="AH656">
        <v>1.5</v>
      </c>
      <c r="AI656">
        <v>512</v>
      </c>
      <c r="AJ656">
        <v>512</v>
      </c>
      <c r="AK656">
        <v>64</v>
      </c>
      <c r="AL656" t="s">
        <v>196</v>
      </c>
      <c r="AM656">
        <v>2.5</v>
      </c>
      <c r="AN656" t="s">
        <v>1531</v>
      </c>
      <c r="AO656" t="s">
        <v>1155</v>
      </c>
      <c r="AP656" t="s">
        <v>1767</v>
      </c>
      <c r="AQ656">
        <v>11</v>
      </c>
      <c r="AR656">
        <v>66.11</v>
      </c>
      <c r="AS656">
        <v>114.96</v>
      </c>
      <c r="AT656">
        <v>2.5920000000000001</v>
      </c>
      <c r="AU656">
        <v>5.1962999999999999</v>
      </c>
      <c r="AV656" t="s">
        <v>2475</v>
      </c>
      <c r="AW656" t="s">
        <v>2476</v>
      </c>
      <c r="AX656" t="s">
        <v>2477</v>
      </c>
    </row>
    <row r="657" spans="1:50" x14ac:dyDescent="0.25">
      <c r="A657" t="s">
        <v>2478</v>
      </c>
      <c r="B657" t="s">
        <v>1679</v>
      </c>
      <c r="C657">
        <v>0</v>
      </c>
      <c r="D657">
        <v>0</v>
      </c>
      <c r="E657" t="s">
        <v>1780</v>
      </c>
      <c r="H657">
        <v>0</v>
      </c>
      <c r="N657">
        <v>0</v>
      </c>
      <c r="Q657">
        <v>0</v>
      </c>
      <c r="R657">
        <v>1</v>
      </c>
      <c r="U657" t="s">
        <v>65</v>
      </c>
      <c r="V657">
        <v>64</v>
      </c>
      <c r="X657" t="s">
        <v>80</v>
      </c>
      <c r="Y657">
        <v>0</v>
      </c>
      <c r="Z657">
        <v>83.915000000000006</v>
      </c>
      <c r="AB657" t="s">
        <v>118</v>
      </c>
      <c r="AD657" t="s">
        <v>57</v>
      </c>
      <c r="AE657">
        <v>0</v>
      </c>
      <c r="AF657">
        <v>6</v>
      </c>
      <c r="AG657">
        <v>1</v>
      </c>
      <c r="AH657">
        <v>1.5</v>
      </c>
      <c r="AI657">
        <v>256</v>
      </c>
      <c r="AJ657">
        <v>256</v>
      </c>
      <c r="AK657">
        <v>56</v>
      </c>
      <c r="AL657" t="s">
        <v>119</v>
      </c>
      <c r="AM657">
        <v>2.4</v>
      </c>
      <c r="AN657" t="s">
        <v>1902</v>
      </c>
      <c r="AO657" t="s">
        <v>67</v>
      </c>
      <c r="AP657" t="s">
        <v>68</v>
      </c>
      <c r="AQ657">
        <v>15</v>
      </c>
      <c r="AR657">
        <v>230</v>
      </c>
      <c r="AS657">
        <v>461</v>
      </c>
      <c r="AT657">
        <v>4.0599999999999996</v>
      </c>
      <c r="AU657">
        <v>8.34</v>
      </c>
      <c r="AV657" t="s">
        <v>2479</v>
      </c>
      <c r="AW657" t="s">
        <v>2480</v>
      </c>
      <c r="AX657" t="s">
        <v>2481</v>
      </c>
    </row>
    <row r="658" spans="1:50" x14ac:dyDescent="0.25">
      <c r="A658" t="s">
        <v>2482</v>
      </c>
      <c r="B658" t="s">
        <v>1679</v>
      </c>
      <c r="C658">
        <v>0</v>
      </c>
      <c r="D658">
        <v>1</v>
      </c>
      <c r="E658" t="s">
        <v>1703</v>
      </c>
      <c r="H658">
        <v>0</v>
      </c>
      <c r="N658">
        <v>0</v>
      </c>
      <c r="Q658">
        <v>0</v>
      </c>
      <c r="R658">
        <v>1</v>
      </c>
      <c r="U658" t="s">
        <v>65</v>
      </c>
      <c r="V658">
        <v>41</v>
      </c>
      <c r="W658" t="s">
        <v>1688</v>
      </c>
      <c r="X658" t="s">
        <v>80</v>
      </c>
      <c r="Y658">
        <v>0</v>
      </c>
      <c r="Z658">
        <v>68</v>
      </c>
      <c r="AB658" t="s">
        <v>74</v>
      </c>
      <c r="AD658" t="s">
        <v>57</v>
      </c>
      <c r="AE658">
        <v>0</v>
      </c>
      <c r="AF658">
        <v>6</v>
      </c>
      <c r="AG658">
        <v>1</v>
      </c>
      <c r="AH658">
        <v>1.5</v>
      </c>
      <c r="AI658">
        <v>512</v>
      </c>
      <c r="AJ658">
        <v>512</v>
      </c>
      <c r="AK658">
        <v>180</v>
      </c>
      <c r="AL658" t="s">
        <v>1010</v>
      </c>
      <c r="AM658">
        <v>2</v>
      </c>
      <c r="AN658" t="s">
        <v>1154</v>
      </c>
      <c r="AO658" t="s">
        <v>1155</v>
      </c>
      <c r="AP658" t="s">
        <v>1305</v>
      </c>
      <c r="AQ658">
        <v>11</v>
      </c>
      <c r="AR658">
        <v>811</v>
      </c>
      <c r="AS658">
        <v>1410</v>
      </c>
      <c r="AT658">
        <v>2.8140000000000001</v>
      </c>
      <c r="AU658">
        <v>5.4090999999999996</v>
      </c>
      <c r="AV658" t="s">
        <v>2483</v>
      </c>
      <c r="AW658" t="s">
        <v>2484</v>
      </c>
      <c r="AX658" t="s">
        <v>2485</v>
      </c>
    </row>
    <row r="659" spans="1:50" x14ac:dyDescent="0.25">
      <c r="A659" t="s">
        <v>2486</v>
      </c>
      <c r="B659" t="s">
        <v>1679</v>
      </c>
      <c r="C659">
        <v>0</v>
      </c>
      <c r="D659">
        <v>1</v>
      </c>
      <c r="E659" t="s">
        <v>1680</v>
      </c>
      <c r="H659">
        <v>0</v>
      </c>
      <c r="N659">
        <v>1</v>
      </c>
      <c r="Q659">
        <v>0</v>
      </c>
      <c r="R659">
        <v>0</v>
      </c>
      <c r="U659" t="s">
        <v>1687</v>
      </c>
      <c r="V659">
        <v>49</v>
      </c>
      <c r="W659" t="s">
        <v>1688</v>
      </c>
      <c r="X659" t="s">
        <v>80</v>
      </c>
      <c r="Y659">
        <v>0</v>
      </c>
      <c r="AD659" t="s">
        <v>57</v>
      </c>
      <c r="AE659">
        <v>0</v>
      </c>
      <c r="AF659">
        <v>6</v>
      </c>
      <c r="AG659">
        <v>1</v>
      </c>
      <c r="AH659">
        <v>1.5</v>
      </c>
      <c r="AI659">
        <v>512</v>
      </c>
      <c r="AJ659">
        <v>512</v>
      </c>
      <c r="AK659">
        <v>80</v>
      </c>
      <c r="AL659" t="s">
        <v>497</v>
      </c>
      <c r="AM659">
        <v>2</v>
      </c>
      <c r="AN659" t="s">
        <v>1681</v>
      </c>
      <c r="AO659" t="s">
        <v>67</v>
      </c>
      <c r="AP659" t="s">
        <v>68</v>
      </c>
      <c r="AQ659">
        <v>15</v>
      </c>
      <c r="AR659">
        <v>265</v>
      </c>
      <c r="AS659">
        <v>531</v>
      </c>
      <c r="AT659">
        <v>2.7280000000000002</v>
      </c>
      <c r="AU659">
        <v>6.8220000000000001</v>
      </c>
      <c r="AV659" t="s">
        <v>2487</v>
      </c>
      <c r="AW659" t="s">
        <v>2488</v>
      </c>
      <c r="AX659" t="s">
        <v>2489</v>
      </c>
    </row>
    <row r="660" spans="1:50" x14ac:dyDescent="0.25">
      <c r="A660" t="s">
        <v>2490</v>
      </c>
      <c r="B660" t="s">
        <v>1679</v>
      </c>
      <c r="C660">
        <v>0</v>
      </c>
      <c r="D660">
        <v>0</v>
      </c>
      <c r="E660" t="s">
        <v>1780</v>
      </c>
      <c r="H660">
        <v>0</v>
      </c>
      <c r="N660">
        <v>0</v>
      </c>
      <c r="Q660">
        <v>0</v>
      </c>
      <c r="R660">
        <v>1</v>
      </c>
      <c r="U660" t="s">
        <v>65</v>
      </c>
      <c r="V660">
        <v>41</v>
      </c>
      <c r="W660" t="s">
        <v>1688</v>
      </c>
      <c r="X660" t="s">
        <v>80</v>
      </c>
      <c r="Y660">
        <v>0</v>
      </c>
      <c r="AD660" t="s">
        <v>57</v>
      </c>
      <c r="AE660">
        <v>0</v>
      </c>
      <c r="AF660">
        <v>6</v>
      </c>
      <c r="AG660">
        <v>1</v>
      </c>
      <c r="AH660">
        <v>3</v>
      </c>
      <c r="AI660">
        <v>512</v>
      </c>
      <c r="AJ660">
        <v>512</v>
      </c>
      <c r="AK660">
        <v>136</v>
      </c>
      <c r="AL660" t="s">
        <v>119</v>
      </c>
      <c r="AM660">
        <v>2.4</v>
      </c>
      <c r="AN660" t="s">
        <v>1786</v>
      </c>
      <c r="AO660" t="s">
        <v>67</v>
      </c>
      <c r="AP660" t="s">
        <v>68</v>
      </c>
      <c r="AQ660">
        <v>15</v>
      </c>
      <c r="AR660">
        <v>1334</v>
      </c>
      <c r="AS660">
        <v>2668</v>
      </c>
      <c r="AT660">
        <v>2.7959999999999998</v>
      </c>
      <c r="AU660">
        <v>7.2990000000000004</v>
      </c>
      <c r="AV660" t="s">
        <v>2491</v>
      </c>
      <c r="AW660" t="s">
        <v>2492</v>
      </c>
      <c r="AX660" t="s">
        <v>2493</v>
      </c>
    </row>
    <row r="661" spans="1:50" x14ac:dyDescent="0.25">
      <c r="A661" t="s">
        <v>2494</v>
      </c>
      <c r="B661" t="s">
        <v>1679</v>
      </c>
      <c r="C661">
        <v>0</v>
      </c>
      <c r="D661">
        <v>0</v>
      </c>
      <c r="E661" t="s">
        <v>1734</v>
      </c>
      <c r="H661">
        <v>0</v>
      </c>
      <c r="N661">
        <v>0</v>
      </c>
      <c r="Q661">
        <v>1</v>
      </c>
      <c r="R661">
        <v>1</v>
      </c>
      <c r="U661" t="s">
        <v>72</v>
      </c>
      <c r="V661">
        <v>54</v>
      </c>
      <c r="W661" t="s">
        <v>1688</v>
      </c>
      <c r="X661" t="s">
        <v>80</v>
      </c>
      <c r="Y661">
        <v>0</v>
      </c>
      <c r="AD661" t="s">
        <v>57</v>
      </c>
      <c r="AE661">
        <v>0</v>
      </c>
      <c r="AF661">
        <v>6</v>
      </c>
      <c r="AG661">
        <v>1</v>
      </c>
      <c r="AH661">
        <v>1.5</v>
      </c>
      <c r="AI661">
        <v>512</v>
      </c>
      <c r="AJ661">
        <v>512</v>
      </c>
      <c r="AK661">
        <v>72</v>
      </c>
      <c r="AL661" t="s">
        <v>119</v>
      </c>
      <c r="AM661">
        <v>2.2000000000000002</v>
      </c>
      <c r="AN661" t="s">
        <v>1072</v>
      </c>
      <c r="AO661" t="s">
        <v>67</v>
      </c>
      <c r="AP661" t="s">
        <v>68</v>
      </c>
      <c r="AQ661">
        <v>15</v>
      </c>
      <c r="AR661">
        <v>287</v>
      </c>
      <c r="AS661">
        <v>574</v>
      </c>
      <c r="AT661">
        <v>4.2359999999999998</v>
      </c>
      <c r="AU661">
        <v>8.6679999999999993</v>
      </c>
      <c r="AV661" t="s">
        <v>2495</v>
      </c>
      <c r="AW661" t="s">
        <v>2496</v>
      </c>
      <c r="AX661" t="s">
        <v>2497</v>
      </c>
    </row>
    <row r="662" spans="1:50" x14ac:dyDescent="0.25">
      <c r="A662" t="s">
        <v>2498</v>
      </c>
      <c r="B662" t="s">
        <v>1679</v>
      </c>
      <c r="C662">
        <v>0</v>
      </c>
      <c r="D662">
        <v>0</v>
      </c>
      <c r="E662" t="s">
        <v>1680</v>
      </c>
      <c r="H662">
        <v>1</v>
      </c>
      <c r="N662">
        <v>0</v>
      </c>
      <c r="Q662">
        <v>0</v>
      </c>
      <c r="R662">
        <v>1</v>
      </c>
      <c r="U662" t="s">
        <v>65</v>
      </c>
      <c r="V662">
        <v>42</v>
      </c>
      <c r="W662" t="s">
        <v>1688</v>
      </c>
      <c r="X662" t="s">
        <v>80</v>
      </c>
      <c r="Y662">
        <v>0</v>
      </c>
      <c r="Z662">
        <v>75</v>
      </c>
      <c r="AB662" t="s">
        <v>94</v>
      </c>
      <c r="AD662" t="s">
        <v>57</v>
      </c>
      <c r="AE662">
        <v>0</v>
      </c>
      <c r="AF662">
        <v>6</v>
      </c>
      <c r="AG662">
        <v>1</v>
      </c>
      <c r="AH662">
        <v>1.5</v>
      </c>
      <c r="AI662">
        <v>512</v>
      </c>
      <c r="AJ662">
        <v>512</v>
      </c>
      <c r="AK662">
        <v>160</v>
      </c>
      <c r="AL662" t="s">
        <v>1876</v>
      </c>
      <c r="AM662">
        <v>2</v>
      </c>
      <c r="AN662" t="s">
        <v>1877</v>
      </c>
      <c r="AO662" t="s">
        <v>1155</v>
      </c>
      <c r="AP662" t="s">
        <v>1767</v>
      </c>
      <c r="AQ662">
        <v>11</v>
      </c>
      <c r="AR662">
        <v>272</v>
      </c>
      <c r="AS662">
        <v>474</v>
      </c>
      <c r="AT662">
        <v>3.5449999999999999</v>
      </c>
      <c r="AU662">
        <v>7.1868999999999996</v>
      </c>
      <c r="AV662" t="s">
        <v>2499</v>
      </c>
      <c r="AW662" t="s">
        <v>2500</v>
      </c>
      <c r="AX662" t="s">
        <v>2501</v>
      </c>
    </row>
    <row r="663" spans="1:50" x14ac:dyDescent="0.25">
      <c r="A663" t="s">
        <v>2502</v>
      </c>
      <c r="B663" t="s">
        <v>1679</v>
      </c>
      <c r="C663">
        <v>0</v>
      </c>
      <c r="D663">
        <v>1</v>
      </c>
      <c r="E663" t="s">
        <v>1703</v>
      </c>
      <c r="H663">
        <v>0</v>
      </c>
      <c r="N663">
        <v>1</v>
      </c>
      <c r="Q663">
        <v>0</v>
      </c>
      <c r="R663">
        <v>0</v>
      </c>
      <c r="U663" t="s">
        <v>1687</v>
      </c>
      <c r="V663">
        <v>46</v>
      </c>
      <c r="W663" t="s">
        <v>1688</v>
      </c>
      <c r="X663" t="s">
        <v>80</v>
      </c>
      <c r="Y663">
        <v>0</v>
      </c>
      <c r="AD663" t="s">
        <v>57</v>
      </c>
      <c r="AE663">
        <v>0</v>
      </c>
      <c r="AF663">
        <v>6</v>
      </c>
      <c r="AG663">
        <v>1</v>
      </c>
      <c r="AH663">
        <v>3</v>
      </c>
      <c r="AI663">
        <v>512</v>
      </c>
      <c r="AJ663">
        <v>512</v>
      </c>
      <c r="AK663">
        <v>134</v>
      </c>
      <c r="AL663" t="s">
        <v>119</v>
      </c>
      <c r="AM663">
        <v>2.4</v>
      </c>
      <c r="AN663" t="s">
        <v>1786</v>
      </c>
      <c r="AO663" t="s">
        <v>67</v>
      </c>
      <c r="AP663" t="s">
        <v>68</v>
      </c>
      <c r="AQ663">
        <v>15</v>
      </c>
      <c r="AR663">
        <v>287</v>
      </c>
      <c r="AS663">
        <v>574</v>
      </c>
      <c r="AT663">
        <v>2.8079999999999998</v>
      </c>
      <c r="AU663">
        <v>7.3120000000000003</v>
      </c>
      <c r="AV663" t="s">
        <v>2068</v>
      </c>
      <c r="AW663" t="s">
        <v>1996</v>
      </c>
      <c r="AX663" t="s">
        <v>2503</v>
      </c>
    </row>
    <row r="664" spans="1:50" x14ac:dyDescent="0.25">
      <c r="A664" t="s">
        <v>2504</v>
      </c>
      <c r="B664" t="s">
        <v>1679</v>
      </c>
      <c r="C664">
        <v>0</v>
      </c>
      <c r="D664">
        <v>0</v>
      </c>
      <c r="E664" t="s">
        <v>1725</v>
      </c>
      <c r="H664">
        <v>1</v>
      </c>
      <c r="N664">
        <v>0</v>
      </c>
      <c r="Q664">
        <v>0</v>
      </c>
      <c r="R664">
        <v>0</v>
      </c>
      <c r="U664" t="s">
        <v>65</v>
      </c>
      <c r="V664">
        <v>59</v>
      </c>
      <c r="W664" t="s">
        <v>79</v>
      </c>
      <c r="X664" t="s">
        <v>80</v>
      </c>
      <c r="Y664">
        <v>0</v>
      </c>
      <c r="Z664">
        <v>96.614999999999995</v>
      </c>
      <c r="AB664" t="s">
        <v>56</v>
      </c>
      <c r="AD664" t="s">
        <v>57</v>
      </c>
      <c r="AE664">
        <v>0</v>
      </c>
      <c r="AF664">
        <v>6</v>
      </c>
      <c r="AG664">
        <v>1</v>
      </c>
      <c r="AH664">
        <v>1.5</v>
      </c>
      <c r="AI664">
        <v>512</v>
      </c>
      <c r="AJ664">
        <v>512</v>
      </c>
      <c r="AK664">
        <v>72</v>
      </c>
      <c r="AL664" t="s">
        <v>350</v>
      </c>
      <c r="AM664">
        <v>2.2000000000000002</v>
      </c>
      <c r="AN664" t="s">
        <v>1902</v>
      </c>
      <c r="AO664" t="s">
        <v>67</v>
      </c>
      <c r="AP664" t="s">
        <v>68</v>
      </c>
      <c r="AQ664">
        <v>15</v>
      </c>
      <c r="AR664">
        <v>324</v>
      </c>
      <c r="AS664">
        <v>649</v>
      </c>
      <c r="AT664">
        <v>3.12</v>
      </c>
      <c r="AU664">
        <v>6.4560000000000004</v>
      </c>
      <c r="AV664" t="s">
        <v>2505</v>
      </c>
      <c r="AW664" t="s">
        <v>2506</v>
      </c>
      <c r="AX664" t="s">
        <v>2507</v>
      </c>
    </row>
    <row r="665" spans="1:50" x14ac:dyDescent="0.25">
      <c r="A665" t="s">
        <v>2508</v>
      </c>
      <c r="B665" t="s">
        <v>1679</v>
      </c>
      <c r="C665">
        <v>0</v>
      </c>
      <c r="D665">
        <v>1</v>
      </c>
      <c r="E665" t="s">
        <v>1791</v>
      </c>
      <c r="H665">
        <v>0</v>
      </c>
      <c r="N665">
        <v>1</v>
      </c>
      <c r="Q665">
        <v>1</v>
      </c>
      <c r="R665">
        <v>0</v>
      </c>
      <c r="U665" t="s">
        <v>1735</v>
      </c>
      <c r="V665">
        <v>37</v>
      </c>
      <c r="W665" t="s">
        <v>1688</v>
      </c>
      <c r="X665" t="s">
        <v>80</v>
      </c>
      <c r="Y665">
        <v>0</v>
      </c>
      <c r="Z665">
        <v>60.328000000000003</v>
      </c>
      <c r="AB665" t="s">
        <v>74</v>
      </c>
      <c r="AD665" t="s">
        <v>57</v>
      </c>
      <c r="AE665">
        <v>0</v>
      </c>
      <c r="AF665">
        <v>6</v>
      </c>
      <c r="AG665">
        <v>1</v>
      </c>
      <c r="AH665">
        <v>1.5</v>
      </c>
      <c r="AI665">
        <v>512</v>
      </c>
      <c r="AJ665">
        <v>512</v>
      </c>
      <c r="AK665">
        <v>80</v>
      </c>
      <c r="AL665" t="s">
        <v>113</v>
      </c>
      <c r="AM665">
        <v>2</v>
      </c>
      <c r="AN665" t="s">
        <v>996</v>
      </c>
      <c r="AO665" t="s">
        <v>67</v>
      </c>
      <c r="AP665" t="s">
        <v>68</v>
      </c>
      <c r="AQ665">
        <v>15</v>
      </c>
      <c r="AR665">
        <v>150</v>
      </c>
      <c r="AS665">
        <v>301</v>
      </c>
      <c r="AT665">
        <v>4.2</v>
      </c>
      <c r="AU665">
        <v>7</v>
      </c>
      <c r="AV665" t="s">
        <v>2509</v>
      </c>
      <c r="AW665" t="s">
        <v>2270</v>
      </c>
      <c r="AX665" t="s">
        <v>2510</v>
      </c>
    </row>
    <row r="666" spans="1:50" x14ac:dyDescent="0.25">
      <c r="A666" t="s">
        <v>2511</v>
      </c>
      <c r="B666" t="s">
        <v>1679</v>
      </c>
      <c r="C666">
        <v>0</v>
      </c>
      <c r="D666">
        <v>1</v>
      </c>
      <c r="E666" t="s">
        <v>1780</v>
      </c>
      <c r="H666">
        <v>1</v>
      </c>
      <c r="N666">
        <v>0</v>
      </c>
      <c r="Q666">
        <v>0</v>
      </c>
      <c r="R666">
        <v>1</v>
      </c>
      <c r="U666" t="s">
        <v>65</v>
      </c>
      <c r="V666">
        <v>56</v>
      </c>
      <c r="W666" t="s">
        <v>79</v>
      </c>
      <c r="X666" t="s">
        <v>80</v>
      </c>
      <c r="Y666">
        <v>0</v>
      </c>
      <c r="Z666">
        <v>105.233</v>
      </c>
      <c r="AB666" t="s">
        <v>56</v>
      </c>
      <c r="AD666" t="s">
        <v>57</v>
      </c>
      <c r="AE666">
        <v>0</v>
      </c>
      <c r="AF666">
        <v>6</v>
      </c>
      <c r="AG666">
        <v>1</v>
      </c>
      <c r="AH666">
        <v>1.5</v>
      </c>
      <c r="AI666">
        <v>512</v>
      </c>
      <c r="AJ666">
        <v>512</v>
      </c>
      <c r="AK666">
        <v>200</v>
      </c>
      <c r="AL666" t="s">
        <v>196</v>
      </c>
      <c r="AM666">
        <v>1.6</v>
      </c>
      <c r="AN666" t="s">
        <v>1938</v>
      </c>
      <c r="AO666" t="s">
        <v>67</v>
      </c>
      <c r="AP666" t="s">
        <v>68</v>
      </c>
      <c r="AQ666">
        <v>15</v>
      </c>
      <c r="AR666">
        <v>111</v>
      </c>
      <c r="AS666">
        <v>223</v>
      </c>
      <c r="AT666">
        <v>2.2080000000000002</v>
      </c>
      <c r="AU666">
        <v>4.6120000000000001</v>
      </c>
      <c r="AV666" t="s">
        <v>2512</v>
      </c>
      <c r="AW666" t="s">
        <v>2513</v>
      </c>
      <c r="AX666" t="s">
        <v>2514</v>
      </c>
    </row>
    <row r="667" spans="1:50" x14ac:dyDescent="0.25">
      <c r="A667" t="s">
        <v>2515</v>
      </c>
      <c r="B667" t="s">
        <v>1679</v>
      </c>
      <c r="C667">
        <v>0</v>
      </c>
      <c r="D667">
        <v>0</v>
      </c>
      <c r="E667" t="s">
        <v>1839</v>
      </c>
      <c r="H667">
        <v>1</v>
      </c>
      <c r="N667">
        <v>1</v>
      </c>
      <c r="Q667">
        <v>1</v>
      </c>
      <c r="R667">
        <v>0</v>
      </c>
      <c r="U667" t="s">
        <v>1735</v>
      </c>
      <c r="V667">
        <v>50</v>
      </c>
      <c r="W667" t="s">
        <v>79</v>
      </c>
      <c r="X667" t="s">
        <v>111</v>
      </c>
      <c r="Y667">
        <v>0</v>
      </c>
      <c r="Z667">
        <v>70</v>
      </c>
      <c r="AB667" t="s">
        <v>94</v>
      </c>
      <c r="AD667" t="s">
        <v>57</v>
      </c>
      <c r="AE667">
        <v>0</v>
      </c>
      <c r="AF667">
        <v>6</v>
      </c>
      <c r="AG667">
        <v>1</v>
      </c>
      <c r="AH667">
        <v>1.5</v>
      </c>
      <c r="AI667">
        <v>512</v>
      </c>
      <c r="AJ667">
        <v>512</v>
      </c>
      <c r="AK667">
        <v>158</v>
      </c>
      <c r="AL667" t="s">
        <v>1876</v>
      </c>
      <c r="AM667">
        <v>2</v>
      </c>
      <c r="AN667" t="s">
        <v>1877</v>
      </c>
      <c r="AO667" t="s">
        <v>1155</v>
      </c>
      <c r="AP667" t="s">
        <v>1767</v>
      </c>
      <c r="AQ667">
        <v>11</v>
      </c>
      <c r="AR667">
        <v>431</v>
      </c>
      <c r="AS667">
        <v>749</v>
      </c>
      <c r="AT667">
        <v>3.5459999999999998</v>
      </c>
      <c r="AU667">
        <v>7.1889000000000003</v>
      </c>
      <c r="AV667" t="s">
        <v>2516</v>
      </c>
      <c r="AW667" t="s">
        <v>2517</v>
      </c>
      <c r="AX667" t="s">
        <v>2518</v>
      </c>
    </row>
    <row r="668" spans="1:50" x14ac:dyDescent="0.25">
      <c r="A668" t="s">
        <v>2519</v>
      </c>
      <c r="B668" t="s">
        <v>1679</v>
      </c>
      <c r="C668">
        <v>0</v>
      </c>
      <c r="D668">
        <v>0</v>
      </c>
      <c r="E668" t="s">
        <v>1686</v>
      </c>
      <c r="H668">
        <v>1</v>
      </c>
      <c r="N668">
        <v>1</v>
      </c>
      <c r="Q668">
        <v>0</v>
      </c>
      <c r="R668">
        <v>0</v>
      </c>
      <c r="U668" t="s">
        <v>1687</v>
      </c>
      <c r="V668">
        <v>58</v>
      </c>
      <c r="X668" t="s">
        <v>80</v>
      </c>
      <c r="Y668">
        <v>0</v>
      </c>
      <c r="Z668">
        <v>108.86</v>
      </c>
      <c r="AB668" t="s">
        <v>56</v>
      </c>
      <c r="AD668" t="s">
        <v>57</v>
      </c>
      <c r="AE668">
        <v>0</v>
      </c>
      <c r="AF668">
        <v>6</v>
      </c>
      <c r="AG668">
        <v>1</v>
      </c>
      <c r="AH668">
        <v>3</v>
      </c>
      <c r="AI668">
        <v>512</v>
      </c>
      <c r="AJ668">
        <v>512</v>
      </c>
      <c r="AK668">
        <v>134</v>
      </c>
      <c r="AL668" t="s">
        <v>2520</v>
      </c>
      <c r="AM668">
        <v>2.4</v>
      </c>
      <c r="AN668" t="s">
        <v>1786</v>
      </c>
      <c r="AO668" t="s">
        <v>67</v>
      </c>
      <c r="AP668" t="s">
        <v>1845</v>
      </c>
      <c r="AQ668">
        <v>15</v>
      </c>
      <c r="AR668">
        <v>465</v>
      </c>
      <c r="AS668">
        <v>931</v>
      </c>
      <c r="AT668">
        <v>4.5720000000000001</v>
      </c>
      <c r="AU668">
        <v>8.7360000000000007</v>
      </c>
      <c r="AV668" t="s">
        <v>2521</v>
      </c>
      <c r="AW668" t="s">
        <v>2522</v>
      </c>
      <c r="AX668" t="s">
        <v>2523</v>
      </c>
    </row>
    <row r="669" spans="1:50" x14ac:dyDescent="0.25">
      <c r="A669" t="s">
        <v>2524</v>
      </c>
      <c r="B669" t="s">
        <v>1679</v>
      </c>
      <c r="C669">
        <v>0</v>
      </c>
      <c r="D669">
        <v>1</v>
      </c>
      <c r="E669" t="s">
        <v>1871</v>
      </c>
      <c r="H669">
        <v>1</v>
      </c>
      <c r="N669">
        <v>1</v>
      </c>
      <c r="Q669">
        <v>1</v>
      </c>
      <c r="R669">
        <v>0</v>
      </c>
      <c r="U669" t="s">
        <v>1735</v>
      </c>
      <c r="V669">
        <v>46</v>
      </c>
      <c r="X669" t="s">
        <v>80</v>
      </c>
      <c r="Y669">
        <v>0</v>
      </c>
      <c r="Z669">
        <v>68.039000000000001</v>
      </c>
      <c r="AB669" t="s">
        <v>74</v>
      </c>
      <c r="AD669" t="s">
        <v>57</v>
      </c>
      <c r="AE669">
        <v>0</v>
      </c>
      <c r="AF669">
        <v>6</v>
      </c>
      <c r="AG669">
        <v>1</v>
      </c>
      <c r="AH669">
        <v>1.5</v>
      </c>
      <c r="AI669">
        <v>512</v>
      </c>
      <c r="AJ669">
        <v>512</v>
      </c>
      <c r="AK669">
        <v>80</v>
      </c>
      <c r="AL669" t="s">
        <v>81</v>
      </c>
      <c r="AM669">
        <v>2</v>
      </c>
      <c r="AN669" t="s">
        <v>996</v>
      </c>
      <c r="AO669" t="s">
        <v>67</v>
      </c>
      <c r="AP669" t="s">
        <v>68</v>
      </c>
      <c r="AQ669">
        <v>15</v>
      </c>
      <c r="AR669">
        <v>107</v>
      </c>
      <c r="AS669">
        <v>215</v>
      </c>
      <c r="AT669">
        <v>4.2</v>
      </c>
      <c r="AU669">
        <v>7</v>
      </c>
      <c r="AV669" t="s">
        <v>2525</v>
      </c>
      <c r="AW669" t="s">
        <v>2526</v>
      </c>
      <c r="AX669" t="s">
        <v>2527</v>
      </c>
    </row>
    <row r="670" spans="1:50" x14ac:dyDescent="0.25">
      <c r="A670" t="s">
        <v>2528</v>
      </c>
      <c r="B670" t="s">
        <v>1679</v>
      </c>
      <c r="C670">
        <v>0</v>
      </c>
      <c r="D670">
        <v>0</v>
      </c>
      <c r="E670" t="s">
        <v>1703</v>
      </c>
      <c r="H670">
        <v>0</v>
      </c>
      <c r="N670">
        <v>1</v>
      </c>
      <c r="Q670">
        <v>0</v>
      </c>
      <c r="R670">
        <v>0</v>
      </c>
      <c r="U670" t="s">
        <v>1687</v>
      </c>
      <c r="V670">
        <v>48</v>
      </c>
      <c r="W670" t="s">
        <v>1726</v>
      </c>
      <c r="X670" t="s">
        <v>80</v>
      </c>
      <c r="Y670">
        <v>0</v>
      </c>
      <c r="Z670">
        <v>86.635999999999996</v>
      </c>
      <c r="AB670" t="s">
        <v>118</v>
      </c>
      <c r="AD670" t="s">
        <v>57</v>
      </c>
      <c r="AE670">
        <v>0</v>
      </c>
      <c r="AF670">
        <v>6</v>
      </c>
      <c r="AG670">
        <v>1</v>
      </c>
      <c r="AH670">
        <v>1.5</v>
      </c>
      <c r="AI670">
        <v>512</v>
      </c>
      <c r="AJ670">
        <v>512</v>
      </c>
      <c r="AK670">
        <v>200</v>
      </c>
      <c r="AL670" t="s">
        <v>196</v>
      </c>
      <c r="AM670">
        <v>1.6</v>
      </c>
      <c r="AN670" t="s">
        <v>1938</v>
      </c>
      <c r="AO670" t="s">
        <v>67</v>
      </c>
      <c r="AP670" t="s">
        <v>68</v>
      </c>
      <c r="AQ670">
        <v>15</v>
      </c>
      <c r="AR670">
        <v>108</v>
      </c>
      <c r="AS670">
        <v>216</v>
      </c>
      <c r="AT670">
        <v>2.2080000000000002</v>
      </c>
      <c r="AU670">
        <v>4.6120000000000001</v>
      </c>
      <c r="AW670" t="s">
        <v>2529</v>
      </c>
      <c r="AX670" t="s">
        <v>2530</v>
      </c>
    </row>
    <row r="671" spans="1:50" x14ac:dyDescent="0.25">
      <c r="A671" t="s">
        <v>2531</v>
      </c>
      <c r="B671" t="s">
        <v>1679</v>
      </c>
      <c r="C671">
        <v>0</v>
      </c>
      <c r="D671">
        <v>0</v>
      </c>
      <c r="E671" t="s">
        <v>2035</v>
      </c>
      <c r="H671">
        <v>1</v>
      </c>
      <c r="N671">
        <v>1</v>
      </c>
      <c r="Q671">
        <v>1</v>
      </c>
      <c r="R671">
        <v>1</v>
      </c>
      <c r="U671" t="s">
        <v>1735</v>
      </c>
      <c r="V671">
        <v>27</v>
      </c>
      <c r="W671" t="s">
        <v>1688</v>
      </c>
      <c r="X671" t="s">
        <v>80</v>
      </c>
      <c r="Y671">
        <v>0</v>
      </c>
      <c r="Z671">
        <v>50.802351902399998</v>
      </c>
      <c r="AA671">
        <v>1.6256032533</v>
      </c>
      <c r="AB671" t="s">
        <v>74</v>
      </c>
      <c r="AD671" t="s">
        <v>57</v>
      </c>
      <c r="AE671">
        <v>0</v>
      </c>
      <c r="AF671">
        <v>6</v>
      </c>
      <c r="AG671">
        <v>1</v>
      </c>
      <c r="AH671">
        <v>3</v>
      </c>
      <c r="AI671">
        <v>1024</v>
      </c>
      <c r="AJ671">
        <v>1024</v>
      </c>
      <c r="AK671">
        <v>160</v>
      </c>
      <c r="AL671" t="s">
        <v>2532</v>
      </c>
      <c r="AM671">
        <v>1.1000000238000001</v>
      </c>
      <c r="AN671" t="s">
        <v>1741</v>
      </c>
      <c r="AO671" t="s">
        <v>59</v>
      </c>
      <c r="AP671" t="s">
        <v>124</v>
      </c>
      <c r="AQ671">
        <v>11</v>
      </c>
      <c r="AR671">
        <v>56</v>
      </c>
      <c r="AS671">
        <v>153</v>
      </c>
      <c r="AT671">
        <v>1.69</v>
      </c>
      <c r="AU671">
        <v>4.5999999999999996</v>
      </c>
      <c r="AV671" t="s">
        <v>2533</v>
      </c>
      <c r="AW671" t="s">
        <v>2534</v>
      </c>
      <c r="AX671" t="s">
        <v>2535</v>
      </c>
    </row>
    <row r="672" spans="1:50" x14ac:dyDescent="0.25">
      <c r="A672" t="s">
        <v>2536</v>
      </c>
      <c r="B672" t="s">
        <v>1679</v>
      </c>
      <c r="C672">
        <v>0</v>
      </c>
      <c r="D672">
        <v>0</v>
      </c>
      <c r="E672" t="s">
        <v>1725</v>
      </c>
      <c r="H672">
        <v>1</v>
      </c>
      <c r="N672">
        <v>0</v>
      </c>
      <c r="Q672">
        <v>0</v>
      </c>
      <c r="R672">
        <v>1</v>
      </c>
      <c r="U672" t="s">
        <v>65</v>
      </c>
      <c r="V672">
        <v>42</v>
      </c>
      <c r="W672" t="s">
        <v>1688</v>
      </c>
      <c r="X672" t="s">
        <v>321</v>
      </c>
      <c r="Y672">
        <v>0</v>
      </c>
      <c r="Z672">
        <v>67.132000000000005</v>
      </c>
      <c r="AB672" t="s">
        <v>74</v>
      </c>
      <c r="AD672" t="s">
        <v>57</v>
      </c>
      <c r="AE672">
        <v>0</v>
      </c>
      <c r="AF672">
        <v>6</v>
      </c>
      <c r="AG672">
        <v>1</v>
      </c>
      <c r="AH672">
        <v>1.5</v>
      </c>
      <c r="AI672">
        <v>512</v>
      </c>
      <c r="AJ672">
        <v>512</v>
      </c>
      <c r="AK672">
        <v>80</v>
      </c>
      <c r="AL672" t="s">
        <v>81</v>
      </c>
      <c r="AM672">
        <v>2</v>
      </c>
      <c r="AN672" t="s">
        <v>996</v>
      </c>
      <c r="AO672" t="s">
        <v>67</v>
      </c>
      <c r="AP672" t="s">
        <v>68</v>
      </c>
      <c r="AQ672">
        <v>15</v>
      </c>
      <c r="AR672">
        <v>92</v>
      </c>
      <c r="AS672">
        <v>184</v>
      </c>
      <c r="AT672">
        <v>4.2</v>
      </c>
      <c r="AU672">
        <v>7</v>
      </c>
      <c r="AV672" t="s">
        <v>2537</v>
      </c>
      <c r="AW672" t="s">
        <v>2538</v>
      </c>
      <c r="AX672" t="s">
        <v>2539</v>
      </c>
    </row>
    <row r="673" spans="1:50" x14ac:dyDescent="0.25">
      <c r="A673" t="s">
        <v>2540</v>
      </c>
      <c r="B673" t="s">
        <v>1679</v>
      </c>
      <c r="C673">
        <v>0</v>
      </c>
      <c r="D673">
        <v>1</v>
      </c>
      <c r="E673" t="s">
        <v>1740</v>
      </c>
      <c r="H673">
        <v>0</v>
      </c>
      <c r="N673">
        <v>1</v>
      </c>
      <c r="Q673">
        <v>1</v>
      </c>
      <c r="R673">
        <v>0</v>
      </c>
      <c r="U673" t="s">
        <v>1735</v>
      </c>
      <c r="V673">
        <v>66</v>
      </c>
      <c r="W673" t="s">
        <v>79</v>
      </c>
      <c r="X673" t="s">
        <v>80</v>
      </c>
      <c r="Y673">
        <v>0</v>
      </c>
      <c r="Z673">
        <v>58.06</v>
      </c>
      <c r="AB673" t="s">
        <v>74</v>
      </c>
      <c r="AD673" t="s">
        <v>57</v>
      </c>
      <c r="AE673">
        <v>0</v>
      </c>
      <c r="AF673">
        <v>6</v>
      </c>
      <c r="AG673">
        <v>1</v>
      </c>
      <c r="AH673">
        <v>1.5</v>
      </c>
      <c r="AI673">
        <v>512</v>
      </c>
      <c r="AJ673">
        <v>512</v>
      </c>
      <c r="AK673">
        <v>80</v>
      </c>
      <c r="AL673" t="s">
        <v>66</v>
      </c>
      <c r="AM673">
        <v>2</v>
      </c>
      <c r="AN673" t="s">
        <v>996</v>
      </c>
      <c r="AO673" t="s">
        <v>67</v>
      </c>
      <c r="AP673" t="s">
        <v>68</v>
      </c>
      <c r="AQ673">
        <v>15</v>
      </c>
      <c r="AR673">
        <v>120</v>
      </c>
      <c r="AS673">
        <v>241</v>
      </c>
      <c r="AT673">
        <v>4.2</v>
      </c>
      <c r="AU673">
        <v>7.0119999999999996</v>
      </c>
      <c r="AV673" t="s">
        <v>2541</v>
      </c>
      <c r="AW673" t="s">
        <v>2542</v>
      </c>
      <c r="AX673" t="s">
        <v>2543</v>
      </c>
    </row>
    <row r="674" spans="1:50" x14ac:dyDescent="0.25">
      <c r="A674" t="s">
        <v>2544</v>
      </c>
      <c r="B674" t="s">
        <v>1679</v>
      </c>
      <c r="C674">
        <v>0</v>
      </c>
      <c r="D674">
        <v>0</v>
      </c>
      <c r="E674" t="s">
        <v>1680</v>
      </c>
      <c r="H674">
        <v>1</v>
      </c>
      <c r="N674">
        <v>1</v>
      </c>
      <c r="Q674">
        <v>0</v>
      </c>
      <c r="R674">
        <v>0</v>
      </c>
      <c r="U674" t="s">
        <v>1687</v>
      </c>
      <c r="V674">
        <v>48</v>
      </c>
      <c r="W674" t="s">
        <v>1688</v>
      </c>
      <c r="X674" t="s">
        <v>80</v>
      </c>
      <c r="Y674">
        <v>0</v>
      </c>
      <c r="Z674">
        <v>83.460999999999999</v>
      </c>
      <c r="AB674" t="s">
        <v>118</v>
      </c>
      <c r="AD674" t="s">
        <v>57</v>
      </c>
      <c r="AE674">
        <v>0</v>
      </c>
      <c r="AF674">
        <v>6</v>
      </c>
      <c r="AG674">
        <v>1</v>
      </c>
      <c r="AH674">
        <v>3</v>
      </c>
      <c r="AI674">
        <v>512</v>
      </c>
      <c r="AJ674">
        <v>512</v>
      </c>
      <c r="AK674">
        <v>134</v>
      </c>
      <c r="AL674" t="s">
        <v>350</v>
      </c>
      <c r="AM674">
        <v>2.4</v>
      </c>
      <c r="AN674" t="s">
        <v>1786</v>
      </c>
      <c r="AO674" t="s">
        <v>67</v>
      </c>
      <c r="AP674" t="s">
        <v>68</v>
      </c>
      <c r="AQ674">
        <v>15</v>
      </c>
      <c r="AR674">
        <v>232</v>
      </c>
      <c r="AS674">
        <v>464</v>
      </c>
      <c r="AT674">
        <v>2.7080000000000002</v>
      </c>
      <c r="AU674">
        <v>6.5030000000000001</v>
      </c>
      <c r="AV674" t="s">
        <v>1867</v>
      </c>
      <c r="AW674" t="s">
        <v>2545</v>
      </c>
      <c r="AX674" t="s">
        <v>2546</v>
      </c>
    </row>
    <row r="675" spans="1:50" x14ac:dyDescent="0.25">
      <c r="A675" t="s">
        <v>2547</v>
      </c>
      <c r="B675" t="s">
        <v>1679</v>
      </c>
      <c r="C675">
        <v>0</v>
      </c>
      <c r="D675">
        <v>0</v>
      </c>
      <c r="E675" t="s">
        <v>1686</v>
      </c>
      <c r="H675">
        <v>1</v>
      </c>
      <c r="N675">
        <v>1</v>
      </c>
      <c r="Q675">
        <v>0</v>
      </c>
      <c r="R675">
        <v>0</v>
      </c>
      <c r="U675" t="s">
        <v>1687</v>
      </c>
      <c r="V675">
        <v>42</v>
      </c>
      <c r="W675" t="s">
        <v>1688</v>
      </c>
      <c r="X675" t="s">
        <v>80</v>
      </c>
      <c r="Y675">
        <v>0</v>
      </c>
      <c r="Z675">
        <v>80.286000000000001</v>
      </c>
      <c r="AB675" t="s">
        <v>94</v>
      </c>
      <c r="AD675" t="s">
        <v>57</v>
      </c>
      <c r="AE675">
        <v>0</v>
      </c>
      <c r="AF675">
        <v>6</v>
      </c>
      <c r="AG675">
        <v>1</v>
      </c>
      <c r="AH675">
        <v>1.5</v>
      </c>
      <c r="AI675">
        <v>512</v>
      </c>
      <c r="AJ675">
        <v>512</v>
      </c>
      <c r="AK675">
        <v>72</v>
      </c>
      <c r="AL675" t="s">
        <v>119</v>
      </c>
      <c r="AM675">
        <v>2.2000000000000002</v>
      </c>
      <c r="AN675" t="s">
        <v>1072</v>
      </c>
      <c r="AO675" t="s">
        <v>67</v>
      </c>
      <c r="AP675" t="s">
        <v>68</v>
      </c>
      <c r="AQ675">
        <v>15</v>
      </c>
      <c r="AR675">
        <v>161</v>
      </c>
      <c r="AS675">
        <v>323</v>
      </c>
      <c r="AT675">
        <v>4.2359999999999998</v>
      </c>
      <c r="AU675">
        <v>8.6679999999999993</v>
      </c>
      <c r="AV675" t="s">
        <v>2548</v>
      </c>
      <c r="AW675" t="s">
        <v>2549</v>
      </c>
      <c r="AX675" t="s">
        <v>2550</v>
      </c>
    </row>
    <row r="676" spans="1:50" x14ac:dyDescent="0.25">
      <c r="A676" t="s">
        <v>2551</v>
      </c>
      <c r="B676" t="s">
        <v>1679</v>
      </c>
      <c r="C676">
        <v>0</v>
      </c>
      <c r="D676">
        <v>0</v>
      </c>
      <c r="E676" t="s">
        <v>1680</v>
      </c>
      <c r="H676">
        <v>0</v>
      </c>
      <c r="N676">
        <v>0</v>
      </c>
      <c r="Q676">
        <v>0</v>
      </c>
      <c r="R676">
        <v>1</v>
      </c>
      <c r="U676" t="s">
        <v>65</v>
      </c>
      <c r="V676">
        <v>57</v>
      </c>
      <c r="X676" t="s">
        <v>80</v>
      </c>
      <c r="Y676">
        <v>0</v>
      </c>
      <c r="AD676" t="s">
        <v>57</v>
      </c>
      <c r="AE676">
        <v>0</v>
      </c>
      <c r="AF676">
        <v>6</v>
      </c>
      <c r="AG676">
        <v>1</v>
      </c>
      <c r="AH676">
        <v>1.5</v>
      </c>
      <c r="AI676">
        <v>512</v>
      </c>
      <c r="AJ676">
        <v>512</v>
      </c>
      <c r="AK676">
        <v>72</v>
      </c>
      <c r="AL676" t="s">
        <v>119</v>
      </c>
      <c r="AM676">
        <v>2.2000000000000002</v>
      </c>
      <c r="AN676" t="s">
        <v>1072</v>
      </c>
      <c r="AO676" t="s">
        <v>67</v>
      </c>
      <c r="AP676" t="s">
        <v>68</v>
      </c>
      <c r="AQ676">
        <v>15</v>
      </c>
      <c r="AR676">
        <v>197</v>
      </c>
      <c r="AS676">
        <v>394</v>
      </c>
      <c r="AT676">
        <v>4.2359999999999998</v>
      </c>
      <c r="AU676">
        <v>8.6679999999999993</v>
      </c>
      <c r="AV676" t="s">
        <v>2552</v>
      </c>
      <c r="AW676" t="s">
        <v>2553</v>
      </c>
      <c r="AX676" t="s">
        <v>2554</v>
      </c>
    </row>
    <row r="677" spans="1:50" x14ac:dyDescent="0.25">
      <c r="A677" t="s">
        <v>2555</v>
      </c>
      <c r="B677" t="s">
        <v>1679</v>
      </c>
      <c r="C677">
        <v>0</v>
      </c>
      <c r="D677">
        <v>0</v>
      </c>
      <c r="E677" t="s">
        <v>1703</v>
      </c>
      <c r="H677">
        <v>1</v>
      </c>
      <c r="N677">
        <v>0</v>
      </c>
      <c r="Q677">
        <v>0</v>
      </c>
      <c r="R677">
        <v>1</v>
      </c>
      <c r="U677" t="s">
        <v>65</v>
      </c>
      <c r="W677" t="s">
        <v>1726</v>
      </c>
      <c r="Y677">
        <v>0</v>
      </c>
      <c r="Z677">
        <v>67.689597985700004</v>
      </c>
      <c r="AB677" t="s">
        <v>74</v>
      </c>
      <c r="AD677" t="s">
        <v>57</v>
      </c>
      <c r="AE677">
        <v>1</v>
      </c>
      <c r="AF677">
        <v>6</v>
      </c>
      <c r="AG677">
        <v>1</v>
      </c>
      <c r="AH677">
        <v>1.5</v>
      </c>
      <c r="AI677">
        <v>256</v>
      </c>
      <c r="AJ677">
        <v>256</v>
      </c>
      <c r="AK677">
        <v>160</v>
      </c>
      <c r="AL677" t="s">
        <v>446</v>
      </c>
      <c r="AM677">
        <v>1.1000000238000001</v>
      </c>
      <c r="AN677" t="s">
        <v>1720</v>
      </c>
      <c r="AO677" t="s">
        <v>59</v>
      </c>
      <c r="AP677" t="s">
        <v>60</v>
      </c>
      <c r="AQ677">
        <v>11</v>
      </c>
      <c r="AR677">
        <v>327</v>
      </c>
      <c r="AS677">
        <v>612</v>
      </c>
      <c r="AT677">
        <v>1.43</v>
      </c>
      <c r="AU677">
        <v>4.99</v>
      </c>
      <c r="AV677" t="s">
        <v>2556</v>
      </c>
      <c r="AW677" t="s">
        <v>2557</v>
      </c>
      <c r="AX677" t="s">
        <v>2558</v>
      </c>
    </row>
    <row r="678" spans="1:50" x14ac:dyDescent="0.25">
      <c r="A678" t="s">
        <v>2559</v>
      </c>
      <c r="B678" t="s">
        <v>1679</v>
      </c>
      <c r="C678">
        <v>0</v>
      </c>
      <c r="D678">
        <v>0</v>
      </c>
      <c r="E678" t="s">
        <v>1740</v>
      </c>
      <c r="H678">
        <v>0</v>
      </c>
      <c r="N678">
        <v>1</v>
      </c>
      <c r="Q678">
        <v>1</v>
      </c>
      <c r="R678">
        <v>0</v>
      </c>
      <c r="U678" t="s">
        <v>1735</v>
      </c>
      <c r="V678">
        <v>62</v>
      </c>
      <c r="W678" t="s">
        <v>79</v>
      </c>
      <c r="X678" t="s">
        <v>80</v>
      </c>
      <c r="Y678">
        <v>0</v>
      </c>
      <c r="AD678" t="s">
        <v>57</v>
      </c>
      <c r="AE678">
        <v>0</v>
      </c>
      <c r="AF678">
        <v>6</v>
      </c>
      <c r="AG678">
        <v>1</v>
      </c>
      <c r="AH678">
        <v>1.5</v>
      </c>
      <c r="AI678">
        <v>512</v>
      </c>
      <c r="AJ678">
        <v>512</v>
      </c>
      <c r="AK678">
        <v>72</v>
      </c>
      <c r="AL678" t="s">
        <v>81</v>
      </c>
      <c r="AM678">
        <v>2.2000000000000002</v>
      </c>
      <c r="AN678" t="s">
        <v>1897</v>
      </c>
      <c r="AO678" t="s">
        <v>67</v>
      </c>
      <c r="AP678" t="s">
        <v>68</v>
      </c>
      <c r="AQ678">
        <v>15</v>
      </c>
      <c r="AR678">
        <v>473</v>
      </c>
      <c r="AS678">
        <v>947</v>
      </c>
      <c r="AT678">
        <v>4.1040000000000001</v>
      </c>
      <c r="AU678">
        <v>8.4079999999999995</v>
      </c>
      <c r="AV678" t="s">
        <v>2560</v>
      </c>
      <c r="AW678" t="s">
        <v>2561</v>
      </c>
      <c r="AX678" t="s">
        <v>2562</v>
      </c>
    </row>
    <row r="679" spans="1:50" x14ac:dyDescent="0.25">
      <c r="A679" t="s">
        <v>2563</v>
      </c>
      <c r="B679" t="s">
        <v>1679</v>
      </c>
      <c r="C679">
        <v>0</v>
      </c>
      <c r="D679">
        <v>1</v>
      </c>
      <c r="E679" t="s">
        <v>1686</v>
      </c>
      <c r="H679">
        <v>0</v>
      </c>
      <c r="N679">
        <v>1</v>
      </c>
      <c r="Q679">
        <v>0</v>
      </c>
      <c r="R679">
        <v>0</v>
      </c>
      <c r="U679" t="s">
        <v>1687</v>
      </c>
      <c r="V679">
        <v>48</v>
      </c>
      <c r="W679" t="s">
        <v>1688</v>
      </c>
      <c r="X679" t="s">
        <v>80</v>
      </c>
      <c r="Y679">
        <v>0</v>
      </c>
      <c r="Z679">
        <v>73</v>
      </c>
      <c r="AB679" t="s">
        <v>94</v>
      </c>
      <c r="AD679" t="s">
        <v>57</v>
      </c>
      <c r="AE679">
        <v>0</v>
      </c>
      <c r="AF679">
        <v>6</v>
      </c>
      <c r="AG679">
        <v>1</v>
      </c>
      <c r="AH679">
        <v>3</v>
      </c>
      <c r="AI679">
        <v>416</v>
      </c>
      <c r="AJ679">
        <v>416</v>
      </c>
      <c r="AK679">
        <v>64</v>
      </c>
      <c r="AL679" t="s">
        <v>2564</v>
      </c>
      <c r="AM679">
        <v>2.5</v>
      </c>
      <c r="AN679" t="s">
        <v>1114</v>
      </c>
      <c r="AO679" t="s">
        <v>59</v>
      </c>
      <c r="AP679" t="s">
        <v>1781</v>
      </c>
      <c r="AQ679">
        <v>11</v>
      </c>
      <c r="AR679">
        <v>146</v>
      </c>
      <c r="AS679">
        <v>366</v>
      </c>
      <c r="AT679">
        <v>1.52</v>
      </c>
      <c r="AU679">
        <v>4.74</v>
      </c>
      <c r="AV679" t="s">
        <v>2565</v>
      </c>
      <c r="AW679" t="s">
        <v>2566</v>
      </c>
      <c r="AX679" t="s">
        <v>2567</v>
      </c>
    </row>
    <row r="680" spans="1:50" x14ac:dyDescent="0.25">
      <c r="A680" t="s">
        <v>2568</v>
      </c>
      <c r="B680" t="s">
        <v>1679</v>
      </c>
      <c r="C680">
        <v>0</v>
      </c>
      <c r="D680">
        <v>0</v>
      </c>
      <c r="E680" t="s">
        <v>1725</v>
      </c>
      <c r="H680">
        <v>0</v>
      </c>
      <c r="N680">
        <v>0</v>
      </c>
      <c r="Q680">
        <v>0</v>
      </c>
      <c r="R680">
        <v>1</v>
      </c>
      <c r="U680" t="s">
        <v>65</v>
      </c>
      <c r="V680">
        <v>68</v>
      </c>
      <c r="W680" t="s">
        <v>79</v>
      </c>
      <c r="X680" t="s">
        <v>80</v>
      </c>
      <c r="Y680">
        <v>0</v>
      </c>
      <c r="Z680">
        <v>68.038864154999999</v>
      </c>
      <c r="AB680" t="s">
        <v>74</v>
      </c>
      <c r="AD680" t="s">
        <v>57</v>
      </c>
      <c r="AE680">
        <v>1</v>
      </c>
      <c r="AF680">
        <v>6</v>
      </c>
      <c r="AG680">
        <v>1</v>
      </c>
      <c r="AH680">
        <v>1.5</v>
      </c>
      <c r="AI680">
        <v>384</v>
      </c>
      <c r="AJ680">
        <v>384</v>
      </c>
      <c r="AK680">
        <v>160</v>
      </c>
      <c r="AL680" t="s">
        <v>1800</v>
      </c>
      <c r="AM680">
        <v>1</v>
      </c>
      <c r="AN680" t="s">
        <v>1741</v>
      </c>
      <c r="AO680" t="s">
        <v>59</v>
      </c>
      <c r="AP680" t="s">
        <v>60</v>
      </c>
      <c r="AQ680">
        <v>11</v>
      </c>
      <c r="AR680">
        <v>91</v>
      </c>
      <c r="AS680">
        <v>255</v>
      </c>
      <c r="AT680">
        <v>2.3199999999999998</v>
      </c>
      <c r="AU680">
        <v>5.15</v>
      </c>
      <c r="AV680" t="s">
        <v>2569</v>
      </c>
      <c r="AW680" t="s">
        <v>2570</v>
      </c>
      <c r="AX680" t="s">
        <v>2571</v>
      </c>
    </row>
    <row r="681" spans="1:50" x14ac:dyDescent="0.25">
      <c r="A681" t="s">
        <v>2572</v>
      </c>
      <c r="B681" t="s">
        <v>1679</v>
      </c>
      <c r="C681">
        <v>0</v>
      </c>
      <c r="D681">
        <v>0</v>
      </c>
      <c r="E681" t="s">
        <v>1780</v>
      </c>
      <c r="H681">
        <v>0</v>
      </c>
      <c r="N681">
        <v>0</v>
      </c>
      <c r="Q681">
        <v>0</v>
      </c>
      <c r="R681">
        <v>1</v>
      </c>
      <c r="U681" t="s">
        <v>65</v>
      </c>
      <c r="V681">
        <v>41</v>
      </c>
      <c r="W681" t="s">
        <v>1726</v>
      </c>
      <c r="X681" t="s">
        <v>80</v>
      </c>
      <c r="Y681">
        <v>0</v>
      </c>
      <c r="Z681">
        <v>74.388999999999996</v>
      </c>
      <c r="AB681" t="s">
        <v>94</v>
      </c>
      <c r="AD681" t="s">
        <v>57</v>
      </c>
      <c r="AE681">
        <v>0</v>
      </c>
      <c r="AF681">
        <v>6</v>
      </c>
      <c r="AG681">
        <v>1</v>
      </c>
      <c r="AH681">
        <v>1.5</v>
      </c>
      <c r="AI681">
        <v>512</v>
      </c>
      <c r="AJ681">
        <v>512</v>
      </c>
      <c r="AK681">
        <v>72</v>
      </c>
      <c r="AL681" t="s">
        <v>119</v>
      </c>
      <c r="AM681">
        <v>2.2000000000000002</v>
      </c>
      <c r="AN681" t="s">
        <v>1902</v>
      </c>
      <c r="AO681" t="s">
        <v>67</v>
      </c>
      <c r="AP681" t="s">
        <v>68</v>
      </c>
      <c r="AQ681">
        <v>15</v>
      </c>
      <c r="AR681">
        <v>216</v>
      </c>
      <c r="AS681">
        <v>433</v>
      </c>
      <c r="AT681">
        <v>3.1720000000000002</v>
      </c>
      <c r="AU681">
        <v>6.548</v>
      </c>
      <c r="AV681" t="s">
        <v>2235</v>
      </c>
      <c r="AW681" t="s">
        <v>2573</v>
      </c>
      <c r="AX681" t="s">
        <v>2574</v>
      </c>
    </row>
    <row r="682" spans="1:50" x14ac:dyDescent="0.25">
      <c r="A682" t="s">
        <v>2575</v>
      </c>
      <c r="B682" t="s">
        <v>1679</v>
      </c>
      <c r="C682">
        <v>0</v>
      </c>
      <c r="D682">
        <v>0</v>
      </c>
      <c r="E682" t="s">
        <v>2035</v>
      </c>
      <c r="H682">
        <v>0</v>
      </c>
      <c r="N682">
        <v>1</v>
      </c>
      <c r="Q682">
        <v>1</v>
      </c>
      <c r="R682">
        <v>0</v>
      </c>
      <c r="U682" t="s">
        <v>1735</v>
      </c>
      <c r="V682">
        <v>46</v>
      </c>
      <c r="W682" t="s">
        <v>1688</v>
      </c>
      <c r="X682" t="s">
        <v>80</v>
      </c>
      <c r="Y682">
        <v>0</v>
      </c>
      <c r="Z682">
        <v>63.503</v>
      </c>
      <c r="AB682" t="s">
        <v>74</v>
      </c>
      <c r="AD682" t="s">
        <v>57</v>
      </c>
      <c r="AE682">
        <v>0</v>
      </c>
      <c r="AF682">
        <v>6</v>
      </c>
      <c r="AG682">
        <v>1</v>
      </c>
      <c r="AH682">
        <v>1.5</v>
      </c>
      <c r="AI682">
        <v>512</v>
      </c>
      <c r="AJ682">
        <v>512</v>
      </c>
      <c r="AK682">
        <v>80</v>
      </c>
      <c r="AL682" t="s">
        <v>81</v>
      </c>
      <c r="AM682">
        <v>2</v>
      </c>
      <c r="AN682" t="s">
        <v>996</v>
      </c>
      <c r="AO682" t="s">
        <v>67</v>
      </c>
      <c r="AP682" t="s">
        <v>68</v>
      </c>
      <c r="AQ682">
        <v>15</v>
      </c>
      <c r="AR682">
        <v>106</v>
      </c>
      <c r="AS682">
        <v>212</v>
      </c>
      <c r="AT682">
        <v>4.2</v>
      </c>
      <c r="AU682">
        <v>7</v>
      </c>
      <c r="AV682" t="s">
        <v>2576</v>
      </c>
      <c r="AW682" t="s">
        <v>2577</v>
      </c>
      <c r="AX682" t="s">
        <v>2578</v>
      </c>
    </row>
    <row r="683" spans="1:50" x14ac:dyDescent="0.25">
      <c r="A683" t="s">
        <v>2579</v>
      </c>
      <c r="B683" t="s">
        <v>1679</v>
      </c>
      <c r="C683">
        <v>0</v>
      </c>
      <c r="D683">
        <v>0</v>
      </c>
      <c r="E683" t="s">
        <v>1693</v>
      </c>
      <c r="H683">
        <v>0</v>
      </c>
      <c r="N683">
        <v>0</v>
      </c>
      <c r="Q683">
        <v>0</v>
      </c>
      <c r="R683">
        <v>1</v>
      </c>
      <c r="U683" t="s">
        <v>65</v>
      </c>
      <c r="V683">
        <v>32</v>
      </c>
      <c r="W683" t="s">
        <v>1726</v>
      </c>
      <c r="X683" t="s">
        <v>80</v>
      </c>
      <c r="Y683">
        <v>0</v>
      </c>
      <c r="Z683">
        <v>61</v>
      </c>
      <c r="AB683" t="s">
        <v>74</v>
      </c>
      <c r="AD683" t="s">
        <v>57</v>
      </c>
      <c r="AE683">
        <v>0</v>
      </c>
      <c r="AF683">
        <v>6</v>
      </c>
      <c r="AG683">
        <v>1</v>
      </c>
      <c r="AH683">
        <v>3</v>
      </c>
      <c r="AI683">
        <v>512</v>
      </c>
      <c r="AJ683">
        <v>512</v>
      </c>
      <c r="AK683">
        <v>80</v>
      </c>
      <c r="AL683" t="s">
        <v>331</v>
      </c>
      <c r="AM683">
        <v>2</v>
      </c>
      <c r="AN683" t="s">
        <v>1915</v>
      </c>
      <c r="AO683" t="s">
        <v>67</v>
      </c>
      <c r="AP683" t="s">
        <v>68</v>
      </c>
      <c r="AQ683">
        <v>15</v>
      </c>
      <c r="AR683">
        <v>243</v>
      </c>
      <c r="AS683">
        <v>486</v>
      </c>
      <c r="AT683">
        <v>2.2240000000000002</v>
      </c>
      <c r="AU683">
        <v>5.9909999999999997</v>
      </c>
      <c r="AV683" t="s">
        <v>2580</v>
      </c>
      <c r="AW683" t="s">
        <v>2581</v>
      </c>
      <c r="AX683" t="s">
        <v>2582</v>
      </c>
    </row>
    <row r="684" spans="1:50" x14ac:dyDescent="0.25">
      <c r="A684" t="s">
        <v>2583</v>
      </c>
      <c r="B684" t="s">
        <v>1679</v>
      </c>
      <c r="C684">
        <v>0</v>
      </c>
      <c r="D684">
        <v>1</v>
      </c>
      <c r="E684" t="s">
        <v>1871</v>
      </c>
      <c r="H684">
        <v>1</v>
      </c>
      <c r="N684">
        <v>0</v>
      </c>
      <c r="Q684">
        <v>1</v>
      </c>
      <c r="R684">
        <v>1</v>
      </c>
      <c r="U684" t="s">
        <v>72</v>
      </c>
      <c r="V684">
        <v>56</v>
      </c>
      <c r="W684" t="s">
        <v>79</v>
      </c>
      <c r="X684" t="s">
        <v>80</v>
      </c>
      <c r="Y684">
        <v>0</v>
      </c>
      <c r="Z684">
        <v>60</v>
      </c>
      <c r="AB684" t="s">
        <v>74</v>
      </c>
      <c r="AD684" t="s">
        <v>57</v>
      </c>
      <c r="AE684">
        <v>0</v>
      </c>
      <c r="AF684">
        <v>6</v>
      </c>
      <c r="AG684">
        <v>1</v>
      </c>
      <c r="AH684">
        <v>3</v>
      </c>
      <c r="AI684">
        <v>480</v>
      </c>
      <c r="AJ684">
        <v>480</v>
      </c>
      <c r="AK684">
        <v>160</v>
      </c>
      <c r="AL684" t="s">
        <v>2584</v>
      </c>
      <c r="AM684">
        <v>2</v>
      </c>
      <c r="AN684" t="s">
        <v>1419</v>
      </c>
      <c r="AO684" t="s">
        <v>1155</v>
      </c>
      <c r="AP684" t="s">
        <v>1767</v>
      </c>
      <c r="AQ684">
        <v>15</v>
      </c>
      <c r="AR684">
        <v>261</v>
      </c>
      <c r="AS684">
        <v>522</v>
      </c>
      <c r="AT684">
        <v>1.7190000000000001</v>
      </c>
      <c r="AU684">
        <v>4</v>
      </c>
      <c r="AV684" t="s">
        <v>2585</v>
      </c>
      <c r="AW684" t="s">
        <v>2586</v>
      </c>
      <c r="AX684" t="s">
        <v>2587</v>
      </c>
    </row>
    <row r="685" spans="1:50" x14ac:dyDescent="0.25">
      <c r="A685" t="s">
        <v>2588</v>
      </c>
      <c r="B685" t="s">
        <v>1679</v>
      </c>
      <c r="C685">
        <v>0</v>
      </c>
      <c r="D685">
        <v>1</v>
      </c>
      <c r="E685" t="s">
        <v>1693</v>
      </c>
      <c r="H685">
        <v>0</v>
      </c>
      <c r="N685">
        <v>1</v>
      </c>
      <c r="Q685">
        <v>0</v>
      </c>
      <c r="R685">
        <v>1</v>
      </c>
      <c r="U685" t="s">
        <v>1687</v>
      </c>
      <c r="V685">
        <v>50</v>
      </c>
      <c r="W685" t="s">
        <v>1726</v>
      </c>
      <c r="X685" t="s">
        <v>80</v>
      </c>
      <c r="Y685">
        <v>0</v>
      </c>
      <c r="AD685" t="s">
        <v>57</v>
      </c>
      <c r="AE685">
        <v>0</v>
      </c>
      <c r="AF685">
        <v>6</v>
      </c>
      <c r="AG685">
        <v>1</v>
      </c>
      <c r="AH685">
        <v>1.5</v>
      </c>
      <c r="AI685">
        <v>512</v>
      </c>
      <c r="AJ685">
        <v>512</v>
      </c>
      <c r="AK685">
        <v>80</v>
      </c>
      <c r="AL685" t="s">
        <v>2022</v>
      </c>
      <c r="AM685">
        <v>2</v>
      </c>
      <c r="AN685" t="s">
        <v>1681</v>
      </c>
      <c r="AO685" t="s">
        <v>67</v>
      </c>
      <c r="AP685" t="s">
        <v>68</v>
      </c>
      <c r="AQ685">
        <v>15</v>
      </c>
      <c r="AR685">
        <v>534</v>
      </c>
      <c r="AS685">
        <v>1263</v>
      </c>
      <c r="AT685">
        <v>2.8279999999999998</v>
      </c>
      <c r="AU685">
        <v>7.7460000000000004</v>
      </c>
      <c r="AV685" t="s">
        <v>2589</v>
      </c>
      <c r="AW685" t="s">
        <v>2590</v>
      </c>
      <c r="AX685" t="s">
        <v>2591</v>
      </c>
    </row>
    <row r="686" spans="1:50" x14ac:dyDescent="0.25">
      <c r="A686" t="s">
        <v>2592</v>
      </c>
      <c r="B686" t="s">
        <v>1679</v>
      </c>
      <c r="C686">
        <v>0</v>
      </c>
      <c r="D686">
        <v>0</v>
      </c>
      <c r="E686" t="s">
        <v>1740</v>
      </c>
      <c r="H686">
        <v>1</v>
      </c>
      <c r="N686">
        <v>1</v>
      </c>
      <c r="Q686">
        <v>1</v>
      </c>
      <c r="R686">
        <v>0</v>
      </c>
      <c r="U686" t="s">
        <v>1735</v>
      </c>
      <c r="V686">
        <v>45</v>
      </c>
      <c r="W686" t="s">
        <v>1726</v>
      </c>
      <c r="X686" t="s">
        <v>80</v>
      </c>
      <c r="Y686">
        <v>0</v>
      </c>
      <c r="Z686">
        <v>63.503</v>
      </c>
      <c r="AB686" t="s">
        <v>74</v>
      </c>
      <c r="AD686" t="s">
        <v>57</v>
      </c>
      <c r="AE686">
        <v>0</v>
      </c>
      <c r="AF686">
        <v>6</v>
      </c>
      <c r="AG686">
        <v>1</v>
      </c>
      <c r="AH686">
        <v>1.5</v>
      </c>
      <c r="AI686">
        <v>512</v>
      </c>
      <c r="AJ686">
        <v>512</v>
      </c>
      <c r="AK686">
        <v>80</v>
      </c>
      <c r="AL686" t="s">
        <v>196</v>
      </c>
      <c r="AM686">
        <v>2</v>
      </c>
      <c r="AN686" t="s">
        <v>996</v>
      </c>
      <c r="AO686" t="s">
        <v>67</v>
      </c>
      <c r="AP686" t="s">
        <v>68</v>
      </c>
      <c r="AQ686">
        <v>15</v>
      </c>
      <c r="AR686">
        <v>98</v>
      </c>
      <c r="AS686">
        <v>196</v>
      </c>
      <c r="AT686">
        <v>4.2</v>
      </c>
      <c r="AU686">
        <v>7</v>
      </c>
      <c r="AV686" t="s">
        <v>2593</v>
      </c>
      <c r="AW686" t="s">
        <v>2594</v>
      </c>
      <c r="AX686" t="s">
        <v>2595</v>
      </c>
    </row>
    <row r="687" spans="1:50" x14ac:dyDescent="0.25">
      <c r="A687" t="s">
        <v>2596</v>
      </c>
      <c r="B687" t="s">
        <v>1679</v>
      </c>
      <c r="C687">
        <v>0</v>
      </c>
      <c r="D687">
        <v>1</v>
      </c>
      <c r="E687" t="s">
        <v>1734</v>
      </c>
      <c r="H687">
        <v>1</v>
      </c>
      <c r="N687">
        <v>1</v>
      </c>
      <c r="Q687">
        <v>1</v>
      </c>
      <c r="R687">
        <v>0</v>
      </c>
      <c r="U687" t="s">
        <v>1735</v>
      </c>
      <c r="V687">
        <v>53</v>
      </c>
      <c r="W687" t="s">
        <v>79</v>
      </c>
      <c r="X687" t="s">
        <v>80</v>
      </c>
      <c r="Y687">
        <v>0</v>
      </c>
      <c r="Z687">
        <v>52.162999999999997</v>
      </c>
      <c r="AB687" t="s">
        <v>74</v>
      </c>
      <c r="AD687" t="s">
        <v>57</v>
      </c>
      <c r="AE687">
        <v>0</v>
      </c>
      <c r="AF687">
        <v>6</v>
      </c>
      <c r="AG687">
        <v>1</v>
      </c>
      <c r="AH687">
        <v>3</v>
      </c>
      <c r="AI687">
        <v>512</v>
      </c>
      <c r="AJ687">
        <v>512</v>
      </c>
      <c r="AK687">
        <v>134</v>
      </c>
      <c r="AL687" t="s">
        <v>196</v>
      </c>
      <c r="AM687">
        <v>2.4</v>
      </c>
      <c r="AN687" t="s">
        <v>1786</v>
      </c>
      <c r="AO687" t="s">
        <v>67</v>
      </c>
      <c r="AP687" t="s">
        <v>68</v>
      </c>
      <c r="AQ687">
        <v>15</v>
      </c>
      <c r="AR687">
        <v>392</v>
      </c>
      <c r="AS687">
        <v>784</v>
      </c>
      <c r="AT687">
        <v>4.25</v>
      </c>
      <c r="AU687">
        <v>8.5500000000000007</v>
      </c>
      <c r="AV687" t="s">
        <v>2068</v>
      </c>
      <c r="AW687" t="s">
        <v>2597</v>
      </c>
      <c r="AX687" t="s">
        <v>2598</v>
      </c>
    </row>
    <row r="688" spans="1:50" x14ac:dyDescent="0.25">
      <c r="A688" t="s">
        <v>2599</v>
      </c>
      <c r="B688" t="s">
        <v>1679</v>
      </c>
      <c r="C688">
        <v>0</v>
      </c>
      <c r="D688">
        <v>0</v>
      </c>
      <c r="E688" t="s">
        <v>1698</v>
      </c>
      <c r="H688">
        <v>1</v>
      </c>
      <c r="N688">
        <v>0</v>
      </c>
      <c r="Q688">
        <v>0</v>
      </c>
      <c r="R688">
        <v>1</v>
      </c>
      <c r="U688" t="s">
        <v>65</v>
      </c>
      <c r="V688">
        <v>50</v>
      </c>
      <c r="W688" t="s">
        <v>79</v>
      </c>
      <c r="X688" t="s">
        <v>1714</v>
      </c>
      <c r="Y688">
        <v>0</v>
      </c>
      <c r="Z688">
        <v>68.040000000000006</v>
      </c>
      <c r="AB688" t="s">
        <v>74</v>
      </c>
      <c r="AD688" t="s">
        <v>57</v>
      </c>
      <c r="AE688">
        <v>0</v>
      </c>
      <c r="AF688">
        <v>6</v>
      </c>
      <c r="AG688">
        <v>1</v>
      </c>
      <c r="AH688">
        <v>3</v>
      </c>
      <c r="AI688">
        <v>512</v>
      </c>
      <c r="AJ688">
        <v>512</v>
      </c>
      <c r="AK688">
        <v>134</v>
      </c>
      <c r="AL688" t="s">
        <v>81</v>
      </c>
      <c r="AM688">
        <v>2.4</v>
      </c>
      <c r="AN688" t="s">
        <v>1786</v>
      </c>
      <c r="AO688" t="s">
        <v>67</v>
      </c>
      <c r="AP688" t="s">
        <v>1845</v>
      </c>
      <c r="AQ688">
        <v>15</v>
      </c>
      <c r="AR688">
        <v>549</v>
      </c>
      <c r="AS688">
        <v>1099</v>
      </c>
      <c r="AT688">
        <v>4.7</v>
      </c>
      <c r="AU688">
        <v>8.9559999999999995</v>
      </c>
      <c r="AV688" t="s">
        <v>2600</v>
      </c>
      <c r="AW688" t="s">
        <v>2601</v>
      </c>
      <c r="AX688" t="s">
        <v>2602</v>
      </c>
    </row>
    <row r="689" spans="1:50" x14ac:dyDescent="0.25">
      <c r="A689" t="s">
        <v>2603</v>
      </c>
      <c r="B689" t="s">
        <v>1679</v>
      </c>
      <c r="C689">
        <v>0</v>
      </c>
      <c r="D689">
        <v>1</v>
      </c>
      <c r="E689" t="s">
        <v>1680</v>
      </c>
      <c r="H689">
        <v>0</v>
      </c>
      <c r="N689">
        <v>1</v>
      </c>
      <c r="Q689">
        <v>0</v>
      </c>
      <c r="R689">
        <v>0</v>
      </c>
      <c r="U689" t="s">
        <v>1687</v>
      </c>
      <c r="V689">
        <v>64</v>
      </c>
      <c r="W689" t="s">
        <v>79</v>
      </c>
      <c r="X689" t="s">
        <v>111</v>
      </c>
      <c r="Y689">
        <v>0</v>
      </c>
      <c r="Z689">
        <v>50.802</v>
      </c>
      <c r="AB689" t="s">
        <v>74</v>
      </c>
      <c r="AD689" t="s">
        <v>57</v>
      </c>
      <c r="AE689">
        <v>0</v>
      </c>
      <c r="AF689">
        <v>6</v>
      </c>
      <c r="AG689">
        <v>1</v>
      </c>
      <c r="AH689">
        <v>1.5</v>
      </c>
      <c r="AI689">
        <v>512</v>
      </c>
      <c r="AJ689">
        <v>512</v>
      </c>
      <c r="AK689">
        <v>80</v>
      </c>
      <c r="AL689" t="s">
        <v>66</v>
      </c>
      <c r="AM689">
        <v>2</v>
      </c>
      <c r="AN689" t="s">
        <v>996</v>
      </c>
      <c r="AO689" t="s">
        <v>67</v>
      </c>
      <c r="AP689" t="s">
        <v>68</v>
      </c>
      <c r="AQ689">
        <v>15</v>
      </c>
      <c r="AR689">
        <v>228</v>
      </c>
      <c r="AS689">
        <v>457</v>
      </c>
      <c r="AT689">
        <v>4.2</v>
      </c>
      <c r="AU689">
        <v>7.0119999999999996</v>
      </c>
      <c r="AV689" t="s">
        <v>2604</v>
      </c>
      <c r="AW689" t="s">
        <v>2605</v>
      </c>
      <c r="AX689" t="s">
        <v>2606</v>
      </c>
    </row>
    <row r="690" spans="1:50" x14ac:dyDescent="0.25">
      <c r="A690" t="s">
        <v>2607</v>
      </c>
      <c r="B690" t="s">
        <v>1679</v>
      </c>
      <c r="C690">
        <v>0</v>
      </c>
      <c r="D690">
        <v>0</v>
      </c>
      <c r="E690" t="s">
        <v>2035</v>
      </c>
      <c r="H690">
        <v>0</v>
      </c>
      <c r="N690">
        <v>1</v>
      </c>
      <c r="Q690">
        <v>1</v>
      </c>
      <c r="R690">
        <v>0</v>
      </c>
      <c r="U690" t="s">
        <v>1735</v>
      </c>
      <c r="V690">
        <v>59</v>
      </c>
      <c r="W690" t="s">
        <v>79</v>
      </c>
      <c r="X690" t="s">
        <v>80</v>
      </c>
      <c r="Y690">
        <v>0</v>
      </c>
      <c r="Z690">
        <v>80</v>
      </c>
      <c r="AA690">
        <v>1.75</v>
      </c>
      <c r="AB690" t="s">
        <v>94</v>
      </c>
      <c r="AD690" t="s">
        <v>57</v>
      </c>
      <c r="AE690">
        <v>1</v>
      </c>
      <c r="AF690">
        <v>6</v>
      </c>
      <c r="AG690">
        <v>1</v>
      </c>
      <c r="AH690">
        <v>3</v>
      </c>
      <c r="AI690">
        <v>384</v>
      </c>
      <c r="AJ690">
        <v>384</v>
      </c>
      <c r="AK690">
        <v>72</v>
      </c>
      <c r="AL690" t="s">
        <v>1394</v>
      </c>
      <c r="AM690">
        <v>2.5</v>
      </c>
      <c r="AN690" t="s">
        <v>1114</v>
      </c>
      <c r="AO690" t="s">
        <v>59</v>
      </c>
      <c r="AP690" t="s">
        <v>1781</v>
      </c>
      <c r="AQ690">
        <v>11</v>
      </c>
      <c r="AR690">
        <v>164</v>
      </c>
      <c r="AS690">
        <v>372</v>
      </c>
      <c r="AT690">
        <v>1.37</v>
      </c>
      <c r="AU690">
        <v>4.32</v>
      </c>
      <c r="AV690" t="s">
        <v>2608</v>
      </c>
      <c r="AW690" t="s">
        <v>2609</v>
      </c>
      <c r="AX690" t="s">
        <v>2610</v>
      </c>
    </row>
    <row r="691" spans="1:50" x14ac:dyDescent="0.25">
      <c r="A691" t="s">
        <v>2611</v>
      </c>
      <c r="B691" t="s">
        <v>1679</v>
      </c>
      <c r="C691">
        <v>0</v>
      </c>
      <c r="D691">
        <v>0</v>
      </c>
      <c r="E691" t="s">
        <v>1780</v>
      </c>
      <c r="H691">
        <v>0</v>
      </c>
      <c r="N691">
        <v>0</v>
      </c>
      <c r="Q691">
        <v>0</v>
      </c>
      <c r="R691">
        <v>1</v>
      </c>
      <c r="U691" t="s">
        <v>65</v>
      </c>
      <c r="V691">
        <v>44</v>
      </c>
      <c r="W691" t="s">
        <v>1726</v>
      </c>
      <c r="X691" t="s">
        <v>80</v>
      </c>
      <c r="Y691">
        <v>0</v>
      </c>
      <c r="Z691">
        <v>63.503</v>
      </c>
      <c r="AB691" t="s">
        <v>74</v>
      </c>
      <c r="AD691" t="s">
        <v>57</v>
      </c>
      <c r="AE691">
        <v>0</v>
      </c>
      <c r="AF691">
        <v>6</v>
      </c>
      <c r="AG691">
        <v>1</v>
      </c>
      <c r="AH691">
        <v>1.5</v>
      </c>
      <c r="AI691">
        <v>512</v>
      </c>
      <c r="AJ691">
        <v>512</v>
      </c>
      <c r="AK691">
        <v>80</v>
      </c>
      <c r="AL691" t="s">
        <v>196</v>
      </c>
      <c r="AM691">
        <v>2</v>
      </c>
      <c r="AN691" t="s">
        <v>996</v>
      </c>
      <c r="AO691" t="s">
        <v>67</v>
      </c>
      <c r="AP691" t="s">
        <v>68</v>
      </c>
      <c r="AQ691">
        <v>15</v>
      </c>
      <c r="AR691">
        <v>116</v>
      </c>
      <c r="AS691">
        <v>233</v>
      </c>
      <c r="AT691">
        <v>4.2</v>
      </c>
      <c r="AU691">
        <v>7</v>
      </c>
      <c r="AV691" t="s">
        <v>2612</v>
      </c>
      <c r="AW691" t="s">
        <v>2529</v>
      </c>
      <c r="AX691" t="s">
        <v>2613</v>
      </c>
    </row>
    <row r="692" spans="1:50" x14ac:dyDescent="0.25">
      <c r="A692" t="s">
        <v>2614</v>
      </c>
      <c r="B692" t="s">
        <v>1679</v>
      </c>
      <c r="C692">
        <v>0</v>
      </c>
      <c r="D692">
        <v>1</v>
      </c>
      <c r="E692" t="s">
        <v>1703</v>
      </c>
      <c r="H692">
        <v>0</v>
      </c>
      <c r="N692">
        <v>1</v>
      </c>
      <c r="Q692">
        <v>0</v>
      </c>
      <c r="R692">
        <v>0</v>
      </c>
      <c r="U692" t="s">
        <v>1687</v>
      </c>
      <c r="V692">
        <v>56</v>
      </c>
      <c r="W692" t="s">
        <v>79</v>
      </c>
      <c r="X692" t="s">
        <v>80</v>
      </c>
      <c r="Y692">
        <v>0</v>
      </c>
      <c r="Z692">
        <v>83.007000000000005</v>
      </c>
      <c r="AB692" t="s">
        <v>118</v>
      </c>
      <c r="AD692" t="s">
        <v>57</v>
      </c>
      <c r="AE692">
        <v>0</v>
      </c>
      <c r="AF692">
        <v>6</v>
      </c>
      <c r="AG692">
        <v>1</v>
      </c>
      <c r="AH692">
        <v>3</v>
      </c>
      <c r="AI692">
        <v>512</v>
      </c>
      <c r="AJ692">
        <v>512</v>
      </c>
      <c r="AK692">
        <v>66</v>
      </c>
      <c r="AL692" t="s">
        <v>119</v>
      </c>
      <c r="AM692">
        <v>2.4</v>
      </c>
      <c r="AN692" t="s">
        <v>1915</v>
      </c>
      <c r="AO692" t="s">
        <v>67</v>
      </c>
      <c r="AP692" t="s">
        <v>68</v>
      </c>
      <c r="AQ692">
        <v>15</v>
      </c>
      <c r="AR692">
        <v>127</v>
      </c>
      <c r="AS692">
        <v>255</v>
      </c>
      <c r="AT692">
        <v>2.1</v>
      </c>
      <c r="AU692">
        <v>4.3040000000000003</v>
      </c>
      <c r="AV692" t="s">
        <v>2615</v>
      </c>
      <c r="AW692" t="s">
        <v>2534</v>
      </c>
      <c r="AX692" t="s">
        <v>2616</v>
      </c>
    </row>
    <row r="693" spans="1:50" x14ac:dyDescent="0.25">
      <c r="A693" t="s">
        <v>2617</v>
      </c>
      <c r="B693" t="s">
        <v>1679</v>
      </c>
      <c r="C693">
        <v>0</v>
      </c>
      <c r="D693">
        <v>0</v>
      </c>
      <c r="E693" t="s">
        <v>1740</v>
      </c>
      <c r="H693">
        <v>1</v>
      </c>
      <c r="N693">
        <v>0</v>
      </c>
      <c r="Q693">
        <v>0</v>
      </c>
      <c r="R693">
        <v>1</v>
      </c>
      <c r="U693" t="s">
        <v>65</v>
      </c>
      <c r="V693">
        <v>56</v>
      </c>
      <c r="X693" t="s">
        <v>80</v>
      </c>
      <c r="Y693">
        <v>0</v>
      </c>
      <c r="Z693">
        <v>77.111000000000004</v>
      </c>
      <c r="AB693" t="s">
        <v>94</v>
      </c>
      <c r="AD693" t="s">
        <v>57</v>
      </c>
      <c r="AE693">
        <v>0</v>
      </c>
      <c r="AF693">
        <v>6</v>
      </c>
      <c r="AG693">
        <v>1</v>
      </c>
      <c r="AH693">
        <v>1.5</v>
      </c>
      <c r="AI693">
        <v>512</v>
      </c>
      <c r="AJ693">
        <v>512</v>
      </c>
      <c r="AK693">
        <v>64</v>
      </c>
      <c r="AL693" t="s">
        <v>66</v>
      </c>
      <c r="AM693">
        <v>2</v>
      </c>
      <c r="AN693" t="s">
        <v>2618</v>
      </c>
      <c r="AO693" t="s">
        <v>67</v>
      </c>
      <c r="AP693" t="s">
        <v>68</v>
      </c>
      <c r="AQ693">
        <v>15</v>
      </c>
      <c r="AR693">
        <v>174</v>
      </c>
      <c r="AS693">
        <v>348</v>
      </c>
      <c r="AT693">
        <v>3.7160000000000002</v>
      </c>
      <c r="AU693">
        <v>7.5960000000000001</v>
      </c>
      <c r="AV693" t="s">
        <v>2619</v>
      </c>
      <c r="AW693" t="s">
        <v>2620</v>
      </c>
      <c r="AX693" t="s">
        <v>2621</v>
      </c>
    </row>
    <row r="694" spans="1:50" x14ac:dyDescent="0.25">
      <c r="A694" t="s">
        <v>2622</v>
      </c>
      <c r="B694" t="s">
        <v>1679</v>
      </c>
      <c r="C694">
        <v>0</v>
      </c>
      <c r="D694">
        <v>0</v>
      </c>
      <c r="E694" t="s">
        <v>1693</v>
      </c>
      <c r="H694">
        <v>1</v>
      </c>
      <c r="N694">
        <v>0</v>
      </c>
      <c r="Q694">
        <v>0</v>
      </c>
      <c r="R694">
        <v>1</v>
      </c>
      <c r="U694" t="s">
        <v>65</v>
      </c>
      <c r="V694">
        <v>52</v>
      </c>
      <c r="W694" t="s">
        <v>79</v>
      </c>
      <c r="X694" t="s">
        <v>111</v>
      </c>
      <c r="Y694">
        <v>0</v>
      </c>
      <c r="Z694">
        <v>51.256</v>
      </c>
      <c r="AB694" t="s">
        <v>74</v>
      </c>
      <c r="AD694" t="s">
        <v>57</v>
      </c>
      <c r="AE694">
        <v>0</v>
      </c>
      <c r="AF694">
        <v>6</v>
      </c>
      <c r="AG694">
        <v>1</v>
      </c>
      <c r="AH694">
        <v>1.5</v>
      </c>
      <c r="AI694">
        <v>512</v>
      </c>
      <c r="AJ694">
        <v>512</v>
      </c>
      <c r="AK694">
        <v>82</v>
      </c>
      <c r="AL694" t="s">
        <v>119</v>
      </c>
      <c r="AM694">
        <v>2.2000000000000002</v>
      </c>
      <c r="AN694" t="s">
        <v>1902</v>
      </c>
      <c r="AO694" t="s">
        <v>67</v>
      </c>
      <c r="AP694" t="s">
        <v>68</v>
      </c>
      <c r="AQ694">
        <v>15</v>
      </c>
      <c r="AR694">
        <v>189</v>
      </c>
      <c r="AS694">
        <v>378</v>
      </c>
      <c r="AT694">
        <v>3.1720000000000002</v>
      </c>
      <c r="AU694">
        <v>6.548</v>
      </c>
      <c r="AV694" t="s">
        <v>2623</v>
      </c>
      <c r="AW694" t="s">
        <v>2624</v>
      </c>
      <c r="AX694" t="s">
        <v>2625</v>
      </c>
    </row>
    <row r="695" spans="1:50" x14ac:dyDescent="0.25">
      <c r="A695" t="s">
        <v>2626</v>
      </c>
      <c r="B695" t="s">
        <v>1679</v>
      </c>
      <c r="C695">
        <v>0</v>
      </c>
      <c r="D695">
        <v>0</v>
      </c>
      <c r="E695" t="s">
        <v>1703</v>
      </c>
      <c r="H695">
        <v>0</v>
      </c>
      <c r="N695">
        <v>1</v>
      </c>
      <c r="Q695">
        <v>0</v>
      </c>
      <c r="R695">
        <v>1</v>
      </c>
      <c r="U695" t="s">
        <v>1687</v>
      </c>
      <c r="V695">
        <v>42</v>
      </c>
      <c r="W695" t="s">
        <v>1688</v>
      </c>
      <c r="X695" t="s">
        <v>55</v>
      </c>
      <c r="Y695">
        <v>0</v>
      </c>
      <c r="Z695">
        <v>111.5837372142</v>
      </c>
      <c r="AB695" t="s">
        <v>269</v>
      </c>
      <c r="AD695" t="s">
        <v>57</v>
      </c>
      <c r="AE695">
        <v>0</v>
      </c>
      <c r="AF695">
        <v>6</v>
      </c>
      <c r="AG695">
        <v>1</v>
      </c>
      <c r="AH695">
        <v>1.5</v>
      </c>
      <c r="AI695">
        <v>512</v>
      </c>
      <c r="AJ695">
        <v>512</v>
      </c>
      <c r="AK695">
        <v>80</v>
      </c>
      <c r="AL695" t="s">
        <v>1010</v>
      </c>
      <c r="AM695">
        <v>2</v>
      </c>
      <c r="AN695" t="s">
        <v>1011</v>
      </c>
      <c r="AO695" t="s">
        <v>59</v>
      </c>
      <c r="AP695" t="s">
        <v>60</v>
      </c>
      <c r="AQ695">
        <v>11</v>
      </c>
      <c r="AR695">
        <v>66</v>
      </c>
      <c r="AS695">
        <v>182</v>
      </c>
      <c r="AT695">
        <v>1.67</v>
      </c>
      <c r="AU695">
        <v>4.51</v>
      </c>
      <c r="AV695" t="s">
        <v>2627</v>
      </c>
      <c r="AW695" t="s">
        <v>2628</v>
      </c>
      <c r="AX695" t="s">
        <v>2629</v>
      </c>
    </row>
    <row r="696" spans="1:50" x14ac:dyDescent="0.25">
      <c r="A696" t="s">
        <v>2630</v>
      </c>
      <c r="B696" t="s">
        <v>1679</v>
      </c>
      <c r="C696">
        <v>0</v>
      </c>
      <c r="D696">
        <v>0</v>
      </c>
      <c r="E696" t="s">
        <v>1680</v>
      </c>
      <c r="H696">
        <v>1</v>
      </c>
      <c r="N696">
        <v>0</v>
      </c>
      <c r="Q696">
        <v>0</v>
      </c>
      <c r="R696">
        <v>1</v>
      </c>
      <c r="U696" t="s">
        <v>65</v>
      </c>
      <c r="V696">
        <v>62</v>
      </c>
      <c r="W696" t="s">
        <v>79</v>
      </c>
      <c r="X696" t="s">
        <v>80</v>
      </c>
      <c r="Y696">
        <v>0</v>
      </c>
      <c r="Z696">
        <v>52.162999999999997</v>
      </c>
      <c r="AB696" t="s">
        <v>74</v>
      </c>
      <c r="AD696" t="s">
        <v>57</v>
      </c>
      <c r="AE696">
        <v>0</v>
      </c>
      <c r="AF696">
        <v>6</v>
      </c>
      <c r="AG696">
        <v>1</v>
      </c>
      <c r="AH696">
        <v>3</v>
      </c>
      <c r="AI696">
        <v>512</v>
      </c>
      <c r="AJ696">
        <v>512</v>
      </c>
      <c r="AK696">
        <v>134</v>
      </c>
      <c r="AL696" t="s">
        <v>196</v>
      </c>
      <c r="AM696">
        <v>2.4</v>
      </c>
      <c r="AN696" t="s">
        <v>1786</v>
      </c>
      <c r="AO696" t="s">
        <v>67</v>
      </c>
      <c r="AP696" t="s">
        <v>68</v>
      </c>
      <c r="AQ696">
        <v>15</v>
      </c>
      <c r="AR696">
        <v>311</v>
      </c>
      <c r="AS696">
        <v>622</v>
      </c>
      <c r="AT696">
        <v>4.25</v>
      </c>
      <c r="AU696">
        <v>8.4280000000000008</v>
      </c>
      <c r="AV696" t="s">
        <v>2216</v>
      </c>
      <c r="AW696" t="s">
        <v>1899</v>
      </c>
      <c r="AX696" t="s">
        <v>2631</v>
      </c>
    </row>
    <row r="697" spans="1:50" x14ac:dyDescent="0.25">
      <c r="A697" t="s">
        <v>2632</v>
      </c>
      <c r="B697" t="s">
        <v>1679</v>
      </c>
      <c r="C697">
        <v>0</v>
      </c>
      <c r="D697">
        <v>0</v>
      </c>
      <c r="E697" t="s">
        <v>1871</v>
      </c>
      <c r="H697">
        <v>1</v>
      </c>
      <c r="N697">
        <v>1</v>
      </c>
      <c r="Q697">
        <v>1</v>
      </c>
      <c r="R697">
        <v>0</v>
      </c>
      <c r="U697" t="s">
        <v>1735</v>
      </c>
      <c r="V697">
        <v>65</v>
      </c>
      <c r="W697" t="s">
        <v>79</v>
      </c>
      <c r="X697" t="s">
        <v>80</v>
      </c>
      <c r="Y697">
        <v>0</v>
      </c>
      <c r="Z697">
        <v>72.575000000000003</v>
      </c>
      <c r="AB697" t="s">
        <v>94</v>
      </c>
      <c r="AD697" t="s">
        <v>57</v>
      </c>
      <c r="AE697">
        <v>0</v>
      </c>
      <c r="AF697">
        <v>6</v>
      </c>
      <c r="AG697">
        <v>1</v>
      </c>
      <c r="AH697">
        <v>1.5</v>
      </c>
      <c r="AI697">
        <v>512</v>
      </c>
      <c r="AJ697">
        <v>512</v>
      </c>
      <c r="AK697">
        <v>80</v>
      </c>
      <c r="AL697" t="s">
        <v>128</v>
      </c>
      <c r="AM697">
        <v>2</v>
      </c>
      <c r="AN697" t="s">
        <v>996</v>
      </c>
      <c r="AO697" t="s">
        <v>67</v>
      </c>
      <c r="AP697" t="s">
        <v>68</v>
      </c>
      <c r="AQ697">
        <v>15</v>
      </c>
      <c r="AR697">
        <v>97</v>
      </c>
      <c r="AS697">
        <v>194</v>
      </c>
      <c r="AT697">
        <v>4.2</v>
      </c>
      <c r="AU697">
        <v>7</v>
      </c>
      <c r="AV697" t="s">
        <v>2633</v>
      </c>
      <c r="AW697" t="s">
        <v>2357</v>
      </c>
      <c r="AX697" t="s">
        <v>2634</v>
      </c>
    </row>
    <row r="698" spans="1:50" x14ac:dyDescent="0.25">
      <c r="A698" t="s">
        <v>2635</v>
      </c>
      <c r="B698" t="s">
        <v>1679</v>
      </c>
      <c r="C698">
        <v>0</v>
      </c>
      <c r="D698">
        <v>0</v>
      </c>
      <c r="E698" t="s">
        <v>1734</v>
      </c>
      <c r="H698">
        <v>0</v>
      </c>
      <c r="N698">
        <v>1</v>
      </c>
      <c r="Q698">
        <v>1</v>
      </c>
      <c r="R698">
        <v>0</v>
      </c>
      <c r="U698" t="s">
        <v>1735</v>
      </c>
      <c r="V698">
        <v>71</v>
      </c>
      <c r="W698" t="s">
        <v>79</v>
      </c>
      <c r="X698" t="s">
        <v>80</v>
      </c>
      <c r="Y698">
        <v>0</v>
      </c>
      <c r="Z698">
        <v>59.420999999999999</v>
      </c>
      <c r="AB698" t="s">
        <v>74</v>
      </c>
      <c r="AD698" t="s">
        <v>57</v>
      </c>
      <c r="AE698">
        <v>0</v>
      </c>
      <c r="AF698">
        <v>6</v>
      </c>
      <c r="AG698">
        <v>1</v>
      </c>
      <c r="AH698">
        <v>3</v>
      </c>
      <c r="AI698">
        <v>512</v>
      </c>
      <c r="AJ698">
        <v>512</v>
      </c>
      <c r="AK698">
        <v>80</v>
      </c>
      <c r="AL698" t="s">
        <v>66</v>
      </c>
      <c r="AM698">
        <v>2</v>
      </c>
      <c r="AN698" t="s">
        <v>1915</v>
      </c>
      <c r="AO698" t="s">
        <v>67</v>
      </c>
      <c r="AP698" t="s">
        <v>68</v>
      </c>
      <c r="AQ698">
        <v>15</v>
      </c>
      <c r="AR698">
        <v>218</v>
      </c>
      <c r="AS698">
        <v>437</v>
      </c>
      <c r="AT698">
        <v>2.1680000000000001</v>
      </c>
      <c r="AU698">
        <v>5.5069999999999997</v>
      </c>
      <c r="AV698" t="s">
        <v>2636</v>
      </c>
      <c r="AW698" t="s">
        <v>2637</v>
      </c>
      <c r="AX698" t="s">
        <v>2638</v>
      </c>
    </row>
    <row r="699" spans="1:50" x14ac:dyDescent="0.25">
      <c r="A699" t="s">
        <v>2639</v>
      </c>
      <c r="B699" t="s">
        <v>1679</v>
      </c>
      <c r="C699">
        <v>0</v>
      </c>
      <c r="D699">
        <v>0</v>
      </c>
      <c r="E699" t="s">
        <v>1703</v>
      </c>
      <c r="H699">
        <v>0</v>
      </c>
      <c r="N699">
        <v>0</v>
      </c>
      <c r="Q699">
        <v>0</v>
      </c>
      <c r="R699">
        <v>1</v>
      </c>
      <c r="U699" t="s">
        <v>65</v>
      </c>
      <c r="V699">
        <v>40</v>
      </c>
      <c r="W699" t="s">
        <v>1688</v>
      </c>
      <c r="X699" t="s">
        <v>80</v>
      </c>
      <c r="Y699">
        <v>0</v>
      </c>
      <c r="Z699">
        <v>61.234977739500003</v>
      </c>
      <c r="AA699">
        <v>1.6764033549999999</v>
      </c>
      <c r="AB699" t="s">
        <v>74</v>
      </c>
      <c r="AD699" t="s">
        <v>57</v>
      </c>
      <c r="AE699">
        <v>1</v>
      </c>
      <c r="AF699">
        <v>6</v>
      </c>
      <c r="AG699">
        <v>1</v>
      </c>
      <c r="AH699">
        <v>1.5</v>
      </c>
      <c r="AI699">
        <v>384</v>
      </c>
      <c r="AJ699">
        <v>384</v>
      </c>
      <c r="AK699">
        <v>176</v>
      </c>
      <c r="AL699" t="s">
        <v>2036</v>
      </c>
      <c r="AM699">
        <v>1</v>
      </c>
      <c r="AN699" t="s">
        <v>1728</v>
      </c>
      <c r="AO699" t="s">
        <v>59</v>
      </c>
      <c r="AP699" t="s">
        <v>1729</v>
      </c>
      <c r="AQ699">
        <v>15</v>
      </c>
      <c r="AR699">
        <v>45</v>
      </c>
      <c r="AS699">
        <v>120</v>
      </c>
      <c r="AT699">
        <v>1.81</v>
      </c>
      <c r="AU699">
        <v>4.82</v>
      </c>
      <c r="AV699" t="s">
        <v>2640</v>
      </c>
      <c r="AW699" t="s">
        <v>2641</v>
      </c>
      <c r="AX699" t="s">
        <v>2642</v>
      </c>
    </row>
    <row r="700" spans="1:50" x14ac:dyDescent="0.25">
      <c r="A700" t="s">
        <v>2643</v>
      </c>
      <c r="B700" t="s">
        <v>1679</v>
      </c>
      <c r="C700">
        <v>0</v>
      </c>
      <c r="D700">
        <v>1</v>
      </c>
      <c r="E700" t="s">
        <v>1703</v>
      </c>
      <c r="H700">
        <v>0</v>
      </c>
      <c r="N700">
        <v>0</v>
      </c>
      <c r="Q700">
        <v>0</v>
      </c>
      <c r="R700">
        <v>1</v>
      </c>
      <c r="U700" t="s">
        <v>65</v>
      </c>
      <c r="V700">
        <v>36</v>
      </c>
      <c r="W700" t="s">
        <v>1688</v>
      </c>
      <c r="X700" t="s">
        <v>80</v>
      </c>
      <c r="Y700">
        <v>0</v>
      </c>
      <c r="Z700">
        <v>86</v>
      </c>
      <c r="AB700" t="s">
        <v>118</v>
      </c>
      <c r="AD700" t="s">
        <v>57</v>
      </c>
      <c r="AE700">
        <v>0</v>
      </c>
      <c r="AF700">
        <v>6</v>
      </c>
      <c r="AG700">
        <v>1</v>
      </c>
      <c r="AH700">
        <v>1.5</v>
      </c>
      <c r="AI700">
        <v>560</v>
      </c>
      <c r="AJ700">
        <v>560</v>
      </c>
      <c r="AK700">
        <v>64</v>
      </c>
      <c r="AL700" t="s">
        <v>2644</v>
      </c>
      <c r="AM700">
        <v>2.5</v>
      </c>
      <c r="AN700" t="s">
        <v>1531</v>
      </c>
      <c r="AO700" t="s">
        <v>1155</v>
      </c>
      <c r="AP700" t="s">
        <v>1767</v>
      </c>
      <c r="AQ700">
        <v>11</v>
      </c>
      <c r="AR700">
        <v>151.97999999999999</v>
      </c>
      <c r="AS700">
        <v>264.18</v>
      </c>
      <c r="AT700">
        <v>2.5939999999999999</v>
      </c>
      <c r="AU700">
        <v>5.1992000000000003</v>
      </c>
      <c r="AV700" t="s">
        <v>2645</v>
      </c>
      <c r="AW700" t="s">
        <v>1981</v>
      </c>
      <c r="AX700" t="s">
        <v>2646</v>
      </c>
    </row>
    <row r="701" spans="1:50" x14ac:dyDescent="0.25">
      <c r="A701" t="s">
        <v>2647</v>
      </c>
      <c r="B701" t="s">
        <v>1679</v>
      </c>
      <c r="C701">
        <v>0</v>
      </c>
      <c r="D701">
        <v>1</v>
      </c>
      <c r="E701" t="s">
        <v>1680</v>
      </c>
      <c r="H701">
        <v>0</v>
      </c>
      <c r="N701">
        <v>0</v>
      </c>
      <c r="Q701">
        <v>0</v>
      </c>
      <c r="R701">
        <v>1</v>
      </c>
      <c r="U701" t="s">
        <v>65</v>
      </c>
      <c r="V701">
        <v>41</v>
      </c>
      <c r="W701" t="s">
        <v>1688</v>
      </c>
      <c r="X701" t="s">
        <v>80</v>
      </c>
      <c r="Y701">
        <v>1</v>
      </c>
      <c r="Z701">
        <v>80.286000000000001</v>
      </c>
      <c r="AB701" t="s">
        <v>94</v>
      </c>
      <c r="AD701" t="s">
        <v>57</v>
      </c>
      <c r="AE701">
        <v>0</v>
      </c>
      <c r="AF701">
        <v>6</v>
      </c>
      <c r="AG701">
        <v>1</v>
      </c>
      <c r="AH701">
        <v>3</v>
      </c>
      <c r="AI701">
        <v>512</v>
      </c>
      <c r="AJ701">
        <v>512</v>
      </c>
      <c r="AK701">
        <v>80</v>
      </c>
      <c r="AL701" t="s">
        <v>119</v>
      </c>
      <c r="AM701">
        <v>2</v>
      </c>
      <c r="AN701" t="s">
        <v>1915</v>
      </c>
      <c r="AO701" t="s">
        <v>67</v>
      </c>
      <c r="AP701" t="s">
        <v>68</v>
      </c>
      <c r="AQ701">
        <v>15</v>
      </c>
      <c r="AR701">
        <v>286</v>
      </c>
      <c r="AS701">
        <v>572</v>
      </c>
      <c r="AT701">
        <v>2.1</v>
      </c>
      <c r="AU701">
        <v>4.3490000000000002</v>
      </c>
      <c r="AV701" t="s">
        <v>2648</v>
      </c>
      <c r="AW701" t="s">
        <v>2649</v>
      </c>
      <c r="AX701" t="s">
        <v>2650</v>
      </c>
    </row>
    <row r="702" spans="1:50" x14ac:dyDescent="0.25">
      <c r="A702" t="s">
        <v>2651</v>
      </c>
      <c r="B702" t="s">
        <v>1679</v>
      </c>
      <c r="C702">
        <v>0</v>
      </c>
      <c r="D702">
        <v>1</v>
      </c>
      <c r="E702" t="s">
        <v>1703</v>
      </c>
      <c r="H702">
        <v>0</v>
      </c>
      <c r="N702">
        <v>1</v>
      </c>
      <c r="Q702">
        <v>0</v>
      </c>
      <c r="R702">
        <v>0</v>
      </c>
      <c r="U702" t="s">
        <v>1687</v>
      </c>
      <c r="V702">
        <v>59</v>
      </c>
      <c r="W702" t="s">
        <v>79</v>
      </c>
      <c r="X702" t="s">
        <v>80</v>
      </c>
      <c r="Y702">
        <v>0</v>
      </c>
      <c r="Z702">
        <v>67.132000000000005</v>
      </c>
      <c r="AB702" t="s">
        <v>74</v>
      </c>
      <c r="AD702" t="s">
        <v>57</v>
      </c>
      <c r="AE702">
        <v>0</v>
      </c>
      <c r="AF702">
        <v>6</v>
      </c>
      <c r="AG702">
        <v>1</v>
      </c>
      <c r="AH702">
        <v>1.5</v>
      </c>
      <c r="AI702">
        <v>512</v>
      </c>
      <c r="AJ702">
        <v>512</v>
      </c>
      <c r="AK702">
        <v>66</v>
      </c>
      <c r="AL702" t="s">
        <v>66</v>
      </c>
      <c r="AM702">
        <v>2.4</v>
      </c>
      <c r="AN702" t="s">
        <v>1942</v>
      </c>
      <c r="AO702" t="s">
        <v>67</v>
      </c>
      <c r="AP702" t="s">
        <v>68</v>
      </c>
      <c r="AQ702">
        <v>15</v>
      </c>
      <c r="AR702">
        <v>414</v>
      </c>
      <c r="AS702">
        <v>828</v>
      </c>
      <c r="AT702">
        <v>3.02</v>
      </c>
      <c r="AU702">
        <v>6.2480000000000002</v>
      </c>
      <c r="AV702" t="s">
        <v>2652</v>
      </c>
      <c r="AW702" t="s">
        <v>1864</v>
      </c>
      <c r="AX702" t="s">
        <v>2653</v>
      </c>
    </row>
    <row r="703" spans="1:50" x14ac:dyDescent="0.25">
      <c r="A703" t="s">
        <v>2654</v>
      </c>
      <c r="B703" t="s">
        <v>1679</v>
      </c>
      <c r="C703">
        <v>0</v>
      </c>
      <c r="D703">
        <v>1</v>
      </c>
      <c r="E703" t="s">
        <v>1698</v>
      </c>
      <c r="H703">
        <v>0</v>
      </c>
      <c r="N703">
        <v>1</v>
      </c>
      <c r="Q703">
        <v>0</v>
      </c>
      <c r="R703">
        <v>0</v>
      </c>
      <c r="U703" t="s">
        <v>1687</v>
      </c>
      <c r="V703">
        <v>42</v>
      </c>
      <c r="W703" t="s">
        <v>1688</v>
      </c>
      <c r="X703" t="s">
        <v>80</v>
      </c>
      <c r="Y703">
        <v>0</v>
      </c>
      <c r="Z703">
        <v>61.234977739500003</v>
      </c>
      <c r="AB703" t="s">
        <v>74</v>
      </c>
      <c r="AD703" t="s">
        <v>57</v>
      </c>
      <c r="AE703">
        <v>0</v>
      </c>
      <c r="AF703">
        <v>6</v>
      </c>
      <c r="AG703">
        <v>1</v>
      </c>
      <c r="AH703">
        <v>3</v>
      </c>
      <c r="AI703">
        <v>416</v>
      </c>
      <c r="AJ703">
        <v>416</v>
      </c>
      <c r="AK703">
        <v>64</v>
      </c>
      <c r="AL703" t="s">
        <v>2564</v>
      </c>
      <c r="AM703">
        <v>2.5</v>
      </c>
      <c r="AN703" t="s">
        <v>1114</v>
      </c>
      <c r="AO703" t="s">
        <v>59</v>
      </c>
      <c r="AP703" t="s">
        <v>1781</v>
      </c>
      <c r="AQ703">
        <v>11</v>
      </c>
      <c r="AR703">
        <v>135</v>
      </c>
      <c r="AS703">
        <v>336</v>
      </c>
      <c r="AT703">
        <v>1.52</v>
      </c>
      <c r="AU703">
        <v>4.74</v>
      </c>
      <c r="AV703" t="s">
        <v>2655</v>
      </c>
      <c r="AW703" t="s">
        <v>2656</v>
      </c>
      <c r="AX703" t="s">
        <v>2657</v>
      </c>
    </row>
    <row r="704" spans="1:50" x14ac:dyDescent="0.25">
      <c r="A704" t="s">
        <v>2658</v>
      </c>
      <c r="B704" t="s">
        <v>1679</v>
      </c>
      <c r="C704">
        <v>0</v>
      </c>
      <c r="D704">
        <v>1</v>
      </c>
      <c r="E704" t="s">
        <v>2035</v>
      </c>
      <c r="H704">
        <v>0</v>
      </c>
      <c r="N704">
        <v>1</v>
      </c>
      <c r="Q704">
        <v>1</v>
      </c>
      <c r="R704">
        <v>0</v>
      </c>
      <c r="U704" t="s">
        <v>1735</v>
      </c>
      <c r="V704">
        <v>52</v>
      </c>
      <c r="W704" t="s">
        <v>1688</v>
      </c>
      <c r="X704" t="s">
        <v>80</v>
      </c>
      <c r="Y704">
        <v>0</v>
      </c>
      <c r="Z704">
        <v>88.450999999999993</v>
      </c>
      <c r="AB704" t="s">
        <v>118</v>
      </c>
      <c r="AD704" t="s">
        <v>57</v>
      </c>
      <c r="AE704">
        <v>0</v>
      </c>
      <c r="AF704">
        <v>6</v>
      </c>
      <c r="AG704">
        <v>1</v>
      </c>
      <c r="AH704">
        <v>1.5</v>
      </c>
      <c r="AI704">
        <v>512</v>
      </c>
      <c r="AJ704">
        <v>512</v>
      </c>
      <c r="AK704">
        <v>80</v>
      </c>
      <c r="AL704" t="s">
        <v>119</v>
      </c>
      <c r="AM704">
        <v>2</v>
      </c>
      <c r="AN704" t="s">
        <v>996</v>
      </c>
      <c r="AO704" t="s">
        <v>67</v>
      </c>
      <c r="AP704" t="s">
        <v>68</v>
      </c>
      <c r="AQ704">
        <v>15</v>
      </c>
      <c r="AR704">
        <v>99</v>
      </c>
      <c r="AS704">
        <v>198</v>
      </c>
      <c r="AT704">
        <v>4.2</v>
      </c>
      <c r="AU704">
        <v>7</v>
      </c>
      <c r="AV704" t="s">
        <v>2659</v>
      </c>
      <c r="AW704" t="s">
        <v>2660</v>
      </c>
      <c r="AX704" t="s">
        <v>2661</v>
      </c>
    </row>
    <row r="705" spans="1:50" x14ac:dyDescent="0.25">
      <c r="A705" t="s">
        <v>2662</v>
      </c>
      <c r="B705" t="s">
        <v>1679</v>
      </c>
      <c r="C705">
        <v>0</v>
      </c>
      <c r="D705">
        <v>0</v>
      </c>
      <c r="E705" t="s">
        <v>1725</v>
      </c>
      <c r="H705">
        <v>0</v>
      </c>
      <c r="N705">
        <v>1</v>
      </c>
      <c r="Q705">
        <v>0</v>
      </c>
      <c r="R705">
        <v>1</v>
      </c>
      <c r="U705" t="s">
        <v>1687</v>
      </c>
      <c r="V705">
        <v>45</v>
      </c>
      <c r="W705" t="s">
        <v>1688</v>
      </c>
      <c r="X705" t="s">
        <v>55</v>
      </c>
      <c r="Y705">
        <v>0</v>
      </c>
      <c r="Z705">
        <v>135.62</v>
      </c>
      <c r="AB705" t="s">
        <v>269</v>
      </c>
      <c r="AD705" t="s">
        <v>57</v>
      </c>
      <c r="AE705">
        <v>0</v>
      </c>
      <c r="AF705">
        <v>6</v>
      </c>
      <c r="AG705">
        <v>1</v>
      </c>
      <c r="AH705">
        <v>3</v>
      </c>
      <c r="AI705">
        <v>512</v>
      </c>
      <c r="AJ705">
        <v>512</v>
      </c>
      <c r="AK705">
        <v>150</v>
      </c>
      <c r="AL705" t="s">
        <v>350</v>
      </c>
      <c r="AM705">
        <v>2.4</v>
      </c>
      <c r="AN705" t="s">
        <v>1786</v>
      </c>
      <c r="AO705" t="s">
        <v>67</v>
      </c>
      <c r="AP705" t="s">
        <v>1845</v>
      </c>
      <c r="AQ705">
        <v>15</v>
      </c>
      <c r="AR705">
        <v>614</v>
      </c>
      <c r="AS705">
        <v>1229</v>
      </c>
      <c r="AT705">
        <v>4.25</v>
      </c>
      <c r="AU705">
        <v>7.9119999999999999</v>
      </c>
      <c r="AV705" t="s">
        <v>2663</v>
      </c>
      <c r="AW705" t="s">
        <v>2664</v>
      </c>
      <c r="AX705" t="s">
        <v>2665</v>
      </c>
    </row>
    <row r="706" spans="1:50" x14ac:dyDescent="0.25">
      <c r="A706" t="s">
        <v>2666</v>
      </c>
      <c r="B706" t="s">
        <v>1679</v>
      </c>
      <c r="C706">
        <v>0</v>
      </c>
      <c r="D706">
        <v>1</v>
      </c>
      <c r="E706" t="s">
        <v>1698</v>
      </c>
      <c r="H706">
        <v>1</v>
      </c>
      <c r="N706">
        <v>1</v>
      </c>
      <c r="Q706">
        <v>0</v>
      </c>
      <c r="R706">
        <v>1</v>
      </c>
      <c r="U706" t="s">
        <v>1687</v>
      </c>
      <c r="V706">
        <v>71</v>
      </c>
      <c r="W706" t="s">
        <v>79</v>
      </c>
      <c r="X706" t="s">
        <v>80</v>
      </c>
      <c r="Y706">
        <v>0</v>
      </c>
      <c r="Z706">
        <v>80.285859702899998</v>
      </c>
      <c r="AA706">
        <v>1.6764033549999999</v>
      </c>
      <c r="AB706" t="s">
        <v>94</v>
      </c>
      <c r="AD706" t="s">
        <v>57</v>
      </c>
      <c r="AE706">
        <v>0</v>
      </c>
      <c r="AF706">
        <v>6</v>
      </c>
      <c r="AG706">
        <v>1</v>
      </c>
      <c r="AH706">
        <v>3</v>
      </c>
      <c r="AI706">
        <v>512</v>
      </c>
      <c r="AJ706">
        <v>512</v>
      </c>
      <c r="AK706">
        <v>124</v>
      </c>
      <c r="AL706" t="s">
        <v>1861</v>
      </c>
      <c r="AM706">
        <v>1.2999999523000001</v>
      </c>
      <c r="AN706" t="s">
        <v>1741</v>
      </c>
      <c r="AO706" t="s">
        <v>59</v>
      </c>
      <c r="AP706" t="s">
        <v>1862</v>
      </c>
      <c r="AQ706">
        <v>11</v>
      </c>
      <c r="AR706">
        <v>32</v>
      </c>
      <c r="AS706">
        <v>84</v>
      </c>
      <c r="AT706">
        <v>1.82</v>
      </c>
      <c r="AU706">
        <v>4.72</v>
      </c>
      <c r="AV706" t="s">
        <v>2348</v>
      </c>
      <c r="AW706" t="s">
        <v>2667</v>
      </c>
      <c r="AX706" t="s">
        <v>2668</v>
      </c>
    </row>
    <row r="707" spans="1:50" x14ac:dyDescent="0.25">
      <c r="A707" t="s">
        <v>2669</v>
      </c>
      <c r="B707" t="s">
        <v>1679</v>
      </c>
      <c r="C707">
        <v>0</v>
      </c>
      <c r="D707">
        <v>0</v>
      </c>
      <c r="E707" t="s">
        <v>1740</v>
      </c>
      <c r="H707">
        <v>1</v>
      </c>
      <c r="N707">
        <v>0</v>
      </c>
      <c r="Q707">
        <v>1</v>
      </c>
      <c r="R707">
        <v>1</v>
      </c>
      <c r="U707" t="s">
        <v>72</v>
      </c>
      <c r="V707">
        <v>61</v>
      </c>
      <c r="W707" t="s">
        <v>79</v>
      </c>
      <c r="X707" t="s">
        <v>80</v>
      </c>
      <c r="Y707">
        <v>0</v>
      </c>
      <c r="Z707">
        <v>70.288682596399994</v>
      </c>
      <c r="AB707" t="s">
        <v>94</v>
      </c>
      <c r="AD707" t="s">
        <v>57</v>
      </c>
      <c r="AE707">
        <v>1</v>
      </c>
      <c r="AF707">
        <v>6</v>
      </c>
      <c r="AG707">
        <v>1</v>
      </c>
      <c r="AH707">
        <v>1.5</v>
      </c>
      <c r="AI707">
        <v>256</v>
      </c>
      <c r="AJ707">
        <v>256</v>
      </c>
      <c r="AK707">
        <v>160</v>
      </c>
      <c r="AL707" t="s">
        <v>1950</v>
      </c>
      <c r="AM707">
        <v>1.1000000238000001</v>
      </c>
      <c r="AN707" t="s">
        <v>1720</v>
      </c>
      <c r="AO707" t="s">
        <v>59</v>
      </c>
      <c r="AP707" t="s">
        <v>60</v>
      </c>
      <c r="AQ707">
        <v>11</v>
      </c>
      <c r="AR707">
        <v>86</v>
      </c>
      <c r="AS707">
        <v>234</v>
      </c>
      <c r="AT707">
        <v>1.45</v>
      </c>
      <c r="AU707">
        <v>4.99</v>
      </c>
      <c r="AV707" t="s">
        <v>2670</v>
      </c>
      <c r="AW707" t="s">
        <v>2671</v>
      </c>
      <c r="AX707" t="s">
        <v>2672</v>
      </c>
    </row>
    <row r="708" spans="1:50" x14ac:dyDescent="0.25">
      <c r="A708" t="s">
        <v>2673</v>
      </c>
      <c r="B708" t="s">
        <v>1679</v>
      </c>
      <c r="C708">
        <v>0</v>
      </c>
      <c r="D708">
        <v>0</v>
      </c>
      <c r="E708" t="s">
        <v>1780</v>
      </c>
      <c r="H708">
        <v>0</v>
      </c>
      <c r="N708">
        <v>1</v>
      </c>
      <c r="Q708">
        <v>0</v>
      </c>
      <c r="R708">
        <v>0</v>
      </c>
      <c r="U708" t="s">
        <v>1687</v>
      </c>
      <c r="V708">
        <v>55</v>
      </c>
      <c r="X708" t="s">
        <v>55</v>
      </c>
      <c r="Y708">
        <v>0</v>
      </c>
      <c r="AD708" t="s">
        <v>57</v>
      </c>
      <c r="AE708">
        <v>0</v>
      </c>
      <c r="AF708">
        <v>6</v>
      </c>
      <c r="AG708">
        <v>1</v>
      </c>
      <c r="AH708">
        <v>1.5</v>
      </c>
      <c r="AI708">
        <v>384</v>
      </c>
      <c r="AJ708">
        <v>384</v>
      </c>
      <c r="AK708">
        <v>160</v>
      </c>
      <c r="AL708" t="s">
        <v>1830</v>
      </c>
      <c r="AM708">
        <v>1</v>
      </c>
      <c r="AN708" t="s">
        <v>1741</v>
      </c>
      <c r="AO708" t="s">
        <v>59</v>
      </c>
      <c r="AP708" t="s">
        <v>60</v>
      </c>
      <c r="AQ708">
        <v>11</v>
      </c>
      <c r="AR708">
        <v>72</v>
      </c>
      <c r="AS708">
        <v>182</v>
      </c>
      <c r="AT708">
        <v>2.35</v>
      </c>
      <c r="AU708">
        <v>5.15</v>
      </c>
      <c r="AV708" t="s">
        <v>2674</v>
      </c>
      <c r="AW708" t="s">
        <v>2675</v>
      </c>
      <c r="AX708" t="s">
        <v>2676</v>
      </c>
    </row>
    <row r="709" spans="1:50" x14ac:dyDescent="0.25">
      <c r="A709" t="s">
        <v>2677</v>
      </c>
      <c r="B709" t="s">
        <v>1679</v>
      </c>
      <c r="C709">
        <v>0</v>
      </c>
      <c r="D709">
        <v>0</v>
      </c>
      <c r="E709" t="s">
        <v>1725</v>
      </c>
      <c r="H709">
        <v>1</v>
      </c>
      <c r="N709">
        <v>1</v>
      </c>
      <c r="Q709">
        <v>0</v>
      </c>
      <c r="R709">
        <v>1</v>
      </c>
      <c r="U709" t="s">
        <v>1687</v>
      </c>
      <c r="V709">
        <v>58</v>
      </c>
      <c r="X709" t="s">
        <v>80</v>
      </c>
      <c r="Y709">
        <v>0</v>
      </c>
      <c r="Z709">
        <v>93.44</v>
      </c>
      <c r="AB709" t="s">
        <v>118</v>
      </c>
      <c r="AD709" t="s">
        <v>57</v>
      </c>
      <c r="AE709">
        <v>0</v>
      </c>
      <c r="AF709">
        <v>6</v>
      </c>
      <c r="AG709">
        <v>1</v>
      </c>
      <c r="AH709">
        <v>1.5</v>
      </c>
      <c r="AI709">
        <v>512</v>
      </c>
      <c r="AJ709">
        <v>512</v>
      </c>
      <c r="AK709">
        <v>72</v>
      </c>
      <c r="AL709" t="s">
        <v>88</v>
      </c>
      <c r="AM709">
        <v>2.2000000000000002</v>
      </c>
      <c r="AN709" t="s">
        <v>996</v>
      </c>
      <c r="AO709" t="s">
        <v>67</v>
      </c>
      <c r="AP709" t="s">
        <v>68</v>
      </c>
      <c r="AQ709">
        <v>15</v>
      </c>
      <c r="AR709">
        <v>63</v>
      </c>
      <c r="AS709">
        <v>127</v>
      </c>
      <c r="AT709">
        <v>4.2</v>
      </c>
      <c r="AU709">
        <v>7</v>
      </c>
      <c r="AV709" t="s">
        <v>2678</v>
      </c>
      <c r="AW709" t="s">
        <v>2679</v>
      </c>
      <c r="AX709" t="s">
        <v>2680</v>
      </c>
    </row>
    <row r="710" spans="1:50" x14ac:dyDescent="0.25">
      <c r="A710" t="s">
        <v>2681</v>
      </c>
      <c r="B710" t="s">
        <v>1679</v>
      </c>
      <c r="C710">
        <v>0</v>
      </c>
      <c r="D710">
        <v>0</v>
      </c>
      <c r="E710" t="s">
        <v>1740</v>
      </c>
      <c r="H710">
        <v>0</v>
      </c>
      <c r="N710">
        <v>1</v>
      </c>
      <c r="Q710">
        <v>1</v>
      </c>
      <c r="R710">
        <v>0</v>
      </c>
      <c r="U710" t="s">
        <v>1735</v>
      </c>
      <c r="V710">
        <v>56</v>
      </c>
      <c r="X710" t="s">
        <v>80</v>
      </c>
      <c r="Y710">
        <v>0</v>
      </c>
      <c r="Z710">
        <v>102</v>
      </c>
      <c r="AB710" t="s">
        <v>56</v>
      </c>
      <c r="AD710" t="s">
        <v>57</v>
      </c>
      <c r="AE710">
        <v>0</v>
      </c>
      <c r="AF710">
        <v>6</v>
      </c>
      <c r="AG710">
        <v>1</v>
      </c>
      <c r="AH710">
        <v>3</v>
      </c>
      <c r="AI710">
        <v>640</v>
      </c>
      <c r="AJ710">
        <v>640</v>
      </c>
      <c r="AK710">
        <v>160</v>
      </c>
      <c r="AL710" t="s">
        <v>2431</v>
      </c>
      <c r="AM710">
        <v>2</v>
      </c>
      <c r="AN710" t="s">
        <v>1877</v>
      </c>
      <c r="AO710" t="s">
        <v>1155</v>
      </c>
      <c r="AP710" t="s">
        <v>1305</v>
      </c>
      <c r="AQ710">
        <v>11</v>
      </c>
      <c r="AR710">
        <v>333</v>
      </c>
      <c r="AS710">
        <v>578</v>
      </c>
      <c r="AT710">
        <v>4.6040000000000001</v>
      </c>
      <c r="AU710">
        <v>7.4</v>
      </c>
      <c r="AW710" t="s">
        <v>2682</v>
      </c>
      <c r="AX710" t="s">
        <v>2683</v>
      </c>
    </row>
    <row r="711" spans="1:50" x14ac:dyDescent="0.25">
      <c r="A711" t="s">
        <v>2684</v>
      </c>
      <c r="B711" t="s">
        <v>1679</v>
      </c>
      <c r="C711">
        <v>0</v>
      </c>
      <c r="D711">
        <v>0</v>
      </c>
      <c r="E711" t="s">
        <v>1693</v>
      </c>
      <c r="H711">
        <v>0</v>
      </c>
      <c r="N711">
        <v>0</v>
      </c>
      <c r="Q711">
        <v>0</v>
      </c>
      <c r="R711">
        <v>1</v>
      </c>
      <c r="U711" t="s">
        <v>65</v>
      </c>
      <c r="V711">
        <v>32</v>
      </c>
      <c r="W711" t="s">
        <v>1688</v>
      </c>
      <c r="X711" t="s">
        <v>80</v>
      </c>
      <c r="Y711">
        <v>0</v>
      </c>
      <c r="AD711" t="s">
        <v>57</v>
      </c>
      <c r="AE711">
        <v>0</v>
      </c>
      <c r="AF711">
        <v>6</v>
      </c>
      <c r="AG711">
        <v>1</v>
      </c>
      <c r="AH711">
        <v>1.5</v>
      </c>
      <c r="AI711">
        <v>384</v>
      </c>
      <c r="AJ711">
        <v>384</v>
      </c>
      <c r="AK711">
        <v>160</v>
      </c>
      <c r="AL711" t="s">
        <v>1034</v>
      </c>
      <c r="AM711">
        <v>1</v>
      </c>
      <c r="AN711" t="s">
        <v>1728</v>
      </c>
      <c r="AO711" t="s">
        <v>59</v>
      </c>
      <c r="AP711" t="s">
        <v>1729</v>
      </c>
      <c r="AQ711">
        <v>11</v>
      </c>
      <c r="AR711">
        <v>51</v>
      </c>
      <c r="AS711">
        <v>138</v>
      </c>
      <c r="AT711">
        <v>1.81</v>
      </c>
      <c r="AU711">
        <v>5.05</v>
      </c>
      <c r="AV711" t="s">
        <v>2325</v>
      </c>
      <c r="AW711" t="s">
        <v>2685</v>
      </c>
      <c r="AX711" t="s">
        <v>2686</v>
      </c>
    </row>
    <row r="712" spans="1:50" x14ac:dyDescent="0.25">
      <c r="A712" t="s">
        <v>2687</v>
      </c>
      <c r="B712" t="s">
        <v>1679</v>
      </c>
      <c r="C712">
        <v>0</v>
      </c>
      <c r="D712">
        <v>1</v>
      </c>
      <c r="E712" t="s">
        <v>1839</v>
      </c>
      <c r="H712">
        <v>0</v>
      </c>
      <c r="N712">
        <v>1</v>
      </c>
      <c r="Q712">
        <v>1</v>
      </c>
      <c r="R712">
        <v>0</v>
      </c>
      <c r="U712" t="s">
        <v>1735</v>
      </c>
      <c r="V712">
        <v>48</v>
      </c>
      <c r="W712" t="s">
        <v>1688</v>
      </c>
      <c r="X712" t="s">
        <v>80</v>
      </c>
      <c r="Y712">
        <v>0</v>
      </c>
      <c r="Z712">
        <v>77.110712708999998</v>
      </c>
      <c r="AB712" t="s">
        <v>94</v>
      </c>
      <c r="AD712" t="s">
        <v>57</v>
      </c>
      <c r="AE712">
        <v>0</v>
      </c>
      <c r="AF712">
        <v>6</v>
      </c>
      <c r="AG712">
        <v>1</v>
      </c>
      <c r="AH712">
        <v>1.5</v>
      </c>
      <c r="AI712">
        <v>512</v>
      </c>
      <c r="AJ712">
        <v>512</v>
      </c>
      <c r="AK712">
        <v>80</v>
      </c>
      <c r="AL712" t="s">
        <v>1010</v>
      </c>
      <c r="AM712">
        <v>2</v>
      </c>
      <c r="AN712" t="s">
        <v>1011</v>
      </c>
      <c r="AO712" t="s">
        <v>59</v>
      </c>
      <c r="AP712" t="s">
        <v>60</v>
      </c>
      <c r="AQ712">
        <v>11</v>
      </c>
      <c r="AR712">
        <v>60</v>
      </c>
      <c r="AS712">
        <v>158</v>
      </c>
      <c r="AT712">
        <v>1.67</v>
      </c>
      <c r="AU712">
        <v>4.51</v>
      </c>
      <c r="AV712" t="s">
        <v>2688</v>
      </c>
      <c r="AW712" t="s">
        <v>2689</v>
      </c>
      <c r="AX712" t="s">
        <v>2690</v>
      </c>
    </row>
    <row r="713" spans="1:50" x14ac:dyDescent="0.25">
      <c r="A713" t="s">
        <v>2691</v>
      </c>
      <c r="B713" t="s">
        <v>1679</v>
      </c>
      <c r="C713">
        <v>0</v>
      </c>
      <c r="D713">
        <v>0</v>
      </c>
      <c r="E713" t="s">
        <v>1703</v>
      </c>
      <c r="H713">
        <v>0</v>
      </c>
      <c r="N713">
        <v>1</v>
      </c>
      <c r="Q713">
        <v>0</v>
      </c>
      <c r="R713">
        <v>0</v>
      </c>
      <c r="U713" t="s">
        <v>1687</v>
      </c>
      <c r="V713">
        <v>58</v>
      </c>
      <c r="W713" t="s">
        <v>79</v>
      </c>
      <c r="X713" t="s">
        <v>111</v>
      </c>
      <c r="Y713">
        <v>0</v>
      </c>
      <c r="Z713">
        <v>50.8</v>
      </c>
      <c r="AB713" t="s">
        <v>74</v>
      </c>
      <c r="AD713" t="s">
        <v>57</v>
      </c>
      <c r="AE713">
        <v>0</v>
      </c>
      <c r="AF713">
        <v>6</v>
      </c>
      <c r="AG713">
        <v>1</v>
      </c>
      <c r="AH713">
        <v>1.5</v>
      </c>
      <c r="AI713">
        <v>512</v>
      </c>
      <c r="AJ713">
        <v>512</v>
      </c>
      <c r="AK713">
        <v>80</v>
      </c>
      <c r="AL713" t="s">
        <v>66</v>
      </c>
      <c r="AM713">
        <v>2</v>
      </c>
      <c r="AN713" t="s">
        <v>996</v>
      </c>
      <c r="AO713" t="s">
        <v>67</v>
      </c>
      <c r="AP713" t="s">
        <v>68</v>
      </c>
      <c r="AQ713">
        <v>15</v>
      </c>
      <c r="AR713">
        <v>25</v>
      </c>
      <c r="AS713">
        <v>50</v>
      </c>
      <c r="AT713">
        <v>4.2</v>
      </c>
      <c r="AU713">
        <v>7.0720000000000001</v>
      </c>
      <c r="AV713" t="s">
        <v>2692</v>
      </c>
      <c r="AW713" t="s">
        <v>2693</v>
      </c>
      <c r="AX713" t="s">
        <v>2694</v>
      </c>
    </row>
    <row r="714" spans="1:50" x14ac:dyDescent="0.25">
      <c r="A714" t="s">
        <v>2695</v>
      </c>
      <c r="B714" t="s">
        <v>1679</v>
      </c>
      <c r="C714">
        <v>0</v>
      </c>
      <c r="D714">
        <v>0</v>
      </c>
      <c r="E714" t="s">
        <v>1703</v>
      </c>
      <c r="H714">
        <v>1</v>
      </c>
      <c r="N714">
        <v>1</v>
      </c>
      <c r="Q714">
        <v>0</v>
      </c>
      <c r="R714">
        <v>1</v>
      </c>
      <c r="U714" t="s">
        <v>1687</v>
      </c>
      <c r="V714">
        <v>36</v>
      </c>
      <c r="X714" t="s">
        <v>80</v>
      </c>
      <c r="Y714">
        <v>0</v>
      </c>
      <c r="Z714">
        <v>86</v>
      </c>
      <c r="AB714" t="s">
        <v>118</v>
      </c>
      <c r="AD714" t="s">
        <v>57</v>
      </c>
      <c r="AE714">
        <v>0</v>
      </c>
      <c r="AF714">
        <v>6</v>
      </c>
      <c r="AG714">
        <v>1</v>
      </c>
      <c r="AH714">
        <v>1.5</v>
      </c>
      <c r="AI714">
        <v>400</v>
      </c>
      <c r="AJ714">
        <v>400</v>
      </c>
      <c r="AK714">
        <v>64</v>
      </c>
      <c r="AL714" t="s">
        <v>1924</v>
      </c>
      <c r="AM714">
        <v>2.5</v>
      </c>
      <c r="AN714" t="s">
        <v>1531</v>
      </c>
      <c r="AO714" t="s">
        <v>1155</v>
      </c>
      <c r="AP714" t="s">
        <v>1767</v>
      </c>
      <c r="AQ714">
        <v>11</v>
      </c>
      <c r="AR714">
        <v>74.400000000000006</v>
      </c>
      <c r="AS714">
        <v>129.46</v>
      </c>
      <c r="AT714">
        <v>2.5979999999999999</v>
      </c>
      <c r="AU714">
        <v>5.2080000000000002</v>
      </c>
      <c r="AV714" t="s">
        <v>2696</v>
      </c>
      <c r="AW714" t="s">
        <v>2697</v>
      </c>
      <c r="AX714" t="s">
        <v>2698</v>
      </c>
    </row>
    <row r="715" spans="1:50" x14ac:dyDescent="0.25">
      <c r="A715" t="s">
        <v>2699</v>
      </c>
      <c r="B715" t="s">
        <v>1679</v>
      </c>
      <c r="C715">
        <v>0</v>
      </c>
      <c r="D715">
        <v>1</v>
      </c>
      <c r="E715" t="s">
        <v>1686</v>
      </c>
      <c r="H715">
        <v>0</v>
      </c>
      <c r="N715">
        <v>1</v>
      </c>
      <c r="Q715">
        <v>0</v>
      </c>
      <c r="R715">
        <v>0</v>
      </c>
      <c r="U715" t="s">
        <v>1687</v>
      </c>
      <c r="V715">
        <v>73</v>
      </c>
      <c r="X715" t="s">
        <v>80</v>
      </c>
      <c r="Y715">
        <v>0</v>
      </c>
      <c r="Z715">
        <v>90.718000000000004</v>
      </c>
      <c r="AB715" t="s">
        <v>118</v>
      </c>
      <c r="AD715" t="s">
        <v>57</v>
      </c>
      <c r="AE715">
        <v>0</v>
      </c>
      <c r="AF715">
        <v>6</v>
      </c>
      <c r="AG715">
        <v>1</v>
      </c>
      <c r="AH715">
        <v>1.5</v>
      </c>
      <c r="AI715">
        <v>512</v>
      </c>
      <c r="AJ715">
        <v>512</v>
      </c>
      <c r="AK715">
        <v>66</v>
      </c>
      <c r="AL715" t="s">
        <v>153</v>
      </c>
      <c r="AM715">
        <v>2.4</v>
      </c>
      <c r="AN715" t="s">
        <v>1942</v>
      </c>
      <c r="AO715" t="s">
        <v>67</v>
      </c>
      <c r="AP715" t="s">
        <v>68</v>
      </c>
      <c r="AQ715">
        <v>15</v>
      </c>
      <c r="AR715">
        <v>290</v>
      </c>
      <c r="AS715">
        <v>581</v>
      </c>
      <c r="AT715">
        <v>2.972</v>
      </c>
      <c r="AU715">
        <v>6.1879999999999997</v>
      </c>
      <c r="AV715" t="s">
        <v>2700</v>
      </c>
      <c r="AW715" t="s">
        <v>2701</v>
      </c>
      <c r="AX715" t="s">
        <v>2702</v>
      </c>
    </row>
    <row r="716" spans="1:50" x14ac:dyDescent="0.25">
      <c r="A716" t="s">
        <v>2703</v>
      </c>
      <c r="B716" t="s">
        <v>1679</v>
      </c>
      <c r="C716">
        <v>0</v>
      </c>
      <c r="D716">
        <v>1</v>
      </c>
      <c r="E716" t="s">
        <v>1740</v>
      </c>
      <c r="H716">
        <v>0</v>
      </c>
      <c r="N716">
        <v>0</v>
      </c>
      <c r="Q716">
        <v>1</v>
      </c>
      <c r="R716">
        <v>0</v>
      </c>
      <c r="U716" t="s">
        <v>72</v>
      </c>
      <c r="V716">
        <v>51</v>
      </c>
      <c r="W716" t="s">
        <v>1726</v>
      </c>
      <c r="X716" t="s">
        <v>80</v>
      </c>
      <c r="Y716">
        <v>0</v>
      </c>
      <c r="Z716">
        <v>50.802</v>
      </c>
      <c r="AB716" t="s">
        <v>74</v>
      </c>
      <c r="AD716" t="s">
        <v>57</v>
      </c>
      <c r="AE716">
        <v>0</v>
      </c>
      <c r="AF716">
        <v>6</v>
      </c>
      <c r="AG716">
        <v>1</v>
      </c>
      <c r="AH716">
        <v>1.5</v>
      </c>
      <c r="AI716">
        <v>512</v>
      </c>
      <c r="AJ716">
        <v>512</v>
      </c>
      <c r="AK716">
        <v>80</v>
      </c>
      <c r="AL716" t="s">
        <v>497</v>
      </c>
      <c r="AM716">
        <v>2</v>
      </c>
      <c r="AN716" t="s">
        <v>996</v>
      </c>
      <c r="AO716" t="s">
        <v>67</v>
      </c>
      <c r="AP716" t="s">
        <v>68</v>
      </c>
      <c r="AQ716">
        <v>15</v>
      </c>
      <c r="AR716">
        <v>108</v>
      </c>
      <c r="AS716">
        <v>216</v>
      </c>
      <c r="AT716">
        <v>4.2</v>
      </c>
      <c r="AU716">
        <v>7.0359999999999996</v>
      </c>
      <c r="AV716" t="s">
        <v>2704</v>
      </c>
      <c r="AW716" t="s">
        <v>2705</v>
      </c>
      <c r="AX716" t="s">
        <v>2706</v>
      </c>
    </row>
    <row r="717" spans="1:50" x14ac:dyDescent="0.25">
      <c r="A717" t="s">
        <v>2707</v>
      </c>
      <c r="B717" t="s">
        <v>1679</v>
      </c>
      <c r="C717">
        <v>0</v>
      </c>
      <c r="D717">
        <v>1</v>
      </c>
      <c r="E717" t="s">
        <v>1680</v>
      </c>
      <c r="H717">
        <v>0</v>
      </c>
      <c r="N717">
        <v>1</v>
      </c>
      <c r="Q717">
        <v>0</v>
      </c>
      <c r="R717">
        <v>1</v>
      </c>
      <c r="U717" t="s">
        <v>1687</v>
      </c>
      <c r="V717">
        <v>46</v>
      </c>
      <c r="W717" t="s">
        <v>1688</v>
      </c>
      <c r="X717" t="s">
        <v>80</v>
      </c>
      <c r="Y717">
        <v>0</v>
      </c>
      <c r="Z717">
        <v>74.843000000000004</v>
      </c>
      <c r="AB717" t="s">
        <v>94</v>
      </c>
      <c r="AD717" t="s">
        <v>57</v>
      </c>
      <c r="AE717">
        <v>0</v>
      </c>
      <c r="AF717">
        <v>6</v>
      </c>
      <c r="AG717">
        <v>1</v>
      </c>
      <c r="AH717">
        <v>1.5</v>
      </c>
      <c r="AI717">
        <v>512</v>
      </c>
      <c r="AJ717">
        <v>512</v>
      </c>
      <c r="AK717">
        <v>66</v>
      </c>
      <c r="AL717" t="s">
        <v>66</v>
      </c>
      <c r="AM717">
        <v>2.4</v>
      </c>
      <c r="AN717" t="s">
        <v>1897</v>
      </c>
      <c r="AO717" t="s">
        <v>67</v>
      </c>
      <c r="AP717" t="s">
        <v>68</v>
      </c>
      <c r="AQ717">
        <v>15</v>
      </c>
      <c r="AR717">
        <v>173</v>
      </c>
      <c r="AS717">
        <v>347</v>
      </c>
      <c r="AT717">
        <v>4.1840000000000002</v>
      </c>
      <c r="AU717">
        <v>8.548</v>
      </c>
      <c r="AV717" t="s">
        <v>2708</v>
      </c>
      <c r="AW717" t="s">
        <v>2322</v>
      </c>
      <c r="AX717" t="s">
        <v>2709</v>
      </c>
    </row>
    <row r="718" spans="1:50" x14ac:dyDescent="0.25">
      <c r="A718" t="s">
        <v>2710</v>
      </c>
      <c r="B718" t="s">
        <v>1679</v>
      </c>
      <c r="C718">
        <v>0</v>
      </c>
      <c r="D718">
        <v>0</v>
      </c>
      <c r="E718" t="s">
        <v>1693</v>
      </c>
      <c r="H718">
        <v>0</v>
      </c>
      <c r="N718">
        <v>1</v>
      </c>
      <c r="Q718">
        <v>0</v>
      </c>
      <c r="R718">
        <v>0</v>
      </c>
      <c r="U718" t="s">
        <v>1687</v>
      </c>
      <c r="V718">
        <v>53</v>
      </c>
      <c r="X718" t="s">
        <v>80</v>
      </c>
      <c r="Y718">
        <v>0</v>
      </c>
      <c r="AD718" t="s">
        <v>57</v>
      </c>
      <c r="AE718">
        <v>0</v>
      </c>
      <c r="AF718">
        <v>6</v>
      </c>
      <c r="AG718">
        <v>1</v>
      </c>
      <c r="AH718">
        <v>1.5</v>
      </c>
      <c r="AI718">
        <v>512</v>
      </c>
      <c r="AJ718">
        <v>512</v>
      </c>
      <c r="AK718">
        <v>72</v>
      </c>
      <c r="AL718" t="s">
        <v>196</v>
      </c>
      <c r="AM718">
        <v>2.2000000000000002</v>
      </c>
      <c r="AN718" t="s">
        <v>1072</v>
      </c>
      <c r="AO718" t="s">
        <v>67</v>
      </c>
      <c r="AP718" t="s">
        <v>68</v>
      </c>
      <c r="AQ718">
        <v>15</v>
      </c>
      <c r="AR718">
        <v>350</v>
      </c>
      <c r="AS718">
        <v>701</v>
      </c>
      <c r="AT718">
        <v>4.3840000000000003</v>
      </c>
      <c r="AU718">
        <v>8.94</v>
      </c>
      <c r="AV718" t="s">
        <v>2711</v>
      </c>
      <c r="AW718" t="s">
        <v>2712</v>
      </c>
      <c r="AX718" t="s">
        <v>2713</v>
      </c>
    </row>
    <row r="719" spans="1:50" x14ac:dyDescent="0.25">
      <c r="A719" t="s">
        <v>2714</v>
      </c>
      <c r="B719" t="s">
        <v>1679</v>
      </c>
      <c r="C719">
        <v>0</v>
      </c>
      <c r="D719">
        <v>0</v>
      </c>
      <c r="E719" t="s">
        <v>1693</v>
      </c>
      <c r="H719">
        <v>1</v>
      </c>
      <c r="N719">
        <v>0</v>
      </c>
      <c r="Q719">
        <v>0</v>
      </c>
      <c r="R719">
        <v>1</v>
      </c>
      <c r="U719" t="s">
        <v>65</v>
      </c>
      <c r="V719">
        <v>28</v>
      </c>
      <c r="W719" t="s">
        <v>1688</v>
      </c>
      <c r="X719" t="s">
        <v>80</v>
      </c>
      <c r="Y719">
        <v>0</v>
      </c>
      <c r="Z719">
        <v>52.616999999999997</v>
      </c>
      <c r="AB719" t="s">
        <v>74</v>
      </c>
      <c r="AD719" t="s">
        <v>57</v>
      </c>
      <c r="AE719">
        <v>0</v>
      </c>
      <c r="AF719">
        <v>6</v>
      </c>
      <c r="AG719">
        <v>0</v>
      </c>
      <c r="AH719">
        <v>1.5</v>
      </c>
      <c r="AI719">
        <v>512</v>
      </c>
      <c r="AJ719">
        <v>512</v>
      </c>
      <c r="AK719">
        <v>80</v>
      </c>
      <c r="AL719" t="s">
        <v>196</v>
      </c>
      <c r="AM719">
        <v>2</v>
      </c>
      <c r="AN719" t="s">
        <v>996</v>
      </c>
      <c r="AO719" t="s">
        <v>67</v>
      </c>
      <c r="AP719" t="s">
        <v>68</v>
      </c>
      <c r="AQ719">
        <v>15</v>
      </c>
      <c r="AR719">
        <v>132</v>
      </c>
      <c r="AS719">
        <v>264</v>
      </c>
      <c r="AT719">
        <v>4.2</v>
      </c>
      <c r="AU719">
        <v>7</v>
      </c>
      <c r="AV719" t="s">
        <v>2715</v>
      </c>
      <c r="AW719" t="s">
        <v>2716</v>
      </c>
      <c r="AX719" t="s">
        <v>2717</v>
      </c>
    </row>
    <row r="720" spans="1:50" x14ac:dyDescent="0.25">
      <c r="A720" t="s">
        <v>2718</v>
      </c>
      <c r="B720" t="s">
        <v>1679</v>
      </c>
      <c r="C720">
        <v>0</v>
      </c>
      <c r="D720">
        <v>0</v>
      </c>
      <c r="E720" t="s">
        <v>1725</v>
      </c>
      <c r="H720">
        <v>0</v>
      </c>
      <c r="N720">
        <v>1</v>
      </c>
      <c r="Q720">
        <v>0</v>
      </c>
      <c r="R720">
        <v>0</v>
      </c>
      <c r="U720" t="s">
        <v>1687</v>
      </c>
      <c r="V720">
        <v>47</v>
      </c>
      <c r="W720" t="s">
        <v>1688</v>
      </c>
      <c r="X720" t="s">
        <v>80</v>
      </c>
      <c r="Y720">
        <v>0</v>
      </c>
      <c r="Z720">
        <v>70</v>
      </c>
      <c r="AB720" t="s">
        <v>94</v>
      </c>
      <c r="AD720" t="s">
        <v>57</v>
      </c>
      <c r="AE720">
        <v>1</v>
      </c>
      <c r="AF720">
        <v>6</v>
      </c>
      <c r="AG720">
        <v>1</v>
      </c>
      <c r="AH720">
        <v>1.5</v>
      </c>
      <c r="AI720">
        <v>400</v>
      </c>
      <c r="AJ720">
        <v>400</v>
      </c>
      <c r="AK720">
        <v>72</v>
      </c>
      <c r="AL720" t="s">
        <v>1924</v>
      </c>
      <c r="AM720">
        <v>2.5</v>
      </c>
      <c r="AN720" t="s">
        <v>1531</v>
      </c>
      <c r="AO720" t="s">
        <v>1155</v>
      </c>
      <c r="AP720" t="s">
        <v>1767</v>
      </c>
      <c r="AQ720">
        <v>11</v>
      </c>
      <c r="AR720">
        <v>91.05</v>
      </c>
      <c r="AS720">
        <v>158.32</v>
      </c>
      <c r="AT720">
        <v>2.5979999999999999</v>
      </c>
      <c r="AU720">
        <v>5.2080000000000002</v>
      </c>
      <c r="AV720" t="s">
        <v>2719</v>
      </c>
      <c r="AW720" t="s">
        <v>2720</v>
      </c>
      <c r="AX720" t="s">
        <v>2721</v>
      </c>
    </row>
    <row r="721" spans="1:50" x14ac:dyDescent="0.25">
      <c r="A721" t="s">
        <v>2722</v>
      </c>
      <c r="B721" t="s">
        <v>1679</v>
      </c>
      <c r="C721">
        <v>0</v>
      </c>
      <c r="D721">
        <v>0</v>
      </c>
      <c r="E721" t="s">
        <v>1680</v>
      </c>
      <c r="H721">
        <v>0</v>
      </c>
      <c r="N721">
        <v>0</v>
      </c>
      <c r="Q721">
        <v>0</v>
      </c>
      <c r="R721">
        <v>1</v>
      </c>
      <c r="U721" t="s">
        <v>65</v>
      </c>
      <c r="V721">
        <v>58</v>
      </c>
      <c r="X721" t="s">
        <v>80</v>
      </c>
      <c r="Y721">
        <v>0</v>
      </c>
      <c r="AD721" t="s">
        <v>57</v>
      </c>
      <c r="AE721">
        <v>1</v>
      </c>
      <c r="AF721">
        <v>6</v>
      </c>
      <c r="AG721">
        <v>1</v>
      </c>
      <c r="AH721">
        <v>1.5</v>
      </c>
      <c r="AI721">
        <v>384</v>
      </c>
      <c r="AJ721">
        <v>384</v>
      </c>
      <c r="AK721">
        <v>160</v>
      </c>
      <c r="AL721" t="s">
        <v>2036</v>
      </c>
      <c r="AM721">
        <v>1</v>
      </c>
      <c r="AN721" t="s">
        <v>1728</v>
      </c>
      <c r="AO721" t="s">
        <v>59</v>
      </c>
      <c r="AP721" t="s">
        <v>1729</v>
      </c>
      <c r="AQ721">
        <v>11</v>
      </c>
      <c r="AR721">
        <v>58</v>
      </c>
      <c r="AS721">
        <v>156</v>
      </c>
      <c r="AT721">
        <v>1.81</v>
      </c>
      <c r="AU721">
        <v>5.05</v>
      </c>
      <c r="AV721" t="s">
        <v>1730</v>
      </c>
      <c r="AW721" t="s">
        <v>2723</v>
      </c>
      <c r="AX721" t="s">
        <v>2724</v>
      </c>
    </row>
    <row r="722" spans="1:50" x14ac:dyDescent="0.25">
      <c r="A722" t="s">
        <v>2725</v>
      </c>
      <c r="B722" t="s">
        <v>1679</v>
      </c>
      <c r="C722">
        <v>0</v>
      </c>
      <c r="D722">
        <v>0</v>
      </c>
      <c r="E722" t="s">
        <v>1703</v>
      </c>
      <c r="H722">
        <v>0</v>
      </c>
      <c r="N722">
        <v>0</v>
      </c>
      <c r="Q722">
        <v>0</v>
      </c>
      <c r="R722">
        <v>0</v>
      </c>
      <c r="U722" t="s">
        <v>65</v>
      </c>
      <c r="V722">
        <v>60</v>
      </c>
      <c r="W722" t="s">
        <v>1704</v>
      </c>
      <c r="X722" t="s">
        <v>80</v>
      </c>
      <c r="Y722">
        <v>0</v>
      </c>
      <c r="Z722">
        <v>63.489332105199999</v>
      </c>
      <c r="AB722" t="s">
        <v>74</v>
      </c>
      <c r="AD722" t="s">
        <v>57</v>
      </c>
      <c r="AE722">
        <v>1</v>
      </c>
      <c r="AF722">
        <v>6</v>
      </c>
      <c r="AG722">
        <v>1</v>
      </c>
      <c r="AH722">
        <v>1.5</v>
      </c>
      <c r="AI722">
        <v>256</v>
      </c>
      <c r="AJ722">
        <v>256</v>
      </c>
      <c r="AK722">
        <v>160</v>
      </c>
      <c r="AL722" t="s">
        <v>1950</v>
      </c>
      <c r="AM722">
        <v>1.1200000048000001</v>
      </c>
      <c r="AN722" t="s">
        <v>1720</v>
      </c>
      <c r="AO722" t="s">
        <v>59</v>
      </c>
      <c r="AP722" t="s">
        <v>60</v>
      </c>
      <c r="AQ722">
        <v>11</v>
      </c>
      <c r="AR722">
        <v>80</v>
      </c>
      <c r="AS722">
        <v>216</v>
      </c>
      <c r="AT722">
        <v>1.45</v>
      </c>
      <c r="AU722">
        <v>4.99</v>
      </c>
      <c r="AV722" t="s">
        <v>2726</v>
      </c>
      <c r="AW722" t="s">
        <v>2573</v>
      </c>
      <c r="AX722" t="s">
        <v>2727</v>
      </c>
    </row>
    <row r="723" spans="1:50" x14ac:dyDescent="0.25">
      <c r="A723" t="s">
        <v>2728</v>
      </c>
      <c r="B723" t="s">
        <v>1679</v>
      </c>
      <c r="C723">
        <v>0</v>
      </c>
      <c r="D723">
        <v>1</v>
      </c>
      <c r="E723" t="s">
        <v>1740</v>
      </c>
      <c r="H723">
        <v>0</v>
      </c>
      <c r="N723">
        <v>1</v>
      </c>
      <c r="Q723">
        <v>1</v>
      </c>
      <c r="R723">
        <v>0</v>
      </c>
      <c r="U723" t="s">
        <v>1735</v>
      </c>
      <c r="V723">
        <v>39</v>
      </c>
      <c r="W723" t="s">
        <v>1726</v>
      </c>
      <c r="X723" t="s">
        <v>111</v>
      </c>
      <c r="Y723">
        <v>0</v>
      </c>
      <c r="AD723" t="s">
        <v>57</v>
      </c>
      <c r="AE723">
        <v>0</v>
      </c>
      <c r="AF723">
        <v>6</v>
      </c>
      <c r="AG723">
        <v>1</v>
      </c>
      <c r="AH723">
        <v>1.5</v>
      </c>
      <c r="AI723">
        <v>512</v>
      </c>
      <c r="AJ723">
        <v>512</v>
      </c>
      <c r="AK723">
        <v>80</v>
      </c>
      <c r="AL723" t="s">
        <v>66</v>
      </c>
      <c r="AM723">
        <v>2</v>
      </c>
      <c r="AN723" t="s">
        <v>1681</v>
      </c>
      <c r="AO723" t="s">
        <v>67</v>
      </c>
      <c r="AP723" t="s">
        <v>68</v>
      </c>
      <c r="AQ723">
        <v>15</v>
      </c>
      <c r="AR723">
        <v>452</v>
      </c>
      <c r="AS723">
        <v>1094</v>
      </c>
      <c r="AT723">
        <v>2.6960000000000002</v>
      </c>
      <c r="AU723">
        <v>6.5759999999999996</v>
      </c>
      <c r="AV723" t="s">
        <v>2729</v>
      </c>
      <c r="AW723" t="s">
        <v>2730</v>
      </c>
      <c r="AX723" t="s">
        <v>2731</v>
      </c>
    </row>
    <row r="724" spans="1:50" x14ac:dyDescent="0.25">
      <c r="A724" t="s">
        <v>2732</v>
      </c>
      <c r="B724" t="s">
        <v>1679</v>
      </c>
      <c r="C724">
        <v>0</v>
      </c>
      <c r="D724">
        <v>0</v>
      </c>
      <c r="E724" t="s">
        <v>1734</v>
      </c>
      <c r="H724">
        <v>0</v>
      </c>
      <c r="N724">
        <v>1</v>
      </c>
      <c r="Q724">
        <v>1</v>
      </c>
      <c r="R724">
        <v>0</v>
      </c>
      <c r="U724" t="s">
        <v>1735</v>
      </c>
      <c r="V724">
        <v>48</v>
      </c>
      <c r="W724" t="s">
        <v>1688</v>
      </c>
      <c r="X724" t="s">
        <v>80</v>
      </c>
      <c r="Y724">
        <v>0</v>
      </c>
      <c r="Z724">
        <v>89.811000000000007</v>
      </c>
      <c r="AB724" t="s">
        <v>118</v>
      </c>
      <c r="AD724" t="s">
        <v>57</v>
      </c>
      <c r="AE724">
        <v>0</v>
      </c>
      <c r="AF724">
        <v>6</v>
      </c>
      <c r="AG724">
        <v>1</v>
      </c>
      <c r="AH724">
        <v>1.5</v>
      </c>
      <c r="AI724">
        <v>512</v>
      </c>
      <c r="AJ724">
        <v>512</v>
      </c>
      <c r="AK724">
        <v>66</v>
      </c>
      <c r="AL724" t="s">
        <v>113</v>
      </c>
      <c r="AM724">
        <v>2.4</v>
      </c>
      <c r="AN724" t="s">
        <v>1942</v>
      </c>
      <c r="AO724" t="s">
        <v>67</v>
      </c>
      <c r="AP724" t="s">
        <v>68</v>
      </c>
      <c r="AQ724">
        <v>15</v>
      </c>
      <c r="AR724">
        <v>293</v>
      </c>
      <c r="AS724">
        <v>587</v>
      </c>
      <c r="AT724">
        <v>3</v>
      </c>
      <c r="AU724">
        <v>6.2359999999999998</v>
      </c>
      <c r="AV724" t="s">
        <v>2733</v>
      </c>
      <c r="AW724" t="s">
        <v>2734</v>
      </c>
      <c r="AX724" t="s">
        <v>2735</v>
      </c>
    </row>
    <row r="725" spans="1:50" x14ac:dyDescent="0.25">
      <c r="A725" t="s">
        <v>2736</v>
      </c>
      <c r="B725" t="s">
        <v>1679</v>
      </c>
      <c r="C725">
        <v>0</v>
      </c>
      <c r="D725">
        <v>0</v>
      </c>
      <c r="E725" t="s">
        <v>1703</v>
      </c>
      <c r="H725">
        <v>0</v>
      </c>
      <c r="N725">
        <v>0</v>
      </c>
      <c r="Q725">
        <v>0</v>
      </c>
      <c r="R725">
        <v>1</v>
      </c>
      <c r="U725" t="s">
        <v>65</v>
      </c>
      <c r="V725">
        <v>57</v>
      </c>
      <c r="W725" t="s">
        <v>79</v>
      </c>
      <c r="X725" t="s">
        <v>80</v>
      </c>
      <c r="Y725">
        <v>0</v>
      </c>
      <c r="Z725">
        <v>48.988</v>
      </c>
      <c r="AB725" t="s">
        <v>247</v>
      </c>
      <c r="AD725" t="s">
        <v>57</v>
      </c>
      <c r="AE725">
        <v>0</v>
      </c>
      <c r="AF725">
        <v>6</v>
      </c>
      <c r="AG725">
        <v>1</v>
      </c>
      <c r="AH725">
        <v>1.5</v>
      </c>
      <c r="AI725">
        <v>512</v>
      </c>
      <c r="AJ725">
        <v>512</v>
      </c>
      <c r="AK725">
        <v>72</v>
      </c>
      <c r="AL725" t="s">
        <v>119</v>
      </c>
      <c r="AM725">
        <v>2.2000000000000002</v>
      </c>
      <c r="AN725" t="s">
        <v>1072</v>
      </c>
      <c r="AO725" t="s">
        <v>67</v>
      </c>
      <c r="AP725" t="s">
        <v>68</v>
      </c>
      <c r="AQ725">
        <v>15</v>
      </c>
      <c r="AR725">
        <v>315</v>
      </c>
      <c r="AS725">
        <v>631</v>
      </c>
      <c r="AT725">
        <v>4.2359999999999998</v>
      </c>
      <c r="AU725">
        <v>8.6679999999999993</v>
      </c>
      <c r="AV725" t="s">
        <v>2737</v>
      </c>
      <c r="AW725" t="s">
        <v>2738</v>
      </c>
      <c r="AX725" t="s">
        <v>2739</v>
      </c>
    </row>
    <row r="726" spans="1:50" x14ac:dyDescent="0.25">
      <c r="A726" t="s">
        <v>2740</v>
      </c>
      <c r="B726" t="s">
        <v>1679</v>
      </c>
      <c r="C726">
        <v>0</v>
      </c>
      <c r="D726">
        <v>0</v>
      </c>
      <c r="E726" t="s">
        <v>1693</v>
      </c>
      <c r="H726">
        <v>0</v>
      </c>
      <c r="N726">
        <v>1</v>
      </c>
      <c r="Q726">
        <v>0</v>
      </c>
      <c r="R726">
        <v>0</v>
      </c>
      <c r="U726" t="s">
        <v>1687</v>
      </c>
      <c r="V726">
        <v>65</v>
      </c>
      <c r="X726" t="s">
        <v>80</v>
      </c>
      <c r="Y726">
        <v>0</v>
      </c>
      <c r="AD726" t="s">
        <v>57</v>
      </c>
      <c r="AE726">
        <v>0</v>
      </c>
      <c r="AF726">
        <v>6</v>
      </c>
      <c r="AG726">
        <v>1</v>
      </c>
      <c r="AH726">
        <v>1.5</v>
      </c>
      <c r="AI726">
        <v>512</v>
      </c>
      <c r="AJ726">
        <v>512</v>
      </c>
      <c r="AK726">
        <v>72</v>
      </c>
      <c r="AL726" t="s">
        <v>119</v>
      </c>
      <c r="AM726">
        <v>2.2000000000000002</v>
      </c>
      <c r="AN726" t="s">
        <v>1072</v>
      </c>
      <c r="AO726" t="s">
        <v>67</v>
      </c>
      <c r="AP726" t="s">
        <v>68</v>
      </c>
      <c r="AQ726">
        <v>15</v>
      </c>
      <c r="AR726">
        <v>206</v>
      </c>
      <c r="AS726">
        <v>413</v>
      </c>
      <c r="AT726">
        <v>4.28</v>
      </c>
      <c r="AU726">
        <v>8.7439999999999998</v>
      </c>
      <c r="AV726" t="s">
        <v>2741</v>
      </c>
      <c r="AW726" t="s">
        <v>2742</v>
      </c>
      <c r="AX726" t="s">
        <v>2743</v>
      </c>
    </row>
    <row r="727" spans="1:50" x14ac:dyDescent="0.25">
      <c r="A727" t="s">
        <v>2744</v>
      </c>
      <c r="B727" t="s">
        <v>1679</v>
      </c>
      <c r="C727">
        <v>0</v>
      </c>
      <c r="D727">
        <v>1</v>
      </c>
      <c r="E727" t="s">
        <v>1871</v>
      </c>
      <c r="H727">
        <v>0</v>
      </c>
      <c r="N727">
        <v>1</v>
      </c>
      <c r="Q727">
        <v>1</v>
      </c>
      <c r="R727">
        <v>1</v>
      </c>
      <c r="U727" t="s">
        <v>1735</v>
      </c>
      <c r="V727">
        <v>44</v>
      </c>
      <c r="X727" t="s">
        <v>55</v>
      </c>
      <c r="Y727">
        <v>0</v>
      </c>
      <c r="Z727">
        <v>77</v>
      </c>
      <c r="AB727" t="s">
        <v>94</v>
      </c>
      <c r="AD727" t="s">
        <v>57</v>
      </c>
      <c r="AE727">
        <v>0</v>
      </c>
      <c r="AF727">
        <v>6</v>
      </c>
      <c r="AG727">
        <v>1</v>
      </c>
      <c r="AH727">
        <v>1.5</v>
      </c>
      <c r="AI727">
        <v>560</v>
      </c>
      <c r="AJ727">
        <v>560</v>
      </c>
      <c r="AK727">
        <v>64</v>
      </c>
      <c r="AL727" t="s">
        <v>2644</v>
      </c>
      <c r="AM727">
        <v>2.5</v>
      </c>
      <c r="AN727" t="s">
        <v>1531</v>
      </c>
      <c r="AO727" t="s">
        <v>1155</v>
      </c>
      <c r="AP727" t="s">
        <v>1767</v>
      </c>
      <c r="AQ727">
        <v>11</v>
      </c>
      <c r="AR727">
        <v>60.25</v>
      </c>
      <c r="AS727">
        <v>104.77</v>
      </c>
      <c r="AT727">
        <v>2.581</v>
      </c>
      <c r="AU727">
        <v>5.1742999999999997</v>
      </c>
      <c r="AV727" t="s">
        <v>1991</v>
      </c>
      <c r="AW727" t="s">
        <v>2745</v>
      </c>
      <c r="AX727" t="s">
        <v>2746</v>
      </c>
    </row>
    <row r="728" spans="1:50" x14ac:dyDescent="0.25">
      <c r="A728" t="s">
        <v>2747</v>
      </c>
      <c r="B728" t="s">
        <v>1679</v>
      </c>
      <c r="C728">
        <v>0</v>
      </c>
      <c r="D728">
        <v>0</v>
      </c>
      <c r="E728" t="s">
        <v>1698</v>
      </c>
      <c r="H728">
        <v>0</v>
      </c>
      <c r="N728">
        <v>1</v>
      </c>
      <c r="Q728">
        <v>0</v>
      </c>
      <c r="R728">
        <v>1</v>
      </c>
      <c r="U728" t="s">
        <v>1687</v>
      </c>
      <c r="V728">
        <v>45</v>
      </c>
      <c r="W728" t="s">
        <v>1688</v>
      </c>
      <c r="X728" t="s">
        <v>111</v>
      </c>
      <c r="Y728">
        <v>0</v>
      </c>
      <c r="Z728">
        <v>61.23</v>
      </c>
      <c r="AB728" t="s">
        <v>74</v>
      </c>
      <c r="AD728" t="s">
        <v>57</v>
      </c>
      <c r="AE728">
        <v>0</v>
      </c>
      <c r="AF728">
        <v>6</v>
      </c>
      <c r="AG728">
        <v>1</v>
      </c>
      <c r="AH728">
        <v>3</v>
      </c>
      <c r="AI728">
        <v>512</v>
      </c>
      <c r="AJ728">
        <v>512</v>
      </c>
      <c r="AK728">
        <v>134</v>
      </c>
      <c r="AL728" t="s">
        <v>81</v>
      </c>
      <c r="AM728">
        <v>2.4</v>
      </c>
      <c r="AN728" t="s">
        <v>1786</v>
      </c>
      <c r="AO728" t="s">
        <v>67</v>
      </c>
      <c r="AP728" t="s">
        <v>1979</v>
      </c>
      <c r="AQ728">
        <v>15</v>
      </c>
      <c r="AR728">
        <v>271</v>
      </c>
      <c r="AS728">
        <v>542</v>
      </c>
      <c r="AT728">
        <v>2.6760000000000002</v>
      </c>
      <c r="AU728">
        <v>5.5090000000000003</v>
      </c>
      <c r="AV728" t="s">
        <v>2748</v>
      </c>
      <c r="AW728" t="s">
        <v>2749</v>
      </c>
      <c r="AX728" t="s">
        <v>2750</v>
      </c>
    </row>
    <row r="729" spans="1:50" x14ac:dyDescent="0.25">
      <c r="A729" t="s">
        <v>2751</v>
      </c>
      <c r="B729" t="s">
        <v>1679</v>
      </c>
      <c r="C729">
        <v>0</v>
      </c>
      <c r="D729">
        <v>0</v>
      </c>
      <c r="E729" t="s">
        <v>1725</v>
      </c>
      <c r="H729">
        <v>1</v>
      </c>
      <c r="N729">
        <v>0</v>
      </c>
      <c r="Q729">
        <v>0</v>
      </c>
      <c r="R729">
        <v>1</v>
      </c>
      <c r="U729" t="s">
        <v>65</v>
      </c>
      <c r="V729">
        <v>39</v>
      </c>
      <c r="W729" t="s">
        <v>1688</v>
      </c>
      <c r="X729" t="s">
        <v>80</v>
      </c>
      <c r="Y729">
        <v>0</v>
      </c>
      <c r="Z729">
        <v>64.410124733399996</v>
      </c>
      <c r="AB729" t="s">
        <v>74</v>
      </c>
      <c r="AD729" t="s">
        <v>57</v>
      </c>
      <c r="AE729">
        <v>1</v>
      </c>
      <c r="AF729">
        <v>6</v>
      </c>
      <c r="AG729">
        <v>1</v>
      </c>
      <c r="AH729">
        <v>1.5</v>
      </c>
      <c r="AI729">
        <v>384</v>
      </c>
      <c r="AJ729">
        <v>384</v>
      </c>
      <c r="AK729">
        <v>160</v>
      </c>
      <c r="AL729" t="s">
        <v>75</v>
      </c>
      <c r="AM729">
        <v>1</v>
      </c>
      <c r="AN729" t="s">
        <v>1741</v>
      </c>
      <c r="AO729" t="s">
        <v>59</v>
      </c>
      <c r="AP729" t="s">
        <v>60</v>
      </c>
      <c r="AQ729">
        <v>11</v>
      </c>
      <c r="AR729">
        <v>84</v>
      </c>
      <c r="AS729">
        <v>224</v>
      </c>
      <c r="AT729">
        <v>2.37</v>
      </c>
      <c r="AU729">
        <v>5.15</v>
      </c>
      <c r="AV729" t="s">
        <v>2752</v>
      </c>
      <c r="AW729" t="s">
        <v>2753</v>
      </c>
      <c r="AX729" t="s">
        <v>2754</v>
      </c>
    </row>
    <row r="730" spans="1:50" x14ac:dyDescent="0.25">
      <c r="A730" t="s">
        <v>2755</v>
      </c>
      <c r="B730" t="s">
        <v>1679</v>
      </c>
      <c r="C730">
        <v>0</v>
      </c>
      <c r="D730">
        <v>0</v>
      </c>
      <c r="E730" t="s">
        <v>1703</v>
      </c>
      <c r="H730">
        <v>0</v>
      </c>
      <c r="N730">
        <v>0</v>
      </c>
      <c r="Q730">
        <v>0</v>
      </c>
      <c r="R730">
        <v>1</v>
      </c>
      <c r="U730" t="s">
        <v>65</v>
      </c>
      <c r="V730">
        <v>38</v>
      </c>
      <c r="W730" t="s">
        <v>1726</v>
      </c>
      <c r="X730" t="s">
        <v>80</v>
      </c>
      <c r="Y730">
        <v>0</v>
      </c>
      <c r="Z730">
        <v>108.862182648</v>
      </c>
      <c r="AB730" t="s">
        <v>56</v>
      </c>
      <c r="AD730" t="s">
        <v>57</v>
      </c>
      <c r="AE730">
        <v>1</v>
      </c>
      <c r="AF730">
        <v>6</v>
      </c>
      <c r="AG730">
        <v>1</v>
      </c>
      <c r="AH730">
        <v>1.5</v>
      </c>
      <c r="AI730">
        <v>384</v>
      </c>
      <c r="AJ730">
        <v>384</v>
      </c>
      <c r="AK730">
        <v>144</v>
      </c>
      <c r="AL730" t="s">
        <v>1411</v>
      </c>
      <c r="AM730">
        <v>1.2000000476999999</v>
      </c>
      <c r="AN730" t="s">
        <v>2146</v>
      </c>
      <c r="AO730" t="s">
        <v>59</v>
      </c>
      <c r="AP730" t="s">
        <v>2147</v>
      </c>
      <c r="AQ730">
        <v>11</v>
      </c>
      <c r="AR730">
        <v>43</v>
      </c>
      <c r="AS730">
        <v>118</v>
      </c>
      <c r="AT730">
        <v>1.54</v>
      </c>
      <c r="AU730">
        <v>4.57</v>
      </c>
      <c r="AV730" t="s">
        <v>2756</v>
      </c>
      <c r="AW730" t="s">
        <v>2757</v>
      </c>
      <c r="AX730" t="s">
        <v>2758</v>
      </c>
    </row>
    <row r="731" spans="1:50" x14ac:dyDescent="0.25">
      <c r="A731" t="s">
        <v>2759</v>
      </c>
      <c r="B731" t="s">
        <v>1679</v>
      </c>
      <c r="C731">
        <v>0</v>
      </c>
      <c r="D731">
        <v>0</v>
      </c>
      <c r="E731" t="s">
        <v>1740</v>
      </c>
      <c r="H731">
        <v>0</v>
      </c>
      <c r="N731">
        <v>1</v>
      </c>
      <c r="Q731">
        <v>0</v>
      </c>
      <c r="R731">
        <v>0</v>
      </c>
      <c r="U731" t="s">
        <v>1687</v>
      </c>
      <c r="V731">
        <v>59</v>
      </c>
      <c r="X731" t="s">
        <v>55</v>
      </c>
      <c r="Y731">
        <v>0</v>
      </c>
      <c r="Z731">
        <v>68.492456582700001</v>
      </c>
      <c r="AB731" t="s">
        <v>94</v>
      </c>
      <c r="AD731" t="s">
        <v>57</v>
      </c>
      <c r="AE731">
        <v>0</v>
      </c>
      <c r="AF731">
        <v>6</v>
      </c>
      <c r="AG731">
        <v>1</v>
      </c>
      <c r="AH731">
        <v>1.5</v>
      </c>
      <c r="AI731">
        <v>512</v>
      </c>
      <c r="AJ731">
        <v>512</v>
      </c>
      <c r="AK731">
        <v>80</v>
      </c>
      <c r="AL731" t="s">
        <v>1010</v>
      </c>
      <c r="AM731">
        <v>2</v>
      </c>
      <c r="AN731" t="s">
        <v>1011</v>
      </c>
      <c r="AO731" t="s">
        <v>59</v>
      </c>
      <c r="AP731" t="s">
        <v>2388</v>
      </c>
      <c r="AQ731">
        <v>11</v>
      </c>
      <c r="AR731">
        <v>179</v>
      </c>
      <c r="AS731">
        <v>427</v>
      </c>
      <c r="AT731">
        <v>1.96</v>
      </c>
      <c r="AU731">
        <v>5.07</v>
      </c>
      <c r="AV731" t="s">
        <v>2760</v>
      </c>
      <c r="AW731" t="s">
        <v>2761</v>
      </c>
      <c r="AX731" t="s">
        <v>2762</v>
      </c>
    </row>
    <row r="732" spans="1:50" x14ac:dyDescent="0.25">
      <c r="A732" t="s">
        <v>2763</v>
      </c>
      <c r="B732" t="s">
        <v>1679</v>
      </c>
      <c r="C732">
        <v>0</v>
      </c>
      <c r="D732">
        <v>0</v>
      </c>
      <c r="E732" t="s">
        <v>1680</v>
      </c>
      <c r="H732">
        <v>0</v>
      </c>
      <c r="N732">
        <v>0</v>
      </c>
      <c r="Q732">
        <v>0</v>
      </c>
      <c r="R732">
        <v>1</v>
      </c>
      <c r="U732" t="s">
        <v>65</v>
      </c>
      <c r="V732">
        <v>56</v>
      </c>
      <c r="X732" t="s">
        <v>55</v>
      </c>
      <c r="Y732">
        <v>0</v>
      </c>
      <c r="Z732">
        <v>86</v>
      </c>
      <c r="AA732">
        <v>1.6</v>
      </c>
      <c r="AB732" t="s">
        <v>118</v>
      </c>
      <c r="AD732" t="s">
        <v>57</v>
      </c>
      <c r="AE732">
        <v>0</v>
      </c>
      <c r="AF732">
        <v>6</v>
      </c>
      <c r="AG732">
        <v>1</v>
      </c>
      <c r="AH732">
        <v>3</v>
      </c>
      <c r="AI732">
        <v>416</v>
      </c>
      <c r="AJ732">
        <v>416</v>
      </c>
      <c r="AK732">
        <v>64</v>
      </c>
      <c r="AL732" t="s">
        <v>2564</v>
      </c>
      <c r="AM732">
        <v>2.5</v>
      </c>
      <c r="AN732" t="s">
        <v>1114</v>
      </c>
      <c r="AO732" t="s">
        <v>59</v>
      </c>
      <c r="AP732" t="s">
        <v>1781</v>
      </c>
      <c r="AQ732">
        <v>11</v>
      </c>
      <c r="AR732">
        <v>50</v>
      </c>
      <c r="AS732">
        <v>147</v>
      </c>
      <c r="AT732">
        <v>1.52</v>
      </c>
      <c r="AU732">
        <v>4.74</v>
      </c>
      <c r="AV732" t="s">
        <v>2764</v>
      </c>
      <c r="AW732" t="s">
        <v>2765</v>
      </c>
      <c r="AX732" t="s">
        <v>2766</v>
      </c>
    </row>
    <row r="733" spans="1:50" x14ac:dyDescent="0.25">
      <c r="A733" t="s">
        <v>2767</v>
      </c>
      <c r="B733" t="s">
        <v>1679</v>
      </c>
      <c r="C733">
        <v>0</v>
      </c>
      <c r="D733">
        <v>0</v>
      </c>
      <c r="E733" t="s">
        <v>1703</v>
      </c>
      <c r="H733">
        <v>0</v>
      </c>
      <c r="N733">
        <v>1</v>
      </c>
      <c r="Q733">
        <v>0</v>
      </c>
      <c r="R733">
        <v>0</v>
      </c>
      <c r="U733" t="s">
        <v>1687</v>
      </c>
      <c r="V733">
        <v>55</v>
      </c>
      <c r="W733" t="s">
        <v>79</v>
      </c>
      <c r="X733" t="s">
        <v>80</v>
      </c>
      <c r="Y733">
        <v>0</v>
      </c>
      <c r="Z733">
        <v>70.307000000000002</v>
      </c>
      <c r="AB733" t="s">
        <v>94</v>
      </c>
      <c r="AD733" t="s">
        <v>57</v>
      </c>
      <c r="AE733">
        <v>0</v>
      </c>
      <c r="AF733">
        <v>6</v>
      </c>
      <c r="AG733">
        <v>1</v>
      </c>
      <c r="AH733">
        <v>1.5</v>
      </c>
      <c r="AI733">
        <v>512</v>
      </c>
      <c r="AJ733">
        <v>512</v>
      </c>
      <c r="AK733">
        <v>80</v>
      </c>
      <c r="AL733" t="s">
        <v>153</v>
      </c>
      <c r="AM733">
        <v>2</v>
      </c>
      <c r="AN733" t="s">
        <v>996</v>
      </c>
      <c r="AO733" t="s">
        <v>67</v>
      </c>
      <c r="AP733" t="s">
        <v>68</v>
      </c>
      <c r="AQ733">
        <v>15</v>
      </c>
      <c r="AR733">
        <v>212</v>
      </c>
      <c r="AS733">
        <v>425</v>
      </c>
      <c r="AT733">
        <v>4.2</v>
      </c>
      <c r="AU733">
        <v>7</v>
      </c>
      <c r="AV733" t="s">
        <v>2768</v>
      </c>
      <c r="AW733" t="s">
        <v>2769</v>
      </c>
      <c r="AX733" t="s">
        <v>2770</v>
      </c>
    </row>
    <row r="734" spans="1:50" x14ac:dyDescent="0.25">
      <c r="A734" t="s">
        <v>2771</v>
      </c>
      <c r="B734" t="s">
        <v>1679</v>
      </c>
      <c r="C734">
        <v>0</v>
      </c>
      <c r="D734">
        <v>0</v>
      </c>
      <c r="E734" t="s">
        <v>1725</v>
      </c>
      <c r="H734">
        <v>0</v>
      </c>
      <c r="N734">
        <v>1</v>
      </c>
      <c r="Q734">
        <v>0</v>
      </c>
      <c r="R734">
        <v>0</v>
      </c>
      <c r="U734" t="s">
        <v>1687</v>
      </c>
      <c r="V734">
        <v>43</v>
      </c>
      <c r="W734" t="s">
        <v>1688</v>
      </c>
      <c r="X734" t="s">
        <v>80</v>
      </c>
      <c r="Y734">
        <v>0</v>
      </c>
      <c r="Z734">
        <v>52.162999999999997</v>
      </c>
      <c r="AB734" t="s">
        <v>74</v>
      </c>
      <c r="AD734" t="s">
        <v>57</v>
      </c>
      <c r="AE734">
        <v>0</v>
      </c>
      <c r="AF734">
        <v>6</v>
      </c>
      <c r="AG734">
        <v>1</v>
      </c>
      <c r="AH734">
        <v>1.5</v>
      </c>
      <c r="AI734">
        <v>512</v>
      </c>
      <c r="AJ734">
        <v>512</v>
      </c>
      <c r="AK734">
        <v>80</v>
      </c>
      <c r="AL734" t="s">
        <v>113</v>
      </c>
      <c r="AM734">
        <v>2</v>
      </c>
      <c r="AN734" t="s">
        <v>996</v>
      </c>
      <c r="AO734" t="s">
        <v>67</v>
      </c>
      <c r="AP734" t="s">
        <v>68</v>
      </c>
      <c r="AQ734">
        <v>15</v>
      </c>
      <c r="AR734">
        <v>163</v>
      </c>
      <c r="AS734">
        <v>327</v>
      </c>
      <c r="AT734">
        <v>4.2</v>
      </c>
      <c r="AU734">
        <v>7</v>
      </c>
      <c r="AV734" t="s">
        <v>2772</v>
      </c>
      <c r="AW734" t="s">
        <v>2773</v>
      </c>
      <c r="AX734" t="s">
        <v>2774</v>
      </c>
    </row>
    <row r="735" spans="1:50" x14ac:dyDescent="0.25">
      <c r="A735" t="s">
        <v>2775</v>
      </c>
      <c r="B735" t="s">
        <v>1679</v>
      </c>
      <c r="C735">
        <v>0</v>
      </c>
      <c r="D735">
        <v>0</v>
      </c>
      <c r="E735" t="s">
        <v>1839</v>
      </c>
      <c r="H735">
        <v>1</v>
      </c>
      <c r="N735">
        <v>1</v>
      </c>
      <c r="Q735">
        <v>1</v>
      </c>
      <c r="R735">
        <v>0</v>
      </c>
      <c r="U735" t="s">
        <v>1735</v>
      </c>
      <c r="V735">
        <v>47</v>
      </c>
      <c r="W735" t="s">
        <v>1688</v>
      </c>
      <c r="X735" t="s">
        <v>80</v>
      </c>
      <c r="Y735">
        <v>0</v>
      </c>
      <c r="Z735">
        <v>90.718000000000004</v>
      </c>
      <c r="AB735" t="s">
        <v>118</v>
      </c>
      <c r="AD735" t="s">
        <v>57</v>
      </c>
      <c r="AE735">
        <v>0</v>
      </c>
      <c r="AF735">
        <v>6</v>
      </c>
      <c r="AG735">
        <v>1</v>
      </c>
      <c r="AH735">
        <v>1.5</v>
      </c>
      <c r="AI735">
        <v>512</v>
      </c>
      <c r="AJ735">
        <v>512</v>
      </c>
      <c r="AK735">
        <v>66</v>
      </c>
      <c r="AL735" t="s">
        <v>119</v>
      </c>
      <c r="AM735">
        <v>2.4</v>
      </c>
      <c r="AN735" t="s">
        <v>1942</v>
      </c>
      <c r="AO735" t="s">
        <v>67</v>
      </c>
      <c r="AP735" t="s">
        <v>68</v>
      </c>
      <c r="AQ735">
        <v>15</v>
      </c>
      <c r="AR735">
        <v>349</v>
      </c>
      <c r="AS735">
        <v>699</v>
      </c>
      <c r="AT735">
        <v>2.944</v>
      </c>
      <c r="AU735">
        <v>6.1360000000000001</v>
      </c>
      <c r="AV735" t="s">
        <v>2776</v>
      </c>
      <c r="AW735" t="s">
        <v>2777</v>
      </c>
      <c r="AX735" t="s">
        <v>2778</v>
      </c>
    </row>
    <row r="736" spans="1:50" x14ac:dyDescent="0.25">
      <c r="A736" t="s">
        <v>2779</v>
      </c>
      <c r="B736" t="s">
        <v>1679</v>
      </c>
      <c r="C736">
        <v>0</v>
      </c>
      <c r="D736">
        <v>0</v>
      </c>
      <c r="E736" t="s">
        <v>1680</v>
      </c>
      <c r="H736">
        <v>0</v>
      </c>
      <c r="N736">
        <v>1</v>
      </c>
      <c r="Q736">
        <v>0</v>
      </c>
      <c r="R736">
        <v>0</v>
      </c>
      <c r="U736" t="s">
        <v>1687</v>
      </c>
      <c r="V736">
        <v>60</v>
      </c>
      <c r="W736" t="s">
        <v>79</v>
      </c>
      <c r="X736" t="s">
        <v>80</v>
      </c>
      <c r="Y736">
        <v>0</v>
      </c>
      <c r="Z736">
        <v>110.67700000000001</v>
      </c>
      <c r="AB736" t="s">
        <v>269</v>
      </c>
      <c r="AD736" t="s">
        <v>57</v>
      </c>
      <c r="AE736">
        <v>0</v>
      </c>
      <c r="AF736">
        <v>6</v>
      </c>
      <c r="AG736">
        <v>1</v>
      </c>
      <c r="AH736">
        <v>1.5</v>
      </c>
      <c r="AI736">
        <v>512</v>
      </c>
      <c r="AJ736">
        <v>512</v>
      </c>
      <c r="AK736">
        <v>76</v>
      </c>
      <c r="AL736" t="s">
        <v>119</v>
      </c>
      <c r="AM736">
        <v>2.4</v>
      </c>
      <c r="AN736" t="s">
        <v>1942</v>
      </c>
      <c r="AO736" t="s">
        <v>67</v>
      </c>
      <c r="AP736" t="s">
        <v>68</v>
      </c>
      <c r="AQ736">
        <v>15</v>
      </c>
      <c r="AR736">
        <v>1329</v>
      </c>
      <c r="AS736">
        <v>2658</v>
      </c>
      <c r="AT736">
        <v>2.948</v>
      </c>
      <c r="AU736">
        <v>6.16</v>
      </c>
      <c r="AV736" t="s">
        <v>2780</v>
      </c>
      <c r="AW736" t="s">
        <v>2781</v>
      </c>
      <c r="AX736" t="s">
        <v>2782</v>
      </c>
    </row>
    <row r="737" spans="1:50" x14ac:dyDescent="0.25">
      <c r="A737" t="s">
        <v>2783</v>
      </c>
      <c r="B737" t="s">
        <v>1679</v>
      </c>
      <c r="C737">
        <v>0</v>
      </c>
      <c r="D737">
        <v>0</v>
      </c>
      <c r="E737" t="s">
        <v>1780</v>
      </c>
      <c r="H737">
        <v>1</v>
      </c>
      <c r="N737">
        <v>1</v>
      </c>
      <c r="Q737">
        <v>0</v>
      </c>
      <c r="R737">
        <v>1</v>
      </c>
      <c r="U737" t="s">
        <v>1687</v>
      </c>
      <c r="V737">
        <v>42</v>
      </c>
      <c r="W737" t="s">
        <v>1726</v>
      </c>
      <c r="X737" t="s">
        <v>55</v>
      </c>
      <c r="Y737">
        <v>0</v>
      </c>
      <c r="Z737">
        <v>79.818659502399996</v>
      </c>
      <c r="AB737" t="s">
        <v>94</v>
      </c>
      <c r="AD737" t="s">
        <v>57</v>
      </c>
      <c r="AE737">
        <v>1</v>
      </c>
      <c r="AF737">
        <v>6</v>
      </c>
      <c r="AG737">
        <v>1</v>
      </c>
      <c r="AH737">
        <v>1.5</v>
      </c>
      <c r="AI737">
        <v>256</v>
      </c>
      <c r="AJ737">
        <v>256</v>
      </c>
      <c r="AK737">
        <v>160</v>
      </c>
      <c r="AL737" t="s">
        <v>446</v>
      </c>
      <c r="AM737">
        <v>1.1000000238000001</v>
      </c>
      <c r="AN737" t="s">
        <v>1720</v>
      </c>
      <c r="AO737" t="s">
        <v>59</v>
      </c>
      <c r="AP737" t="s">
        <v>60</v>
      </c>
      <c r="AQ737">
        <v>11</v>
      </c>
      <c r="AR737">
        <v>288</v>
      </c>
      <c r="AS737">
        <v>630</v>
      </c>
      <c r="AT737">
        <v>1.43</v>
      </c>
      <c r="AU737">
        <v>4.99</v>
      </c>
      <c r="AV737" t="s">
        <v>2784</v>
      </c>
      <c r="AW737" t="s">
        <v>1939</v>
      </c>
      <c r="AX737" t="s">
        <v>2785</v>
      </c>
    </row>
    <row r="738" spans="1:50" x14ac:dyDescent="0.25">
      <c r="A738" t="s">
        <v>2786</v>
      </c>
      <c r="B738" t="s">
        <v>1679</v>
      </c>
      <c r="C738">
        <v>0</v>
      </c>
      <c r="D738">
        <v>0</v>
      </c>
      <c r="E738" t="s">
        <v>1693</v>
      </c>
      <c r="H738">
        <v>1</v>
      </c>
      <c r="N738">
        <v>0</v>
      </c>
      <c r="Q738">
        <v>0</v>
      </c>
      <c r="R738">
        <v>1</v>
      </c>
      <c r="U738" t="s">
        <v>65</v>
      </c>
      <c r="V738">
        <v>56</v>
      </c>
      <c r="W738" t="s">
        <v>79</v>
      </c>
      <c r="X738" t="s">
        <v>80</v>
      </c>
      <c r="Y738">
        <v>0</v>
      </c>
      <c r="Z738">
        <v>68</v>
      </c>
      <c r="AA738">
        <v>1.68</v>
      </c>
      <c r="AB738" t="s">
        <v>74</v>
      </c>
      <c r="AD738" t="s">
        <v>57</v>
      </c>
      <c r="AE738">
        <v>1</v>
      </c>
      <c r="AF738">
        <v>6</v>
      </c>
      <c r="AG738">
        <v>1</v>
      </c>
      <c r="AH738">
        <v>3</v>
      </c>
      <c r="AI738">
        <v>384</v>
      </c>
      <c r="AJ738">
        <v>384</v>
      </c>
      <c r="AK738">
        <v>72</v>
      </c>
      <c r="AL738" t="s">
        <v>1394</v>
      </c>
      <c r="AM738">
        <v>2.5</v>
      </c>
      <c r="AN738" t="s">
        <v>1114</v>
      </c>
      <c r="AO738" t="s">
        <v>59</v>
      </c>
      <c r="AP738" t="s">
        <v>1781</v>
      </c>
      <c r="AQ738">
        <v>11</v>
      </c>
      <c r="AR738">
        <v>47</v>
      </c>
      <c r="AS738">
        <v>131</v>
      </c>
      <c r="AT738">
        <v>1.37</v>
      </c>
      <c r="AU738">
        <v>4.32</v>
      </c>
      <c r="AV738" t="s">
        <v>2787</v>
      </c>
      <c r="AW738" t="s">
        <v>2788</v>
      </c>
      <c r="AX738" t="s">
        <v>2789</v>
      </c>
    </row>
    <row r="739" spans="1:50" x14ac:dyDescent="0.25">
      <c r="A739" t="s">
        <v>2790</v>
      </c>
      <c r="B739" t="s">
        <v>1679</v>
      </c>
      <c r="C739">
        <v>0</v>
      </c>
      <c r="D739">
        <v>0</v>
      </c>
      <c r="E739" t="s">
        <v>1698</v>
      </c>
      <c r="H739">
        <v>1</v>
      </c>
      <c r="N739">
        <v>1</v>
      </c>
      <c r="Q739">
        <v>0</v>
      </c>
      <c r="R739">
        <v>1</v>
      </c>
      <c r="U739" t="s">
        <v>1687</v>
      </c>
      <c r="V739">
        <v>49</v>
      </c>
      <c r="W739" t="s">
        <v>1688</v>
      </c>
      <c r="X739" t="s">
        <v>80</v>
      </c>
      <c r="Y739">
        <v>0</v>
      </c>
      <c r="AD739" t="s">
        <v>57</v>
      </c>
      <c r="AE739">
        <v>0</v>
      </c>
      <c r="AF739">
        <v>6</v>
      </c>
      <c r="AG739">
        <v>1</v>
      </c>
      <c r="AH739">
        <v>1.5</v>
      </c>
      <c r="AI739">
        <v>512</v>
      </c>
      <c r="AJ739">
        <v>512</v>
      </c>
      <c r="AK739">
        <v>80</v>
      </c>
      <c r="AL739" t="s">
        <v>81</v>
      </c>
      <c r="AM739">
        <v>2</v>
      </c>
      <c r="AN739" t="s">
        <v>1705</v>
      </c>
      <c r="AO739" t="s">
        <v>67</v>
      </c>
      <c r="AP739" t="s">
        <v>89</v>
      </c>
      <c r="AQ739">
        <v>15</v>
      </c>
      <c r="AR739">
        <v>201</v>
      </c>
      <c r="AS739">
        <v>402</v>
      </c>
      <c r="AT739">
        <v>2.548</v>
      </c>
      <c r="AU739">
        <v>5.2880000000000003</v>
      </c>
      <c r="AV739" t="s">
        <v>2791</v>
      </c>
      <c r="AW739" t="s">
        <v>2792</v>
      </c>
      <c r="AX739" t="s">
        <v>2793</v>
      </c>
    </row>
    <row r="740" spans="1:50" x14ac:dyDescent="0.25">
      <c r="A740" t="s">
        <v>2794</v>
      </c>
      <c r="B740" t="s">
        <v>1679</v>
      </c>
      <c r="C740">
        <v>0</v>
      </c>
      <c r="D740">
        <v>0</v>
      </c>
      <c r="E740" t="s">
        <v>1791</v>
      </c>
      <c r="H740">
        <v>1</v>
      </c>
      <c r="N740">
        <v>1</v>
      </c>
      <c r="Q740">
        <v>1</v>
      </c>
      <c r="R740">
        <v>0</v>
      </c>
      <c r="U740" t="s">
        <v>1735</v>
      </c>
      <c r="V740">
        <v>39</v>
      </c>
      <c r="W740" t="s">
        <v>1726</v>
      </c>
      <c r="X740" t="s">
        <v>80</v>
      </c>
      <c r="Y740">
        <v>0</v>
      </c>
      <c r="Z740">
        <v>68</v>
      </c>
      <c r="AB740" t="s">
        <v>74</v>
      </c>
      <c r="AD740" t="s">
        <v>57</v>
      </c>
      <c r="AE740">
        <v>0</v>
      </c>
      <c r="AF740">
        <v>6</v>
      </c>
      <c r="AG740">
        <v>1</v>
      </c>
      <c r="AH740">
        <v>3</v>
      </c>
      <c r="AI740">
        <v>640</v>
      </c>
      <c r="AJ740">
        <v>640</v>
      </c>
      <c r="AK740">
        <v>160</v>
      </c>
      <c r="AL740" t="s">
        <v>2795</v>
      </c>
      <c r="AM740">
        <v>2</v>
      </c>
      <c r="AN740" t="s">
        <v>1877</v>
      </c>
      <c r="AO740" t="s">
        <v>1155</v>
      </c>
      <c r="AP740" t="s">
        <v>1305</v>
      </c>
      <c r="AQ740">
        <v>11</v>
      </c>
      <c r="AR740">
        <v>705</v>
      </c>
      <c r="AS740">
        <v>1226</v>
      </c>
      <c r="AT740">
        <v>4.6040000000000001</v>
      </c>
      <c r="AU740">
        <v>7.4</v>
      </c>
      <c r="AW740" t="s">
        <v>2796</v>
      </c>
      <c r="AX740" t="s">
        <v>2797</v>
      </c>
    </row>
    <row r="741" spans="1:50" x14ac:dyDescent="0.25">
      <c r="A741" t="s">
        <v>2798</v>
      </c>
      <c r="B741" t="s">
        <v>1679</v>
      </c>
      <c r="C741">
        <v>0</v>
      </c>
      <c r="D741">
        <v>0</v>
      </c>
      <c r="E741" t="s">
        <v>1725</v>
      </c>
      <c r="H741">
        <v>0</v>
      </c>
      <c r="N741">
        <v>1</v>
      </c>
      <c r="Q741">
        <v>0</v>
      </c>
      <c r="R741">
        <v>0</v>
      </c>
      <c r="U741" t="s">
        <v>1687</v>
      </c>
      <c r="V741">
        <v>67</v>
      </c>
      <c r="X741" t="s">
        <v>55</v>
      </c>
      <c r="Y741">
        <v>0</v>
      </c>
      <c r="AD741" t="s">
        <v>57</v>
      </c>
      <c r="AE741">
        <v>0</v>
      </c>
      <c r="AF741">
        <v>6</v>
      </c>
      <c r="AG741">
        <v>1</v>
      </c>
      <c r="AH741">
        <v>1.5</v>
      </c>
      <c r="AI741">
        <v>512</v>
      </c>
      <c r="AJ741">
        <v>512</v>
      </c>
      <c r="AK741">
        <v>72</v>
      </c>
      <c r="AL741" t="s">
        <v>119</v>
      </c>
      <c r="AM741">
        <v>2.2000000000000002</v>
      </c>
      <c r="AN741" t="s">
        <v>1072</v>
      </c>
      <c r="AO741" t="s">
        <v>67</v>
      </c>
      <c r="AP741" t="s">
        <v>68</v>
      </c>
      <c r="AQ741">
        <v>15</v>
      </c>
      <c r="AR741">
        <v>217</v>
      </c>
      <c r="AS741">
        <v>435</v>
      </c>
      <c r="AT741">
        <v>4.2359999999999998</v>
      </c>
      <c r="AU741">
        <v>8.6679999999999993</v>
      </c>
      <c r="AV741" t="s">
        <v>2799</v>
      </c>
      <c r="AW741" t="s">
        <v>2800</v>
      </c>
      <c r="AX741" t="s">
        <v>2801</v>
      </c>
    </row>
    <row r="742" spans="1:50" x14ac:dyDescent="0.25">
      <c r="A742" t="s">
        <v>2802</v>
      </c>
      <c r="B742" t="s">
        <v>1679</v>
      </c>
      <c r="C742">
        <v>0</v>
      </c>
      <c r="D742">
        <v>0</v>
      </c>
      <c r="E742" t="s">
        <v>1780</v>
      </c>
      <c r="H742">
        <v>0</v>
      </c>
      <c r="N742">
        <v>0</v>
      </c>
      <c r="Q742">
        <v>0</v>
      </c>
      <c r="R742">
        <v>0</v>
      </c>
      <c r="U742" t="s">
        <v>65</v>
      </c>
      <c r="V742">
        <v>54</v>
      </c>
      <c r="W742" t="s">
        <v>79</v>
      </c>
      <c r="X742" t="s">
        <v>80</v>
      </c>
      <c r="Y742">
        <v>0</v>
      </c>
      <c r="AD742" t="s">
        <v>57</v>
      </c>
      <c r="AE742">
        <v>0</v>
      </c>
      <c r="AF742">
        <v>6</v>
      </c>
      <c r="AG742">
        <v>1</v>
      </c>
      <c r="AH742">
        <v>3</v>
      </c>
      <c r="AI742">
        <v>512</v>
      </c>
      <c r="AJ742">
        <v>512</v>
      </c>
      <c r="AK742">
        <v>134</v>
      </c>
      <c r="AL742" t="s">
        <v>2803</v>
      </c>
      <c r="AM742">
        <v>2.4000000950000002</v>
      </c>
      <c r="AN742" t="s">
        <v>1786</v>
      </c>
      <c r="AO742" t="s">
        <v>67</v>
      </c>
      <c r="AP742" t="s">
        <v>68</v>
      </c>
      <c r="AQ742">
        <v>15</v>
      </c>
      <c r="AR742">
        <v>532</v>
      </c>
      <c r="AS742">
        <v>1055</v>
      </c>
      <c r="AT742">
        <v>4.25</v>
      </c>
      <c r="AU742">
        <v>7.8789999999999996</v>
      </c>
      <c r="AV742" t="s">
        <v>1817</v>
      </c>
      <c r="AW742" t="s">
        <v>1887</v>
      </c>
      <c r="AX742" t="s">
        <v>2804</v>
      </c>
    </row>
    <row r="743" spans="1:50" x14ac:dyDescent="0.25">
      <c r="A743" t="s">
        <v>2805</v>
      </c>
      <c r="B743" t="s">
        <v>1679</v>
      </c>
      <c r="C743">
        <v>0</v>
      </c>
      <c r="D743">
        <v>0</v>
      </c>
      <c r="E743" t="s">
        <v>1698</v>
      </c>
      <c r="H743">
        <v>0</v>
      </c>
      <c r="N743">
        <v>1</v>
      </c>
      <c r="Q743">
        <v>0</v>
      </c>
      <c r="R743">
        <v>0</v>
      </c>
      <c r="U743" t="s">
        <v>1687</v>
      </c>
      <c r="V743">
        <v>27</v>
      </c>
      <c r="W743" t="s">
        <v>1688</v>
      </c>
      <c r="X743" t="s">
        <v>321</v>
      </c>
      <c r="Y743">
        <v>0</v>
      </c>
      <c r="Z743">
        <v>50.802999999999997</v>
      </c>
      <c r="AB743" t="s">
        <v>74</v>
      </c>
      <c r="AD743" t="s">
        <v>57</v>
      </c>
      <c r="AE743">
        <v>0</v>
      </c>
      <c r="AF743">
        <v>6</v>
      </c>
      <c r="AG743">
        <v>1</v>
      </c>
      <c r="AH743">
        <v>1.5</v>
      </c>
      <c r="AI743">
        <v>512</v>
      </c>
      <c r="AJ743">
        <v>512</v>
      </c>
      <c r="AK743">
        <v>80</v>
      </c>
      <c r="AL743" t="s">
        <v>1010</v>
      </c>
      <c r="AM743">
        <v>2</v>
      </c>
      <c r="AN743" t="s">
        <v>1011</v>
      </c>
      <c r="AO743" t="s">
        <v>59</v>
      </c>
      <c r="AP743" t="s">
        <v>60</v>
      </c>
      <c r="AQ743">
        <v>11</v>
      </c>
      <c r="AR743">
        <v>71</v>
      </c>
      <c r="AS743">
        <v>190</v>
      </c>
      <c r="AT743">
        <v>1.81</v>
      </c>
      <c r="AU743">
        <v>4.33</v>
      </c>
      <c r="AV743" t="s">
        <v>2806</v>
      </c>
      <c r="AW743" t="s">
        <v>2807</v>
      </c>
      <c r="AX743" t="s">
        <v>2808</v>
      </c>
    </row>
    <row r="744" spans="1:50" x14ac:dyDescent="0.25">
      <c r="A744" t="s">
        <v>2809</v>
      </c>
      <c r="B744" t="s">
        <v>1679</v>
      </c>
      <c r="C744">
        <v>0</v>
      </c>
      <c r="D744">
        <v>1</v>
      </c>
      <c r="E744" t="s">
        <v>1686</v>
      </c>
      <c r="H744">
        <v>1</v>
      </c>
      <c r="N744">
        <v>0</v>
      </c>
      <c r="Q744">
        <v>0</v>
      </c>
      <c r="R744">
        <v>1</v>
      </c>
      <c r="U744" t="s">
        <v>65</v>
      </c>
      <c r="V744">
        <v>54</v>
      </c>
      <c r="W744" t="s">
        <v>79</v>
      </c>
      <c r="X744" t="s">
        <v>80</v>
      </c>
      <c r="Y744">
        <v>0</v>
      </c>
      <c r="Z744">
        <v>51.256</v>
      </c>
      <c r="AB744" t="s">
        <v>74</v>
      </c>
      <c r="AD744" t="s">
        <v>57</v>
      </c>
      <c r="AE744">
        <v>0</v>
      </c>
      <c r="AF744">
        <v>6</v>
      </c>
      <c r="AG744">
        <v>1</v>
      </c>
      <c r="AH744">
        <v>1.5</v>
      </c>
      <c r="AI744">
        <v>512</v>
      </c>
      <c r="AJ744">
        <v>512</v>
      </c>
      <c r="AK744">
        <v>66</v>
      </c>
      <c r="AL744" t="s">
        <v>2022</v>
      </c>
      <c r="AM744">
        <v>2.4</v>
      </c>
      <c r="AN744" t="s">
        <v>1942</v>
      </c>
      <c r="AO744" t="s">
        <v>67</v>
      </c>
      <c r="AP744" t="s">
        <v>68</v>
      </c>
      <c r="AQ744">
        <v>15</v>
      </c>
      <c r="AR744">
        <v>496</v>
      </c>
      <c r="AS744">
        <v>992</v>
      </c>
      <c r="AT744">
        <v>3.0880000000000001</v>
      </c>
      <c r="AU744">
        <v>6.3639999999999999</v>
      </c>
      <c r="AV744" t="s">
        <v>2810</v>
      </c>
      <c r="AW744" t="s">
        <v>2811</v>
      </c>
      <c r="AX744" t="s">
        <v>2812</v>
      </c>
    </row>
    <row r="745" spans="1:50" x14ac:dyDescent="0.25">
      <c r="A745" t="s">
        <v>2813</v>
      </c>
      <c r="B745" t="s">
        <v>1679</v>
      </c>
      <c r="C745">
        <v>0</v>
      </c>
      <c r="D745">
        <v>0</v>
      </c>
      <c r="E745" t="s">
        <v>1693</v>
      </c>
      <c r="H745">
        <v>1</v>
      </c>
      <c r="N745">
        <v>0</v>
      </c>
      <c r="Q745">
        <v>0</v>
      </c>
      <c r="R745">
        <v>0</v>
      </c>
      <c r="U745" t="s">
        <v>65</v>
      </c>
      <c r="V745">
        <v>60</v>
      </c>
      <c r="W745" t="s">
        <v>79</v>
      </c>
      <c r="X745" t="s">
        <v>80</v>
      </c>
      <c r="Y745">
        <v>0</v>
      </c>
      <c r="Z745">
        <v>65</v>
      </c>
      <c r="AB745" t="s">
        <v>74</v>
      </c>
      <c r="AD745" t="s">
        <v>57</v>
      </c>
      <c r="AE745">
        <v>0</v>
      </c>
      <c r="AF745">
        <v>6</v>
      </c>
      <c r="AG745">
        <v>1</v>
      </c>
      <c r="AH745">
        <v>1.5</v>
      </c>
      <c r="AI745">
        <v>512</v>
      </c>
      <c r="AJ745">
        <v>512</v>
      </c>
      <c r="AK745">
        <v>160</v>
      </c>
      <c r="AL745" t="s">
        <v>1876</v>
      </c>
      <c r="AM745">
        <v>2</v>
      </c>
      <c r="AN745" t="s">
        <v>1877</v>
      </c>
      <c r="AO745" t="s">
        <v>1155</v>
      </c>
      <c r="AP745" t="s">
        <v>1767</v>
      </c>
      <c r="AQ745">
        <v>11</v>
      </c>
      <c r="AR745">
        <v>295</v>
      </c>
      <c r="AS745">
        <v>513</v>
      </c>
      <c r="AT745">
        <v>3.5449999999999999</v>
      </c>
      <c r="AU745">
        <v>7.1867000000000001</v>
      </c>
      <c r="AV745" t="s">
        <v>2273</v>
      </c>
      <c r="AW745" t="s">
        <v>2446</v>
      </c>
      <c r="AX745" t="s">
        <v>2814</v>
      </c>
    </row>
    <row r="746" spans="1:50" x14ac:dyDescent="0.25">
      <c r="A746" t="s">
        <v>2815</v>
      </c>
      <c r="B746" t="s">
        <v>1679</v>
      </c>
      <c r="C746">
        <v>0</v>
      </c>
      <c r="D746">
        <v>0</v>
      </c>
      <c r="E746" t="s">
        <v>1703</v>
      </c>
      <c r="H746">
        <v>0</v>
      </c>
      <c r="N746">
        <v>1</v>
      </c>
      <c r="Q746">
        <v>0</v>
      </c>
      <c r="R746">
        <v>0</v>
      </c>
      <c r="U746" t="s">
        <v>1687</v>
      </c>
      <c r="V746">
        <v>42</v>
      </c>
      <c r="W746" t="s">
        <v>1688</v>
      </c>
      <c r="X746" t="s">
        <v>80</v>
      </c>
      <c r="Y746">
        <v>0</v>
      </c>
      <c r="Z746">
        <v>61.234999999999999</v>
      </c>
      <c r="AB746" t="s">
        <v>74</v>
      </c>
      <c r="AD746" t="s">
        <v>57</v>
      </c>
      <c r="AE746">
        <v>0</v>
      </c>
      <c r="AF746">
        <v>6</v>
      </c>
      <c r="AG746">
        <v>1</v>
      </c>
      <c r="AH746">
        <v>1.5</v>
      </c>
      <c r="AI746">
        <v>512</v>
      </c>
      <c r="AJ746">
        <v>512</v>
      </c>
      <c r="AK746">
        <v>80</v>
      </c>
      <c r="AL746" t="s">
        <v>113</v>
      </c>
      <c r="AM746">
        <v>2</v>
      </c>
      <c r="AN746" t="s">
        <v>996</v>
      </c>
      <c r="AO746" t="s">
        <v>67</v>
      </c>
      <c r="AP746" t="s">
        <v>68</v>
      </c>
      <c r="AQ746">
        <v>15</v>
      </c>
      <c r="AR746">
        <v>339</v>
      </c>
      <c r="AS746">
        <v>679</v>
      </c>
      <c r="AT746">
        <v>4.2</v>
      </c>
      <c r="AU746">
        <v>7</v>
      </c>
      <c r="AV746" t="s">
        <v>2816</v>
      </c>
      <c r="AW746" t="s">
        <v>2817</v>
      </c>
      <c r="AX746" t="s">
        <v>2818</v>
      </c>
    </row>
    <row r="747" spans="1:50" x14ac:dyDescent="0.25">
      <c r="A747" t="s">
        <v>2819</v>
      </c>
      <c r="B747" t="s">
        <v>1679</v>
      </c>
      <c r="C747">
        <v>0</v>
      </c>
      <c r="D747">
        <v>1</v>
      </c>
      <c r="E747" t="s">
        <v>1693</v>
      </c>
      <c r="H747">
        <v>0</v>
      </c>
      <c r="N747">
        <v>0</v>
      </c>
      <c r="Q747">
        <v>0</v>
      </c>
      <c r="R747">
        <v>0</v>
      </c>
      <c r="U747" t="s">
        <v>65</v>
      </c>
      <c r="V747">
        <v>45</v>
      </c>
      <c r="W747" t="s">
        <v>1688</v>
      </c>
      <c r="X747" t="s">
        <v>80</v>
      </c>
      <c r="Y747">
        <v>0</v>
      </c>
      <c r="Z747">
        <v>62</v>
      </c>
      <c r="AB747" t="s">
        <v>74</v>
      </c>
      <c r="AD747" t="s">
        <v>57</v>
      </c>
      <c r="AE747">
        <v>0</v>
      </c>
      <c r="AF747">
        <v>6</v>
      </c>
      <c r="AG747">
        <v>1</v>
      </c>
      <c r="AH747">
        <v>3</v>
      </c>
      <c r="AI747">
        <v>512</v>
      </c>
      <c r="AJ747">
        <v>512</v>
      </c>
      <c r="AK747">
        <v>160</v>
      </c>
      <c r="AL747" t="s">
        <v>2372</v>
      </c>
      <c r="AM747">
        <v>2</v>
      </c>
      <c r="AN747" t="s">
        <v>1419</v>
      </c>
      <c r="AO747" t="s">
        <v>1155</v>
      </c>
      <c r="AP747" t="s">
        <v>1767</v>
      </c>
      <c r="AQ747">
        <v>11</v>
      </c>
      <c r="AR747">
        <v>1326</v>
      </c>
      <c r="AS747">
        <v>2305</v>
      </c>
      <c r="AT747">
        <v>1.73</v>
      </c>
      <c r="AU747">
        <v>4</v>
      </c>
      <c r="AV747" t="s">
        <v>2820</v>
      </c>
      <c r="AW747" t="s">
        <v>2821</v>
      </c>
      <c r="AX747" t="s">
        <v>2822</v>
      </c>
    </row>
    <row r="748" spans="1:50" x14ac:dyDescent="0.25">
      <c r="A748" t="s">
        <v>2823</v>
      </c>
      <c r="B748" t="s">
        <v>1679</v>
      </c>
      <c r="C748">
        <v>0</v>
      </c>
      <c r="D748">
        <v>0</v>
      </c>
      <c r="E748" t="s">
        <v>1680</v>
      </c>
      <c r="H748">
        <v>0</v>
      </c>
      <c r="N748">
        <v>1</v>
      </c>
      <c r="Q748">
        <v>0</v>
      </c>
      <c r="R748">
        <v>1</v>
      </c>
      <c r="U748" t="s">
        <v>1687</v>
      </c>
      <c r="V748">
        <v>45</v>
      </c>
      <c r="W748" t="s">
        <v>1688</v>
      </c>
      <c r="X748" t="s">
        <v>80</v>
      </c>
      <c r="Y748">
        <v>0</v>
      </c>
      <c r="Z748">
        <v>64</v>
      </c>
      <c r="AB748" t="s">
        <v>74</v>
      </c>
      <c r="AD748" t="s">
        <v>57</v>
      </c>
      <c r="AE748">
        <v>0</v>
      </c>
      <c r="AF748">
        <v>6</v>
      </c>
      <c r="AG748">
        <v>1</v>
      </c>
      <c r="AH748">
        <v>1.5</v>
      </c>
      <c r="AI748">
        <v>512</v>
      </c>
      <c r="AJ748">
        <v>512</v>
      </c>
      <c r="AK748">
        <v>180</v>
      </c>
      <c r="AL748" t="s">
        <v>1010</v>
      </c>
      <c r="AM748">
        <v>2</v>
      </c>
      <c r="AN748" t="s">
        <v>1154</v>
      </c>
      <c r="AO748" t="s">
        <v>1155</v>
      </c>
      <c r="AP748" t="s">
        <v>1305</v>
      </c>
      <c r="AQ748">
        <v>11</v>
      </c>
      <c r="AR748">
        <v>741</v>
      </c>
      <c r="AS748">
        <v>1289</v>
      </c>
      <c r="AT748">
        <v>2.8140000000000001</v>
      </c>
      <c r="AU748">
        <v>5.4090999999999996</v>
      </c>
      <c r="AV748" t="s">
        <v>2824</v>
      </c>
      <c r="AW748" t="s">
        <v>2825</v>
      </c>
      <c r="AX748" t="s">
        <v>2826</v>
      </c>
    </row>
    <row r="749" spans="1:50" x14ac:dyDescent="0.25">
      <c r="A749" t="s">
        <v>2827</v>
      </c>
      <c r="B749" t="s">
        <v>1679</v>
      </c>
      <c r="C749">
        <v>0</v>
      </c>
      <c r="D749">
        <v>0</v>
      </c>
      <c r="E749" t="s">
        <v>1680</v>
      </c>
      <c r="H749">
        <v>0</v>
      </c>
      <c r="N749">
        <v>0</v>
      </c>
      <c r="Q749">
        <v>0</v>
      </c>
      <c r="R749">
        <v>1</v>
      </c>
      <c r="U749" t="s">
        <v>65</v>
      </c>
      <c r="V749">
        <v>50</v>
      </c>
      <c r="X749" t="s">
        <v>80</v>
      </c>
      <c r="Y749">
        <v>0</v>
      </c>
      <c r="Z749">
        <v>132.24</v>
      </c>
      <c r="AB749" t="s">
        <v>269</v>
      </c>
      <c r="AD749" t="s">
        <v>57</v>
      </c>
      <c r="AE749">
        <v>1</v>
      </c>
      <c r="AF749">
        <v>6</v>
      </c>
      <c r="AG749">
        <v>1</v>
      </c>
      <c r="AH749">
        <v>1.5</v>
      </c>
      <c r="AI749">
        <v>384</v>
      </c>
      <c r="AJ749">
        <v>384</v>
      </c>
      <c r="AK749">
        <v>176</v>
      </c>
      <c r="AL749" t="s">
        <v>1719</v>
      </c>
      <c r="AM749">
        <v>1.1000000238000001</v>
      </c>
      <c r="AN749" t="s">
        <v>1720</v>
      </c>
      <c r="AO749" t="s">
        <v>59</v>
      </c>
      <c r="AP749" t="s">
        <v>60</v>
      </c>
      <c r="AQ749">
        <v>11</v>
      </c>
      <c r="AR749">
        <v>157</v>
      </c>
      <c r="AS749">
        <v>405</v>
      </c>
      <c r="AT749">
        <v>1.46</v>
      </c>
      <c r="AU749">
        <v>4.0999999999999996</v>
      </c>
      <c r="AV749" t="s">
        <v>2828</v>
      </c>
      <c r="AW749" t="s">
        <v>2099</v>
      </c>
      <c r="AX749" t="s">
        <v>2829</v>
      </c>
    </row>
    <row r="750" spans="1:50" x14ac:dyDescent="0.25">
      <c r="A750" t="s">
        <v>2830</v>
      </c>
      <c r="B750" t="s">
        <v>1679</v>
      </c>
      <c r="C750">
        <v>0</v>
      </c>
      <c r="D750">
        <v>0</v>
      </c>
      <c r="E750" t="s">
        <v>1780</v>
      </c>
      <c r="H750">
        <v>1</v>
      </c>
      <c r="N750">
        <v>0</v>
      </c>
      <c r="Q750">
        <v>0</v>
      </c>
      <c r="R750">
        <v>1</v>
      </c>
      <c r="U750" t="s">
        <v>65</v>
      </c>
      <c r="V750">
        <v>39</v>
      </c>
      <c r="W750" t="s">
        <v>1726</v>
      </c>
      <c r="X750" t="s">
        <v>111</v>
      </c>
      <c r="Y750">
        <v>0</v>
      </c>
      <c r="Z750">
        <v>70.760000000000005</v>
      </c>
      <c r="AB750" t="s">
        <v>94</v>
      </c>
      <c r="AD750" t="s">
        <v>57</v>
      </c>
      <c r="AE750">
        <v>0</v>
      </c>
      <c r="AF750">
        <v>6</v>
      </c>
      <c r="AG750">
        <v>1</v>
      </c>
      <c r="AH750">
        <v>1.5</v>
      </c>
      <c r="AI750">
        <v>512</v>
      </c>
      <c r="AJ750">
        <v>512</v>
      </c>
      <c r="AK750">
        <v>80</v>
      </c>
      <c r="AL750" t="s">
        <v>81</v>
      </c>
      <c r="AM750">
        <v>2</v>
      </c>
      <c r="AN750" t="s">
        <v>996</v>
      </c>
      <c r="AO750" t="s">
        <v>67</v>
      </c>
      <c r="AP750" t="s">
        <v>68</v>
      </c>
      <c r="AQ750">
        <v>15</v>
      </c>
      <c r="AR750">
        <v>74</v>
      </c>
      <c r="AS750">
        <v>148</v>
      </c>
      <c r="AT750">
        <v>4.2</v>
      </c>
      <c r="AU750">
        <v>7</v>
      </c>
      <c r="AV750" t="s">
        <v>2831</v>
      </c>
      <c r="AW750" t="s">
        <v>2832</v>
      </c>
      <c r="AX750" t="s">
        <v>2833</v>
      </c>
    </row>
    <row r="751" spans="1:50" x14ac:dyDescent="0.25">
      <c r="A751" t="s">
        <v>2834</v>
      </c>
      <c r="B751" t="s">
        <v>1679</v>
      </c>
      <c r="C751">
        <v>0</v>
      </c>
      <c r="D751">
        <v>0</v>
      </c>
      <c r="E751" t="s">
        <v>1693</v>
      </c>
      <c r="H751">
        <v>0</v>
      </c>
      <c r="N751">
        <v>0</v>
      </c>
      <c r="Q751">
        <v>0</v>
      </c>
      <c r="R751">
        <v>1</v>
      </c>
      <c r="U751" t="s">
        <v>65</v>
      </c>
      <c r="V751">
        <v>61</v>
      </c>
      <c r="W751" t="s">
        <v>79</v>
      </c>
      <c r="X751" t="s">
        <v>111</v>
      </c>
      <c r="Y751">
        <v>0</v>
      </c>
      <c r="Z751">
        <v>74.843000000000004</v>
      </c>
      <c r="AB751" t="s">
        <v>94</v>
      </c>
      <c r="AD751" t="s">
        <v>57</v>
      </c>
      <c r="AE751">
        <v>0</v>
      </c>
      <c r="AF751">
        <v>6</v>
      </c>
      <c r="AG751">
        <v>1</v>
      </c>
      <c r="AH751">
        <v>1.5</v>
      </c>
      <c r="AI751">
        <v>512</v>
      </c>
      <c r="AJ751">
        <v>512</v>
      </c>
      <c r="AK751">
        <v>80</v>
      </c>
      <c r="AL751" t="s">
        <v>81</v>
      </c>
      <c r="AM751">
        <v>2</v>
      </c>
      <c r="AN751" t="s">
        <v>996</v>
      </c>
      <c r="AO751" t="s">
        <v>67</v>
      </c>
      <c r="AP751" t="s">
        <v>68</v>
      </c>
      <c r="AQ751">
        <v>15</v>
      </c>
      <c r="AR751">
        <v>125</v>
      </c>
      <c r="AS751">
        <v>250</v>
      </c>
      <c r="AT751">
        <v>4.2</v>
      </c>
      <c r="AU751">
        <v>7</v>
      </c>
      <c r="AV751" t="s">
        <v>2835</v>
      </c>
      <c r="AW751" t="s">
        <v>2836</v>
      </c>
      <c r="AX751" t="s">
        <v>2837</v>
      </c>
    </row>
    <row r="752" spans="1:50" x14ac:dyDescent="0.25">
      <c r="A752" t="s">
        <v>2838</v>
      </c>
      <c r="B752" t="s">
        <v>1679</v>
      </c>
      <c r="C752">
        <v>0</v>
      </c>
      <c r="D752">
        <v>1</v>
      </c>
      <c r="E752" t="s">
        <v>1698</v>
      </c>
      <c r="H752">
        <v>0</v>
      </c>
      <c r="N752">
        <v>0</v>
      </c>
      <c r="Q752">
        <v>0</v>
      </c>
      <c r="R752">
        <v>1</v>
      </c>
      <c r="U752" t="s">
        <v>65</v>
      </c>
      <c r="V752">
        <v>39</v>
      </c>
      <c r="X752" t="s">
        <v>80</v>
      </c>
      <c r="Y752">
        <v>0</v>
      </c>
      <c r="AD752" t="s">
        <v>57</v>
      </c>
      <c r="AE752">
        <v>0</v>
      </c>
      <c r="AF752">
        <v>6</v>
      </c>
      <c r="AG752">
        <v>1</v>
      </c>
      <c r="AH752">
        <v>1.5</v>
      </c>
      <c r="AI752">
        <v>512</v>
      </c>
      <c r="AJ752">
        <v>512</v>
      </c>
      <c r="AK752">
        <v>64</v>
      </c>
      <c r="AL752" t="s">
        <v>196</v>
      </c>
      <c r="AM752">
        <v>2.5</v>
      </c>
      <c r="AN752" t="s">
        <v>1705</v>
      </c>
      <c r="AO752" t="s">
        <v>67</v>
      </c>
      <c r="AP752" t="s">
        <v>89</v>
      </c>
      <c r="AQ752">
        <v>15</v>
      </c>
      <c r="AR752">
        <v>286</v>
      </c>
      <c r="AS752">
        <v>573</v>
      </c>
      <c r="AT752">
        <v>2.5640000000000001</v>
      </c>
      <c r="AU752">
        <v>5.7370000000000001</v>
      </c>
      <c r="AV752" t="s">
        <v>2839</v>
      </c>
      <c r="AW752" t="s">
        <v>2840</v>
      </c>
      <c r="AX752" t="s">
        <v>2841</v>
      </c>
    </row>
    <row r="753" spans="1:50" x14ac:dyDescent="0.25">
      <c r="A753" t="s">
        <v>2842</v>
      </c>
      <c r="B753" t="s">
        <v>1679</v>
      </c>
      <c r="C753">
        <v>0</v>
      </c>
      <c r="D753">
        <v>0</v>
      </c>
      <c r="E753" t="s">
        <v>1780</v>
      </c>
      <c r="H753">
        <v>0</v>
      </c>
      <c r="N753">
        <v>0</v>
      </c>
      <c r="Q753">
        <v>0</v>
      </c>
      <c r="R753">
        <v>1</v>
      </c>
      <c r="U753" t="s">
        <v>65</v>
      </c>
      <c r="V753">
        <v>37</v>
      </c>
      <c r="W753" t="s">
        <v>1726</v>
      </c>
      <c r="X753" t="s">
        <v>80</v>
      </c>
      <c r="Y753">
        <v>0</v>
      </c>
      <c r="Z753">
        <v>68.039000000000001</v>
      </c>
      <c r="AB753" t="s">
        <v>74</v>
      </c>
      <c r="AD753" t="s">
        <v>57</v>
      </c>
      <c r="AE753">
        <v>0</v>
      </c>
      <c r="AF753">
        <v>6</v>
      </c>
      <c r="AG753">
        <v>1</v>
      </c>
      <c r="AH753">
        <v>1.5</v>
      </c>
      <c r="AI753">
        <v>512</v>
      </c>
      <c r="AJ753">
        <v>512</v>
      </c>
      <c r="AK753">
        <v>80</v>
      </c>
      <c r="AL753" t="s">
        <v>113</v>
      </c>
      <c r="AM753">
        <v>2</v>
      </c>
      <c r="AN753" t="s">
        <v>996</v>
      </c>
      <c r="AO753" t="s">
        <v>67</v>
      </c>
      <c r="AP753" t="s">
        <v>68</v>
      </c>
      <c r="AQ753">
        <v>15</v>
      </c>
      <c r="AR753">
        <v>94</v>
      </c>
      <c r="AS753">
        <v>188</v>
      </c>
      <c r="AT753">
        <v>4.2</v>
      </c>
      <c r="AU753">
        <v>6.992</v>
      </c>
      <c r="AV753" t="s">
        <v>2843</v>
      </c>
      <c r="AW753" t="s">
        <v>2844</v>
      </c>
      <c r="AX753" t="s">
        <v>2845</v>
      </c>
    </row>
    <row r="754" spans="1:50" x14ac:dyDescent="0.25">
      <c r="A754" t="s">
        <v>2846</v>
      </c>
      <c r="B754" t="s">
        <v>1679</v>
      </c>
      <c r="C754">
        <v>0</v>
      </c>
      <c r="D754">
        <v>1</v>
      </c>
      <c r="E754" t="s">
        <v>1703</v>
      </c>
      <c r="H754">
        <v>0</v>
      </c>
      <c r="N754">
        <v>0</v>
      </c>
      <c r="Q754">
        <v>0</v>
      </c>
      <c r="R754">
        <v>1</v>
      </c>
      <c r="U754" t="s">
        <v>65</v>
      </c>
      <c r="V754">
        <v>40</v>
      </c>
      <c r="W754" t="s">
        <v>1726</v>
      </c>
      <c r="X754" t="s">
        <v>80</v>
      </c>
      <c r="Y754">
        <v>0</v>
      </c>
      <c r="AD754" t="s">
        <v>57</v>
      </c>
      <c r="AE754">
        <v>0</v>
      </c>
      <c r="AF754">
        <v>6</v>
      </c>
      <c r="AG754">
        <v>1</v>
      </c>
      <c r="AH754">
        <v>1.5</v>
      </c>
      <c r="AI754">
        <v>512</v>
      </c>
      <c r="AJ754">
        <v>512</v>
      </c>
      <c r="AK754">
        <v>80</v>
      </c>
      <c r="AL754" t="s">
        <v>81</v>
      </c>
      <c r="AM754">
        <v>2</v>
      </c>
      <c r="AN754" t="s">
        <v>1681</v>
      </c>
      <c r="AO754" t="s">
        <v>67</v>
      </c>
      <c r="AP754" t="s">
        <v>68</v>
      </c>
      <c r="AQ754">
        <v>15</v>
      </c>
      <c r="AR754">
        <v>410</v>
      </c>
      <c r="AS754">
        <v>1013</v>
      </c>
      <c r="AT754">
        <v>2.6040000000000001</v>
      </c>
      <c r="AU754">
        <v>5.6239999999999997</v>
      </c>
      <c r="AV754" t="s">
        <v>2847</v>
      </c>
      <c r="AW754" t="s">
        <v>2848</v>
      </c>
      <c r="AX754" t="s">
        <v>2849</v>
      </c>
    </row>
    <row r="755" spans="1:50" x14ac:dyDescent="0.25">
      <c r="A755" t="s">
        <v>2850</v>
      </c>
      <c r="B755" t="s">
        <v>1679</v>
      </c>
      <c r="C755">
        <v>0</v>
      </c>
      <c r="D755">
        <v>1</v>
      </c>
      <c r="E755" t="s">
        <v>1725</v>
      </c>
      <c r="H755">
        <v>1</v>
      </c>
      <c r="N755">
        <v>0</v>
      </c>
      <c r="Q755">
        <v>0</v>
      </c>
      <c r="R755">
        <v>1</v>
      </c>
      <c r="U755" t="s">
        <v>65</v>
      </c>
      <c r="V755">
        <v>50</v>
      </c>
      <c r="X755" t="s">
        <v>80</v>
      </c>
      <c r="Y755">
        <v>0</v>
      </c>
      <c r="AD755" t="s">
        <v>57</v>
      </c>
      <c r="AE755">
        <v>0</v>
      </c>
      <c r="AF755">
        <v>6</v>
      </c>
      <c r="AG755">
        <v>1</v>
      </c>
      <c r="AH755">
        <v>1.5</v>
      </c>
      <c r="AI755">
        <v>512</v>
      </c>
      <c r="AJ755">
        <v>512</v>
      </c>
      <c r="AK755">
        <v>80</v>
      </c>
      <c r="AL755" t="s">
        <v>196</v>
      </c>
      <c r="AM755">
        <v>2</v>
      </c>
      <c r="AN755" t="s">
        <v>1681</v>
      </c>
      <c r="AO755" t="s">
        <v>67</v>
      </c>
      <c r="AP755" t="s">
        <v>68</v>
      </c>
      <c r="AQ755">
        <v>15</v>
      </c>
      <c r="AR755">
        <v>315</v>
      </c>
      <c r="AS755">
        <v>630</v>
      </c>
      <c r="AT755">
        <v>2.6440000000000001</v>
      </c>
      <c r="AU755">
        <v>6.0590000000000002</v>
      </c>
      <c r="AV755" t="s">
        <v>2851</v>
      </c>
      <c r="AW755" t="s">
        <v>2852</v>
      </c>
      <c r="AX755" t="s">
        <v>2853</v>
      </c>
    </row>
    <row r="756" spans="1:50" x14ac:dyDescent="0.25">
      <c r="A756" t="s">
        <v>2854</v>
      </c>
      <c r="B756" t="s">
        <v>1679</v>
      </c>
      <c r="C756">
        <v>1</v>
      </c>
      <c r="D756">
        <v>0</v>
      </c>
      <c r="E756" t="s">
        <v>1740</v>
      </c>
      <c r="H756">
        <v>1</v>
      </c>
      <c r="N756">
        <v>1</v>
      </c>
      <c r="Q756">
        <v>1</v>
      </c>
      <c r="R756">
        <v>1</v>
      </c>
      <c r="U756" t="s">
        <v>1735</v>
      </c>
      <c r="V756">
        <v>43</v>
      </c>
      <c r="W756" t="s">
        <v>79</v>
      </c>
      <c r="X756" t="s">
        <v>55</v>
      </c>
      <c r="Y756">
        <v>0</v>
      </c>
      <c r="Z756">
        <v>104</v>
      </c>
      <c r="AB756" t="s">
        <v>56</v>
      </c>
      <c r="AD756" t="s">
        <v>57</v>
      </c>
      <c r="AE756">
        <v>1</v>
      </c>
      <c r="AF756">
        <v>6</v>
      </c>
      <c r="AG756">
        <v>1</v>
      </c>
      <c r="AH756">
        <v>3</v>
      </c>
      <c r="AI756">
        <v>384</v>
      </c>
      <c r="AJ756">
        <v>384</v>
      </c>
      <c r="AK756">
        <v>200</v>
      </c>
      <c r="AL756" t="s">
        <v>1394</v>
      </c>
      <c r="AM756">
        <v>2</v>
      </c>
      <c r="AN756" t="s">
        <v>1154</v>
      </c>
      <c r="AO756" t="s">
        <v>1155</v>
      </c>
      <c r="AP756" t="s">
        <v>1767</v>
      </c>
      <c r="AQ756">
        <v>15</v>
      </c>
      <c r="AR756">
        <v>120</v>
      </c>
      <c r="AS756">
        <v>209</v>
      </c>
      <c r="AT756">
        <v>2.302</v>
      </c>
      <c r="AU756">
        <v>4.4377000000000004</v>
      </c>
      <c r="AW756" t="s">
        <v>2855</v>
      </c>
      <c r="AX756" t="s">
        <v>2856</v>
      </c>
    </row>
    <row r="757" spans="1:50" x14ac:dyDescent="0.25">
      <c r="A757" t="s">
        <v>2857</v>
      </c>
      <c r="B757" t="s">
        <v>1679</v>
      </c>
      <c r="C757">
        <v>0</v>
      </c>
      <c r="D757">
        <v>0</v>
      </c>
      <c r="E757" t="s">
        <v>1791</v>
      </c>
      <c r="H757">
        <v>0</v>
      </c>
      <c r="N757">
        <v>0</v>
      </c>
      <c r="Q757">
        <v>1</v>
      </c>
      <c r="R757">
        <v>0</v>
      </c>
      <c r="U757" t="s">
        <v>72</v>
      </c>
      <c r="V757">
        <v>54</v>
      </c>
      <c r="W757" t="s">
        <v>79</v>
      </c>
      <c r="X757" t="s">
        <v>111</v>
      </c>
      <c r="Y757">
        <v>0</v>
      </c>
      <c r="Z757">
        <v>68.038864154999999</v>
      </c>
      <c r="AB757" t="s">
        <v>74</v>
      </c>
      <c r="AD757" t="s">
        <v>57</v>
      </c>
      <c r="AE757">
        <v>1</v>
      </c>
      <c r="AF757">
        <v>6</v>
      </c>
      <c r="AG757">
        <v>1</v>
      </c>
      <c r="AH757">
        <v>1.5</v>
      </c>
      <c r="AI757">
        <v>384</v>
      </c>
      <c r="AJ757">
        <v>384</v>
      </c>
      <c r="AK757">
        <v>144</v>
      </c>
      <c r="AL757" t="s">
        <v>1394</v>
      </c>
      <c r="AM757">
        <v>1.2000000476999999</v>
      </c>
      <c r="AN757" t="s">
        <v>2146</v>
      </c>
      <c r="AO757" t="s">
        <v>59</v>
      </c>
      <c r="AP757" t="s">
        <v>2147</v>
      </c>
      <c r="AQ757">
        <v>11</v>
      </c>
      <c r="AR757">
        <v>23</v>
      </c>
      <c r="AS757">
        <v>58</v>
      </c>
      <c r="AT757">
        <v>1.62</v>
      </c>
      <c r="AU757">
        <v>4.57</v>
      </c>
      <c r="AV757" t="s">
        <v>2148</v>
      </c>
      <c r="AW757" t="s">
        <v>2858</v>
      </c>
      <c r="AX757" t="s">
        <v>2859</v>
      </c>
    </row>
    <row r="758" spans="1:50" x14ac:dyDescent="0.25">
      <c r="A758" t="s">
        <v>2860</v>
      </c>
      <c r="B758" t="s">
        <v>1679</v>
      </c>
      <c r="C758">
        <v>0</v>
      </c>
      <c r="D758">
        <v>0</v>
      </c>
      <c r="E758" t="s">
        <v>1703</v>
      </c>
      <c r="H758">
        <v>0</v>
      </c>
      <c r="N758">
        <v>0</v>
      </c>
      <c r="Q758">
        <v>0</v>
      </c>
      <c r="R758">
        <v>1</v>
      </c>
      <c r="U758" t="s">
        <v>65</v>
      </c>
      <c r="V758">
        <v>53</v>
      </c>
      <c r="W758" t="s">
        <v>79</v>
      </c>
      <c r="X758" t="s">
        <v>80</v>
      </c>
      <c r="Y758">
        <v>0</v>
      </c>
      <c r="Z758">
        <v>64</v>
      </c>
      <c r="AB758" t="s">
        <v>74</v>
      </c>
      <c r="AD758" t="s">
        <v>57</v>
      </c>
      <c r="AE758">
        <v>0</v>
      </c>
      <c r="AF758">
        <v>6</v>
      </c>
      <c r="AG758">
        <v>1</v>
      </c>
      <c r="AH758">
        <v>1.5</v>
      </c>
      <c r="AI758">
        <v>512</v>
      </c>
      <c r="AJ758">
        <v>512</v>
      </c>
      <c r="AK758">
        <v>64</v>
      </c>
      <c r="AL758" t="s">
        <v>66</v>
      </c>
      <c r="AM758">
        <v>2.5</v>
      </c>
      <c r="AN758" t="s">
        <v>1705</v>
      </c>
      <c r="AO758" t="s">
        <v>67</v>
      </c>
      <c r="AP758" t="s">
        <v>89</v>
      </c>
      <c r="AQ758">
        <v>15</v>
      </c>
      <c r="AR758">
        <v>191</v>
      </c>
      <c r="AS758">
        <v>382</v>
      </c>
      <c r="AT758">
        <v>2.6040000000000001</v>
      </c>
      <c r="AU758">
        <v>6.125</v>
      </c>
      <c r="AV758" t="s">
        <v>2861</v>
      </c>
      <c r="AW758" t="s">
        <v>2862</v>
      </c>
      <c r="AX758" t="s">
        <v>2863</v>
      </c>
    </row>
    <row r="759" spans="1:50" x14ac:dyDescent="0.25">
      <c r="A759" t="s">
        <v>2864</v>
      </c>
      <c r="B759" t="s">
        <v>1679</v>
      </c>
      <c r="C759">
        <v>0</v>
      </c>
      <c r="D759">
        <v>0</v>
      </c>
      <c r="E759" t="s">
        <v>1686</v>
      </c>
      <c r="H759">
        <v>0</v>
      </c>
      <c r="N759">
        <v>1</v>
      </c>
      <c r="Q759">
        <v>0</v>
      </c>
      <c r="R759">
        <v>1</v>
      </c>
      <c r="U759" t="s">
        <v>1687</v>
      </c>
      <c r="V759">
        <v>36</v>
      </c>
      <c r="W759" t="s">
        <v>1688</v>
      </c>
      <c r="X759" t="s">
        <v>80</v>
      </c>
      <c r="Y759">
        <v>0</v>
      </c>
      <c r="Z759">
        <v>52</v>
      </c>
      <c r="AB759" t="s">
        <v>74</v>
      </c>
      <c r="AD759" t="s">
        <v>57</v>
      </c>
      <c r="AE759">
        <v>0</v>
      </c>
      <c r="AF759">
        <v>6</v>
      </c>
      <c r="AG759">
        <v>1</v>
      </c>
      <c r="AH759">
        <v>3</v>
      </c>
      <c r="AI759">
        <v>416</v>
      </c>
      <c r="AJ759">
        <v>416</v>
      </c>
      <c r="AK759">
        <v>64</v>
      </c>
      <c r="AL759" t="s">
        <v>2564</v>
      </c>
      <c r="AM759">
        <v>2.5</v>
      </c>
      <c r="AN759" t="s">
        <v>1114</v>
      </c>
      <c r="AO759" t="s">
        <v>59</v>
      </c>
      <c r="AP759" t="s">
        <v>1781</v>
      </c>
      <c r="AQ759">
        <v>11</v>
      </c>
      <c r="AR759">
        <v>118</v>
      </c>
      <c r="AS759">
        <v>298</v>
      </c>
      <c r="AT759">
        <v>1.52</v>
      </c>
      <c r="AU759">
        <v>4.74</v>
      </c>
      <c r="AV759" t="s">
        <v>2865</v>
      </c>
      <c r="AW759" t="s">
        <v>2866</v>
      </c>
      <c r="AX759" t="s">
        <v>2867</v>
      </c>
    </row>
    <row r="760" spans="1:50" x14ac:dyDescent="0.25">
      <c r="A760" t="s">
        <v>2868</v>
      </c>
      <c r="B760" t="s">
        <v>1679</v>
      </c>
      <c r="C760">
        <v>0</v>
      </c>
      <c r="D760">
        <v>0</v>
      </c>
      <c r="E760" t="s">
        <v>1703</v>
      </c>
      <c r="H760">
        <v>0</v>
      </c>
      <c r="N760">
        <v>1</v>
      </c>
      <c r="Q760">
        <v>0</v>
      </c>
      <c r="R760">
        <v>0</v>
      </c>
      <c r="U760" t="s">
        <v>1687</v>
      </c>
      <c r="V760">
        <v>52</v>
      </c>
      <c r="X760" t="s">
        <v>80</v>
      </c>
      <c r="Y760">
        <v>0</v>
      </c>
      <c r="Z760">
        <v>90.718000000000004</v>
      </c>
      <c r="AB760" t="s">
        <v>118</v>
      </c>
      <c r="AD760" t="s">
        <v>57</v>
      </c>
      <c r="AE760">
        <v>0</v>
      </c>
      <c r="AF760">
        <v>6</v>
      </c>
      <c r="AG760">
        <v>1</v>
      </c>
      <c r="AH760">
        <v>3</v>
      </c>
      <c r="AI760">
        <v>512</v>
      </c>
      <c r="AJ760">
        <v>512</v>
      </c>
      <c r="AK760">
        <v>134</v>
      </c>
      <c r="AL760" t="s">
        <v>119</v>
      </c>
      <c r="AM760">
        <v>2.4</v>
      </c>
      <c r="AN760" t="s">
        <v>1786</v>
      </c>
      <c r="AO760" t="s">
        <v>67</v>
      </c>
      <c r="AP760" t="s">
        <v>68</v>
      </c>
      <c r="AQ760">
        <v>15</v>
      </c>
      <c r="AR760">
        <v>292</v>
      </c>
      <c r="AS760">
        <v>584</v>
      </c>
      <c r="AT760">
        <v>2.8079999999999998</v>
      </c>
      <c r="AU760">
        <v>7.3209999999999997</v>
      </c>
      <c r="AV760" t="s">
        <v>2106</v>
      </c>
      <c r="AW760" t="s">
        <v>2869</v>
      </c>
      <c r="AX760" t="s">
        <v>2870</v>
      </c>
    </row>
    <row r="761" spans="1:50" x14ac:dyDescent="0.25">
      <c r="A761" t="s">
        <v>2871</v>
      </c>
      <c r="B761" t="s">
        <v>1679</v>
      </c>
      <c r="C761">
        <v>0</v>
      </c>
      <c r="D761">
        <v>0</v>
      </c>
      <c r="E761" t="s">
        <v>1703</v>
      </c>
      <c r="H761">
        <v>0</v>
      </c>
      <c r="N761">
        <v>1</v>
      </c>
      <c r="Q761">
        <v>0</v>
      </c>
      <c r="R761">
        <v>1</v>
      </c>
      <c r="U761" t="s">
        <v>1687</v>
      </c>
      <c r="V761">
        <v>30</v>
      </c>
      <c r="W761" t="s">
        <v>1688</v>
      </c>
      <c r="X761" t="s">
        <v>80</v>
      </c>
      <c r="Y761">
        <v>0</v>
      </c>
      <c r="Z761">
        <v>108.86</v>
      </c>
      <c r="AB761" t="s">
        <v>56</v>
      </c>
      <c r="AD761" t="s">
        <v>57</v>
      </c>
      <c r="AE761">
        <v>0</v>
      </c>
      <c r="AF761">
        <v>6</v>
      </c>
      <c r="AG761">
        <v>1</v>
      </c>
      <c r="AH761">
        <v>3</v>
      </c>
      <c r="AI761">
        <v>512</v>
      </c>
      <c r="AJ761">
        <v>512</v>
      </c>
      <c r="AK761">
        <v>134</v>
      </c>
      <c r="AL761" t="s">
        <v>2520</v>
      </c>
      <c r="AM761">
        <v>2.4</v>
      </c>
      <c r="AN761" t="s">
        <v>1786</v>
      </c>
      <c r="AO761" t="s">
        <v>67</v>
      </c>
      <c r="AP761" t="s">
        <v>1979</v>
      </c>
      <c r="AQ761">
        <v>15</v>
      </c>
      <c r="AR761">
        <v>475</v>
      </c>
      <c r="AS761">
        <v>951</v>
      </c>
      <c r="AT761">
        <v>4.6719999999999997</v>
      </c>
      <c r="AU761">
        <v>8.8879999999999999</v>
      </c>
      <c r="AV761" t="s">
        <v>1846</v>
      </c>
      <c r="AW761" t="s">
        <v>1847</v>
      </c>
      <c r="AX761" t="s">
        <v>2872</v>
      </c>
    </row>
    <row r="762" spans="1:50" x14ac:dyDescent="0.25">
      <c r="A762" t="s">
        <v>2873</v>
      </c>
      <c r="B762" t="s">
        <v>1679</v>
      </c>
      <c r="C762">
        <v>0</v>
      </c>
      <c r="D762">
        <v>1</v>
      </c>
      <c r="E762" t="s">
        <v>1839</v>
      </c>
      <c r="H762">
        <v>1</v>
      </c>
      <c r="N762">
        <v>0</v>
      </c>
      <c r="Q762">
        <v>1</v>
      </c>
      <c r="R762">
        <v>1</v>
      </c>
      <c r="U762" t="s">
        <v>72</v>
      </c>
      <c r="V762">
        <v>48</v>
      </c>
      <c r="W762" t="s">
        <v>1688</v>
      </c>
      <c r="X762" t="s">
        <v>80</v>
      </c>
      <c r="Y762">
        <v>0</v>
      </c>
      <c r="Z762">
        <v>96.162000000000006</v>
      </c>
      <c r="AB762" t="s">
        <v>56</v>
      </c>
      <c r="AD762" t="s">
        <v>57</v>
      </c>
      <c r="AE762">
        <v>0</v>
      </c>
      <c r="AF762">
        <v>6</v>
      </c>
      <c r="AG762">
        <v>1</v>
      </c>
      <c r="AH762">
        <v>1.5</v>
      </c>
      <c r="AI762">
        <v>512</v>
      </c>
      <c r="AJ762">
        <v>512</v>
      </c>
      <c r="AK762">
        <v>80</v>
      </c>
      <c r="AL762" t="s">
        <v>240</v>
      </c>
      <c r="AM762">
        <v>2</v>
      </c>
      <c r="AN762" t="s">
        <v>996</v>
      </c>
      <c r="AO762" t="s">
        <v>67</v>
      </c>
      <c r="AP762" t="s">
        <v>68</v>
      </c>
      <c r="AQ762">
        <v>15</v>
      </c>
      <c r="AR762">
        <v>40</v>
      </c>
      <c r="AS762">
        <v>80</v>
      </c>
      <c r="AT762">
        <v>4.2</v>
      </c>
      <c r="AU762">
        <v>7</v>
      </c>
      <c r="AV762" t="s">
        <v>2874</v>
      </c>
      <c r="AW762" t="s">
        <v>2875</v>
      </c>
      <c r="AX762" t="s">
        <v>2876</v>
      </c>
    </row>
    <row r="763" spans="1:50" x14ac:dyDescent="0.25">
      <c r="A763" t="s">
        <v>2877</v>
      </c>
      <c r="B763" t="s">
        <v>1679</v>
      </c>
      <c r="C763">
        <v>0</v>
      </c>
      <c r="D763">
        <v>0</v>
      </c>
      <c r="E763" t="s">
        <v>2035</v>
      </c>
      <c r="H763">
        <v>0</v>
      </c>
      <c r="N763">
        <v>1</v>
      </c>
      <c r="Q763">
        <v>1</v>
      </c>
      <c r="R763">
        <v>1</v>
      </c>
      <c r="U763" t="s">
        <v>1735</v>
      </c>
      <c r="V763">
        <v>51</v>
      </c>
      <c r="W763" t="s">
        <v>79</v>
      </c>
      <c r="X763" t="s">
        <v>1211</v>
      </c>
      <c r="Y763">
        <v>0</v>
      </c>
      <c r="Z763">
        <v>83.915000000000006</v>
      </c>
      <c r="AB763" t="s">
        <v>118</v>
      </c>
      <c r="AD763" t="s">
        <v>57</v>
      </c>
      <c r="AE763">
        <v>0</v>
      </c>
      <c r="AF763">
        <v>6</v>
      </c>
      <c r="AG763">
        <v>1</v>
      </c>
      <c r="AH763">
        <v>3</v>
      </c>
      <c r="AI763">
        <v>512</v>
      </c>
      <c r="AJ763">
        <v>512</v>
      </c>
      <c r="AK763">
        <v>150</v>
      </c>
      <c r="AL763" t="s">
        <v>240</v>
      </c>
      <c r="AM763">
        <v>2.4</v>
      </c>
      <c r="AN763" t="s">
        <v>1786</v>
      </c>
      <c r="AO763" t="s">
        <v>67</v>
      </c>
      <c r="AP763" t="s">
        <v>68</v>
      </c>
      <c r="AQ763">
        <v>15</v>
      </c>
      <c r="AR763">
        <v>155</v>
      </c>
      <c r="AS763">
        <v>310</v>
      </c>
      <c r="AT763">
        <v>2.78</v>
      </c>
      <c r="AU763">
        <v>7.0780000000000003</v>
      </c>
      <c r="AV763" t="s">
        <v>2068</v>
      </c>
      <c r="AW763" t="s">
        <v>2878</v>
      </c>
      <c r="AX763" t="s">
        <v>2879</v>
      </c>
    </row>
    <row r="764" spans="1:50" x14ac:dyDescent="0.25">
      <c r="A764" t="s">
        <v>2880</v>
      </c>
      <c r="B764" t="s">
        <v>1679</v>
      </c>
      <c r="C764">
        <v>0</v>
      </c>
      <c r="D764">
        <v>0</v>
      </c>
      <c r="E764" t="s">
        <v>1703</v>
      </c>
      <c r="H764">
        <v>0</v>
      </c>
      <c r="N764">
        <v>1</v>
      </c>
      <c r="Q764">
        <v>0</v>
      </c>
      <c r="R764">
        <v>0</v>
      </c>
      <c r="U764" t="s">
        <v>1687</v>
      </c>
      <c r="V764">
        <v>45</v>
      </c>
      <c r="W764" t="s">
        <v>1726</v>
      </c>
      <c r="X764" t="s">
        <v>80</v>
      </c>
      <c r="Y764">
        <v>0</v>
      </c>
      <c r="Z764">
        <v>75</v>
      </c>
      <c r="AB764" t="s">
        <v>94</v>
      </c>
      <c r="AD764" t="s">
        <v>57</v>
      </c>
      <c r="AE764">
        <v>0</v>
      </c>
      <c r="AF764">
        <v>6</v>
      </c>
      <c r="AG764">
        <v>1</v>
      </c>
      <c r="AH764">
        <v>1.5</v>
      </c>
      <c r="AI764">
        <v>640</v>
      </c>
      <c r="AJ764">
        <v>640</v>
      </c>
      <c r="AK764">
        <v>134</v>
      </c>
      <c r="AL764" t="s">
        <v>2305</v>
      </c>
      <c r="AM764">
        <v>2.4</v>
      </c>
      <c r="AN764" t="s">
        <v>1877</v>
      </c>
      <c r="AO764" t="s">
        <v>1155</v>
      </c>
      <c r="AP764" t="s">
        <v>2306</v>
      </c>
      <c r="AQ764">
        <v>11</v>
      </c>
      <c r="AR764">
        <v>149</v>
      </c>
      <c r="AS764">
        <v>260</v>
      </c>
      <c r="AT764">
        <v>3.5950000000000002</v>
      </c>
      <c r="AU764">
        <v>7.2916999999999996</v>
      </c>
      <c r="AV764" t="s">
        <v>2307</v>
      </c>
      <c r="AW764" t="s">
        <v>2881</v>
      </c>
      <c r="AX764" t="s">
        <v>2882</v>
      </c>
    </row>
    <row r="765" spans="1:50" x14ac:dyDescent="0.25">
      <c r="A765" t="s">
        <v>2883</v>
      </c>
      <c r="B765" t="s">
        <v>1679</v>
      </c>
      <c r="C765">
        <v>0</v>
      </c>
      <c r="D765">
        <v>1</v>
      </c>
      <c r="E765" t="s">
        <v>1686</v>
      </c>
      <c r="H765">
        <v>0</v>
      </c>
      <c r="N765">
        <v>1</v>
      </c>
      <c r="Q765">
        <v>0</v>
      </c>
      <c r="R765">
        <v>1</v>
      </c>
      <c r="U765" t="s">
        <v>1687</v>
      </c>
      <c r="V765">
        <v>63</v>
      </c>
      <c r="X765" t="s">
        <v>80</v>
      </c>
      <c r="Y765">
        <v>0</v>
      </c>
      <c r="Z765">
        <v>75</v>
      </c>
      <c r="AB765" t="s">
        <v>94</v>
      </c>
      <c r="AD765" t="s">
        <v>57</v>
      </c>
      <c r="AE765">
        <v>0</v>
      </c>
      <c r="AF765">
        <v>6</v>
      </c>
      <c r="AG765">
        <v>1</v>
      </c>
      <c r="AH765">
        <v>1.5</v>
      </c>
      <c r="AI765">
        <v>512</v>
      </c>
      <c r="AJ765">
        <v>512</v>
      </c>
      <c r="AK765">
        <v>64</v>
      </c>
      <c r="AL765" t="s">
        <v>81</v>
      </c>
      <c r="AM765">
        <v>2.5</v>
      </c>
      <c r="AN765" t="s">
        <v>1705</v>
      </c>
      <c r="AO765" t="s">
        <v>67</v>
      </c>
      <c r="AP765" t="s">
        <v>89</v>
      </c>
      <c r="AQ765">
        <v>15</v>
      </c>
      <c r="AR765">
        <v>206</v>
      </c>
      <c r="AS765">
        <v>413</v>
      </c>
      <c r="AT765">
        <v>2.528</v>
      </c>
      <c r="AU765">
        <v>5.3529999999999998</v>
      </c>
      <c r="AV765" t="s">
        <v>2884</v>
      </c>
      <c r="AW765" t="s">
        <v>2885</v>
      </c>
      <c r="AX765" t="s">
        <v>2886</v>
      </c>
    </row>
    <row r="766" spans="1:50" x14ac:dyDescent="0.25">
      <c r="A766" t="s">
        <v>2887</v>
      </c>
      <c r="B766" t="s">
        <v>1679</v>
      </c>
      <c r="C766">
        <v>0</v>
      </c>
      <c r="D766">
        <v>1</v>
      </c>
      <c r="E766" t="s">
        <v>1780</v>
      </c>
      <c r="H766">
        <v>0</v>
      </c>
      <c r="N766">
        <v>1</v>
      </c>
      <c r="Q766">
        <v>0</v>
      </c>
      <c r="R766">
        <v>0</v>
      </c>
      <c r="U766" t="s">
        <v>1687</v>
      </c>
      <c r="V766">
        <v>50</v>
      </c>
      <c r="W766" t="s">
        <v>1726</v>
      </c>
      <c r="X766" t="s">
        <v>80</v>
      </c>
      <c r="Y766">
        <v>0</v>
      </c>
      <c r="AD766" t="s">
        <v>57</v>
      </c>
      <c r="AE766">
        <v>0</v>
      </c>
      <c r="AF766">
        <v>6</v>
      </c>
      <c r="AG766">
        <v>1</v>
      </c>
      <c r="AH766">
        <v>1.5</v>
      </c>
      <c r="AI766">
        <v>512</v>
      </c>
      <c r="AJ766">
        <v>512</v>
      </c>
      <c r="AK766">
        <v>80</v>
      </c>
      <c r="AL766" t="s">
        <v>66</v>
      </c>
      <c r="AM766">
        <v>2</v>
      </c>
      <c r="AN766" t="s">
        <v>1681</v>
      </c>
      <c r="AO766" t="s">
        <v>67</v>
      </c>
      <c r="AP766" t="s">
        <v>68</v>
      </c>
      <c r="AQ766">
        <v>15</v>
      </c>
      <c r="AR766">
        <v>311</v>
      </c>
      <c r="AS766">
        <v>622</v>
      </c>
      <c r="AT766">
        <v>2.6960000000000002</v>
      </c>
      <c r="AU766">
        <v>6.5789999999999997</v>
      </c>
      <c r="AV766" t="s">
        <v>2888</v>
      </c>
      <c r="AW766" t="s">
        <v>2889</v>
      </c>
      <c r="AX766" t="s">
        <v>2890</v>
      </c>
    </row>
    <row r="767" spans="1:50" x14ac:dyDescent="0.25">
      <c r="A767" t="s">
        <v>2891</v>
      </c>
      <c r="B767" t="s">
        <v>1679</v>
      </c>
      <c r="C767">
        <v>0</v>
      </c>
      <c r="D767">
        <v>0</v>
      </c>
      <c r="E767" t="s">
        <v>1693</v>
      </c>
      <c r="H767">
        <v>0</v>
      </c>
      <c r="N767">
        <v>1</v>
      </c>
      <c r="Q767">
        <v>0</v>
      </c>
      <c r="R767">
        <v>0</v>
      </c>
      <c r="U767" t="s">
        <v>1687</v>
      </c>
      <c r="V767">
        <v>49</v>
      </c>
      <c r="W767" t="s">
        <v>79</v>
      </c>
      <c r="X767" t="s">
        <v>80</v>
      </c>
      <c r="Y767">
        <v>0</v>
      </c>
      <c r="AD767" t="s">
        <v>57</v>
      </c>
      <c r="AE767">
        <v>0</v>
      </c>
      <c r="AF767">
        <v>6</v>
      </c>
      <c r="AG767">
        <v>1</v>
      </c>
      <c r="AH767">
        <v>1.5</v>
      </c>
      <c r="AI767">
        <v>512</v>
      </c>
      <c r="AJ767">
        <v>512</v>
      </c>
      <c r="AK767">
        <v>72</v>
      </c>
      <c r="AL767" t="s">
        <v>119</v>
      </c>
      <c r="AM767">
        <v>2.2000000000000002</v>
      </c>
      <c r="AN767" t="s">
        <v>1072</v>
      </c>
      <c r="AO767" t="s">
        <v>67</v>
      </c>
      <c r="AP767" t="s">
        <v>68</v>
      </c>
      <c r="AQ767">
        <v>15</v>
      </c>
      <c r="AR767">
        <v>234</v>
      </c>
      <c r="AS767">
        <v>468</v>
      </c>
      <c r="AT767">
        <v>4.2359999999999998</v>
      </c>
      <c r="AU767">
        <v>8.6679999999999993</v>
      </c>
      <c r="AV767" t="s">
        <v>2892</v>
      </c>
      <c r="AW767" t="s">
        <v>2893</v>
      </c>
      <c r="AX767" t="s">
        <v>2894</v>
      </c>
    </row>
    <row r="768" spans="1:50" x14ac:dyDescent="0.25">
      <c r="A768" t="s">
        <v>2895</v>
      </c>
      <c r="B768" t="s">
        <v>1679</v>
      </c>
      <c r="C768">
        <v>0</v>
      </c>
      <c r="D768">
        <v>0</v>
      </c>
      <c r="E768" t="s">
        <v>1680</v>
      </c>
      <c r="H768">
        <v>0</v>
      </c>
      <c r="N768">
        <v>1</v>
      </c>
      <c r="Q768">
        <v>0</v>
      </c>
      <c r="R768">
        <v>1</v>
      </c>
      <c r="U768" t="s">
        <v>1687</v>
      </c>
      <c r="V768">
        <v>44</v>
      </c>
      <c r="X768" t="s">
        <v>80</v>
      </c>
      <c r="Y768">
        <v>0</v>
      </c>
      <c r="AD768" t="s">
        <v>57</v>
      </c>
      <c r="AE768">
        <v>0</v>
      </c>
      <c r="AF768">
        <v>6</v>
      </c>
      <c r="AG768">
        <v>1</v>
      </c>
      <c r="AH768">
        <v>1.5</v>
      </c>
      <c r="AI768">
        <v>512</v>
      </c>
      <c r="AJ768">
        <v>512</v>
      </c>
      <c r="AK768">
        <v>72</v>
      </c>
      <c r="AL768" t="s">
        <v>119</v>
      </c>
      <c r="AM768">
        <v>2.2000000000000002</v>
      </c>
      <c r="AN768" t="s">
        <v>1072</v>
      </c>
      <c r="AO768" t="s">
        <v>67</v>
      </c>
      <c r="AP768" t="s">
        <v>68</v>
      </c>
      <c r="AQ768">
        <v>15</v>
      </c>
      <c r="AR768">
        <v>254</v>
      </c>
      <c r="AS768">
        <v>508</v>
      </c>
      <c r="AT768">
        <v>4.2359999999999998</v>
      </c>
      <c r="AU768">
        <v>8.6679999999999993</v>
      </c>
      <c r="AV768" t="s">
        <v>2896</v>
      </c>
      <c r="AW768" t="s">
        <v>2897</v>
      </c>
      <c r="AX768" t="s">
        <v>2898</v>
      </c>
    </row>
    <row r="769" spans="1:50" x14ac:dyDescent="0.25">
      <c r="A769" t="s">
        <v>2899</v>
      </c>
      <c r="B769" t="s">
        <v>1679</v>
      </c>
      <c r="C769">
        <v>0</v>
      </c>
      <c r="D769">
        <v>0</v>
      </c>
      <c r="E769" t="s">
        <v>1703</v>
      </c>
      <c r="H769">
        <v>0</v>
      </c>
      <c r="N769">
        <v>0</v>
      </c>
      <c r="Q769">
        <v>0</v>
      </c>
      <c r="R769">
        <v>0</v>
      </c>
      <c r="U769" t="s">
        <v>65</v>
      </c>
      <c r="V769">
        <v>35</v>
      </c>
      <c r="W769" t="s">
        <v>1688</v>
      </c>
      <c r="X769" t="s">
        <v>55</v>
      </c>
      <c r="Y769">
        <v>0</v>
      </c>
      <c r="AD769" t="s">
        <v>57</v>
      </c>
      <c r="AE769">
        <v>0</v>
      </c>
      <c r="AF769">
        <v>6</v>
      </c>
      <c r="AG769">
        <v>1</v>
      </c>
      <c r="AH769">
        <v>3</v>
      </c>
      <c r="AI769">
        <v>512</v>
      </c>
      <c r="AJ769">
        <v>512</v>
      </c>
      <c r="AK769">
        <v>134</v>
      </c>
      <c r="AL769" t="s">
        <v>350</v>
      </c>
      <c r="AM769">
        <v>2.4</v>
      </c>
      <c r="AN769" t="s">
        <v>1786</v>
      </c>
      <c r="AO769" t="s">
        <v>67</v>
      </c>
      <c r="AP769" t="s">
        <v>68</v>
      </c>
      <c r="AQ769">
        <v>15</v>
      </c>
      <c r="AR769">
        <v>234</v>
      </c>
      <c r="AS769">
        <v>468</v>
      </c>
      <c r="AT769">
        <v>2.7160000000000002</v>
      </c>
      <c r="AU769">
        <v>6.4809999999999999</v>
      </c>
      <c r="AV769" t="s">
        <v>2325</v>
      </c>
      <c r="AW769" t="s">
        <v>2900</v>
      </c>
      <c r="AX769" t="s">
        <v>2901</v>
      </c>
    </row>
    <row r="770" spans="1:50" x14ac:dyDescent="0.25">
      <c r="A770" t="s">
        <v>2902</v>
      </c>
      <c r="B770" t="s">
        <v>1679</v>
      </c>
      <c r="C770">
        <v>0</v>
      </c>
      <c r="D770">
        <v>0</v>
      </c>
      <c r="E770" t="s">
        <v>1703</v>
      </c>
      <c r="H770">
        <v>0</v>
      </c>
      <c r="N770">
        <v>1</v>
      </c>
      <c r="Q770">
        <v>0</v>
      </c>
      <c r="R770">
        <v>0</v>
      </c>
      <c r="U770" t="s">
        <v>1687</v>
      </c>
      <c r="V770">
        <v>60</v>
      </c>
      <c r="W770" t="s">
        <v>79</v>
      </c>
      <c r="X770" t="s">
        <v>80</v>
      </c>
      <c r="Y770">
        <v>0</v>
      </c>
      <c r="Z770">
        <v>72.575000000000003</v>
      </c>
      <c r="AB770" t="s">
        <v>94</v>
      </c>
      <c r="AD770" t="s">
        <v>57</v>
      </c>
      <c r="AE770">
        <v>0</v>
      </c>
      <c r="AF770">
        <v>6</v>
      </c>
      <c r="AG770">
        <v>1</v>
      </c>
      <c r="AH770">
        <v>1.5</v>
      </c>
      <c r="AI770">
        <v>512</v>
      </c>
      <c r="AJ770">
        <v>512</v>
      </c>
      <c r="AK770">
        <v>82</v>
      </c>
      <c r="AL770" t="s">
        <v>119</v>
      </c>
      <c r="AM770">
        <v>2.2000000000000002</v>
      </c>
      <c r="AN770" t="s">
        <v>1902</v>
      </c>
      <c r="AO770" t="s">
        <v>67</v>
      </c>
      <c r="AP770" t="s">
        <v>68</v>
      </c>
      <c r="AQ770">
        <v>15</v>
      </c>
      <c r="AR770">
        <v>241</v>
      </c>
      <c r="AS770">
        <v>482</v>
      </c>
      <c r="AT770">
        <v>3.1720000000000002</v>
      </c>
      <c r="AU770">
        <v>6.548</v>
      </c>
      <c r="AV770" t="s">
        <v>2903</v>
      </c>
      <c r="AW770" t="s">
        <v>2904</v>
      </c>
      <c r="AX770" t="s">
        <v>2905</v>
      </c>
    </row>
    <row r="771" spans="1:50" x14ac:dyDescent="0.25">
      <c r="A771" t="s">
        <v>2906</v>
      </c>
      <c r="B771" t="s">
        <v>1679</v>
      </c>
      <c r="C771">
        <v>0</v>
      </c>
      <c r="D771">
        <v>0</v>
      </c>
      <c r="E771" t="s">
        <v>1839</v>
      </c>
      <c r="H771">
        <v>0</v>
      </c>
      <c r="N771">
        <v>1</v>
      </c>
      <c r="Q771">
        <v>1</v>
      </c>
      <c r="R771">
        <v>1</v>
      </c>
      <c r="U771" t="s">
        <v>1735</v>
      </c>
      <c r="V771">
        <v>46</v>
      </c>
      <c r="W771" t="s">
        <v>1688</v>
      </c>
      <c r="X771" t="s">
        <v>80</v>
      </c>
      <c r="Y771">
        <v>0</v>
      </c>
      <c r="Z771">
        <v>94</v>
      </c>
      <c r="AA771">
        <v>1.68</v>
      </c>
      <c r="AB771" t="s">
        <v>118</v>
      </c>
      <c r="AD771" t="s">
        <v>57</v>
      </c>
      <c r="AE771">
        <v>0</v>
      </c>
      <c r="AF771">
        <v>6</v>
      </c>
      <c r="AG771">
        <v>1</v>
      </c>
      <c r="AH771">
        <v>3</v>
      </c>
      <c r="AI771">
        <v>416</v>
      </c>
      <c r="AJ771">
        <v>416</v>
      </c>
      <c r="AK771">
        <v>64</v>
      </c>
      <c r="AL771" t="s">
        <v>2564</v>
      </c>
      <c r="AM771">
        <v>2.5</v>
      </c>
      <c r="AN771" t="s">
        <v>1114</v>
      </c>
      <c r="AO771" t="s">
        <v>59</v>
      </c>
      <c r="AP771" t="s">
        <v>1781</v>
      </c>
      <c r="AQ771">
        <v>11</v>
      </c>
      <c r="AR771">
        <v>155</v>
      </c>
      <c r="AS771">
        <v>380</v>
      </c>
      <c r="AT771">
        <v>1.52</v>
      </c>
      <c r="AU771">
        <v>4.74</v>
      </c>
      <c r="AV771" t="s">
        <v>2907</v>
      </c>
      <c r="AW771" t="s">
        <v>2908</v>
      </c>
      <c r="AX771" t="s">
        <v>2909</v>
      </c>
    </row>
    <row r="772" spans="1:50" x14ac:dyDescent="0.25">
      <c r="A772" t="s">
        <v>2910</v>
      </c>
      <c r="B772" t="s">
        <v>1679</v>
      </c>
      <c r="C772">
        <v>0</v>
      </c>
      <c r="D772">
        <v>0</v>
      </c>
      <c r="E772" t="s">
        <v>1703</v>
      </c>
      <c r="H772">
        <v>0</v>
      </c>
      <c r="N772">
        <v>0</v>
      </c>
      <c r="Q772">
        <v>0</v>
      </c>
      <c r="R772">
        <v>1</v>
      </c>
      <c r="U772" t="s">
        <v>65</v>
      </c>
      <c r="V772">
        <v>55</v>
      </c>
      <c r="X772" t="s">
        <v>80</v>
      </c>
      <c r="Y772">
        <v>1</v>
      </c>
      <c r="Z772">
        <v>87.997</v>
      </c>
      <c r="AB772" t="s">
        <v>118</v>
      </c>
      <c r="AD772" t="s">
        <v>57</v>
      </c>
      <c r="AE772">
        <v>0</v>
      </c>
      <c r="AF772">
        <v>6</v>
      </c>
      <c r="AG772">
        <v>1</v>
      </c>
      <c r="AH772">
        <v>3</v>
      </c>
      <c r="AI772">
        <v>512</v>
      </c>
      <c r="AJ772">
        <v>512</v>
      </c>
      <c r="AK772">
        <v>80</v>
      </c>
      <c r="AL772" t="s">
        <v>81</v>
      </c>
      <c r="AM772">
        <v>2</v>
      </c>
      <c r="AN772" t="s">
        <v>1915</v>
      </c>
      <c r="AO772" t="s">
        <v>67</v>
      </c>
      <c r="AP772" t="s">
        <v>68</v>
      </c>
      <c r="AQ772">
        <v>15</v>
      </c>
      <c r="AR772">
        <v>205</v>
      </c>
      <c r="AS772">
        <v>410</v>
      </c>
      <c r="AT772">
        <v>2.1040000000000001</v>
      </c>
      <c r="AU772">
        <v>4.6870000000000003</v>
      </c>
      <c r="AV772" t="s">
        <v>2911</v>
      </c>
      <c r="AW772" t="s">
        <v>2912</v>
      </c>
      <c r="AX772" t="s">
        <v>2913</v>
      </c>
    </row>
    <row r="773" spans="1:50" x14ac:dyDescent="0.25">
      <c r="A773" t="s">
        <v>2914</v>
      </c>
      <c r="B773" t="s">
        <v>1679</v>
      </c>
      <c r="C773">
        <v>0</v>
      </c>
      <c r="D773">
        <v>0</v>
      </c>
      <c r="E773" t="s">
        <v>1703</v>
      </c>
      <c r="H773">
        <v>0</v>
      </c>
      <c r="N773">
        <v>1</v>
      </c>
      <c r="Q773">
        <v>0</v>
      </c>
      <c r="R773">
        <v>0</v>
      </c>
      <c r="U773" t="s">
        <v>1687</v>
      </c>
      <c r="V773">
        <v>46</v>
      </c>
      <c r="W773" t="s">
        <v>1688</v>
      </c>
      <c r="X773" t="s">
        <v>80</v>
      </c>
      <c r="Y773">
        <v>0</v>
      </c>
      <c r="Z773">
        <v>83.915000000000006</v>
      </c>
      <c r="AB773" t="s">
        <v>118</v>
      </c>
      <c r="AD773" t="s">
        <v>57</v>
      </c>
      <c r="AE773">
        <v>0</v>
      </c>
      <c r="AF773">
        <v>6</v>
      </c>
      <c r="AG773">
        <v>1</v>
      </c>
      <c r="AH773">
        <v>3</v>
      </c>
      <c r="AI773">
        <v>512</v>
      </c>
      <c r="AJ773">
        <v>512</v>
      </c>
      <c r="AK773">
        <v>134</v>
      </c>
      <c r="AL773" t="s">
        <v>119</v>
      </c>
      <c r="AM773">
        <v>2.4</v>
      </c>
      <c r="AN773" t="s">
        <v>1786</v>
      </c>
      <c r="AO773" t="s">
        <v>67</v>
      </c>
      <c r="AP773" t="s">
        <v>68</v>
      </c>
      <c r="AQ773">
        <v>15</v>
      </c>
      <c r="AR773">
        <v>213</v>
      </c>
      <c r="AS773">
        <v>427</v>
      </c>
      <c r="AT773">
        <v>2.8039999999999998</v>
      </c>
      <c r="AU773">
        <v>7.3120000000000003</v>
      </c>
      <c r="AV773" t="s">
        <v>2325</v>
      </c>
      <c r="AW773" t="s">
        <v>2915</v>
      </c>
      <c r="AX773" t="s">
        <v>2916</v>
      </c>
    </row>
    <row r="774" spans="1:50" x14ac:dyDescent="0.25">
      <c r="A774" t="s">
        <v>2917</v>
      </c>
      <c r="B774" t="s">
        <v>1679</v>
      </c>
      <c r="C774">
        <v>0</v>
      </c>
      <c r="D774">
        <v>0</v>
      </c>
      <c r="E774" t="s">
        <v>1698</v>
      </c>
      <c r="H774">
        <v>0</v>
      </c>
      <c r="N774">
        <v>1</v>
      </c>
      <c r="Q774">
        <v>0</v>
      </c>
      <c r="R774">
        <v>0</v>
      </c>
      <c r="U774" t="s">
        <v>1687</v>
      </c>
      <c r="V774">
        <v>70</v>
      </c>
      <c r="X774" t="s">
        <v>80</v>
      </c>
      <c r="Y774">
        <v>0</v>
      </c>
      <c r="Z774">
        <v>80.739999999999995</v>
      </c>
      <c r="AB774" t="s">
        <v>94</v>
      </c>
      <c r="AD774" t="s">
        <v>57</v>
      </c>
      <c r="AE774">
        <v>0</v>
      </c>
      <c r="AF774">
        <v>6</v>
      </c>
      <c r="AG774">
        <v>1</v>
      </c>
      <c r="AH774">
        <v>1.5</v>
      </c>
      <c r="AI774">
        <v>512</v>
      </c>
      <c r="AJ774">
        <v>512</v>
      </c>
      <c r="AK774">
        <v>80</v>
      </c>
      <c r="AL774" t="s">
        <v>1010</v>
      </c>
      <c r="AM774">
        <v>2</v>
      </c>
      <c r="AN774" t="s">
        <v>1011</v>
      </c>
      <c r="AO774" t="s">
        <v>59</v>
      </c>
      <c r="AP774" t="s">
        <v>60</v>
      </c>
      <c r="AQ774">
        <v>11</v>
      </c>
      <c r="AR774">
        <v>69</v>
      </c>
      <c r="AS774">
        <v>181</v>
      </c>
      <c r="AT774">
        <v>1.81</v>
      </c>
      <c r="AU774">
        <v>4.33</v>
      </c>
      <c r="AV774" t="s">
        <v>2918</v>
      </c>
      <c r="AW774" t="s">
        <v>1763</v>
      </c>
      <c r="AX774" t="s">
        <v>2919</v>
      </c>
    </row>
    <row r="775" spans="1:50" x14ac:dyDescent="0.25">
      <c r="A775" t="s">
        <v>2920</v>
      </c>
      <c r="B775" t="s">
        <v>1679</v>
      </c>
      <c r="C775">
        <v>0</v>
      </c>
      <c r="D775">
        <v>0</v>
      </c>
      <c r="E775" t="s">
        <v>1725</v>
      </c>
      <c r="H775">
        <v>0</v>
      </c>
      <c r="N775">
        <v>1</v>
      </c>
      <c r="Q775">
        <v>0</v>
      </c>
      <c r="R775">
        <v>0</v>
      </c>
      <c r="U775" t="s">
        <v>1687</v>
      </c>
      <c r="V775">
        <v>59</v>
      </c>
      <c r="W775" t="s">
        <v>79</v>
      </c>
      <c r="X775" t="s">
        <v>80</v>
      </c>
      <c r="Y775">
        <v>0</v>
      </c>
      <c r="AD775" t="s">
        <v>57</v>
      </c>
      <c r="AE775">
        <v>0</v>
      </c>
      <c r="AF775">
        <v>6</v>
      </c>
      <c r="AG775">
        <v>1</v>
      </c>
      <c r="AH775">
        <v>1.5</v>
      </c>
      <c r="AI775">
        <v>512</v>
      </c>
      <c r="AJ775">
        <v>512</v>
      </c>
      <c r="AK775">
        <v>72</v>
      </c>
      <c r="AL775" t="s">
        <v>119</v>
      </c>
      <c r="AM775">
        <v>2.2000000000000002</v>
      </c>
      <c r="AN775" t="s">
        <v>1072</v>
      </c>
      <c r="AO775" t="s">
        <v>67</v>
      </c>
      <c r="AP775" t="s">
        <v>68</v>
      </c>
      <c r="AQ775">
        <v>15</v>
      </c>
      <c r="AR775">
        <v>264</v>
      </c>
      <c r="AS775">
        <v>529</v>
      </c>
      <c r="AT775">
        <v>4.2359999999999998</v>
      </c>
      <c r="AU775">
        <v>8.6679999999999993</v>
      </c>
      <c r="AV775" t="s">
        <v>2921</v>
      </c>
      <c r="AW775" t="s">
        <v>2922</v>
      </c>
      <c r="AX775" t="s">
        <v>2923</v>
      </c>
    </row>
    <row r="776" spans="1:50" x14ac:dyDescent="0.25">
      <c r="A776" t="s">
        <v>2924</v>
      </c>
      <c r="B776" t="s">
        <v>1679</v>
      </c>
      <c r="C776">
        <v>0</v>
      </c>
      <c r="D776">
        <v>0</v>
      </c>
      <c r="E776" t="s">
        <v>1703</v>
      </c>
      <c r="H776">
        <v>0</v>
      </c>
      <c r="N776">
        <v>0</v>
      </c>
      <c r="Q776">
        <v>0</v>
      </c>
      <c r="R776">
        <v>0</v>
      </c>
      <c r="U776" t="s">
        <v>65</v>
      </c>
      <c r="V776">
        <v>67</v>
      </c>
      <c r="X776" t="s">
        <v>55</v>
      </c>
      <c r="Y776">
        <v>0</v>
      </c>
      <c r="AD776" t="s">
        <v>57</v>
      </c>
      <c r="AE776">
        <v>0</v>
      </c>
      <c r="AF776">
        <v>6</v>
      </c>
      <c r="AG776">
        <v>1</v>
      </c>
      <c r="AH776">
        <v>3</v>
      </c>
      <c r="AI776">
        <v>512</v>
      </c>
      <c r="AJ776">
        <v>512</v>
      </c>
      <c r="AK776">
        <v>134</v>
      </c>
      <c r="AL776" t="s">
        <v>119</v>
      </c>
      <c r="AM776">
        <v>2.4</v>
      </c>
      <c r="AN776" t="s">
        <v>1786</v>
      </c>
      <c r="AO776" t="s">
        <v>67</v>
      </c>
      <c r="AP776" t="s">
        <v>68</v>
      </c>
      <c r="AQ776">
        <v>15</v>
      </c>
      <c r="AR776">
        <v>242</v>
      </c>
      <c r="AS776">
        <v>484</v>
      </c>
      <c r="AT776">
        <v>2.8079999999999998</v>
      </c>
      <c r="AU776">
        <v>7.3159999999999998</v>
      </c>
      <c r="AV776" t="s">
        <v>1787</v>
      </c>
      <c r="AW776" t="s">
        <v>2925</v>
      </c>
      <c r="AX776" t="s">
        <v>2926</v>
      </c>
    </row>
    <row r="777" spans="1:50" x14ac:dyDescent="0.25">
      <c r="A777" t="s">
        <v>2927</v>
      </c>
      <c r="B777" t="s">
        <v>1679</v>
      </c>
      <c r="C777">
        <v>0</v>
      </c>
      <c r="D777">
        <v>0</v>
      </c>
      <c r="E777" t="s">
        <v>1740</v>
      </c>
      <c r="H777">
        <v>0</v>
      </c>
      <c r="N777">
        <v>0</v>
      </c>
      <c r="Q777">
        <v>0</v>
      </c>
      <c r="R777">
        <v>1</v>
      </c>
      <c r="U777" t="s">
        <v>65</v>
      </c>
      <c r="V777">
        <v>36</v>
      </c>
      <c r="W777" t="s">
        <v>1726</v>
      </c>
      <c r="X777" t="s">
        <v>80</v>
      </c>
      <c r="Y777">
        <v>0</v>
      </c>
      <c r="AD777" t="s">
        <v>57</v>
      </c>
      <c r="AE777">
        <v>0</v>
      </c>
      <c r="AF777">
        <v>6</v>
      </c>
      <c r="AG777">
        <v>1</v>
      </c>
      <c r="AH777">
        <v>3</v>
      </c>
      <c r="AI777">
        <v>512</v>
      </c>
      <c r="AJ777">
        <v>512</v>
      </c>
      <c r="AK777">
        <v>134</v>
      </c>
      <c r="AL777" t="s">
        <v>196</v>
      </c>
      <c r="AM777">
        <v>2.4</v>
      </c>
      <c r="AN777" t="s">
        <v>1786</v>
      </c>
      <c r="AO777" t="s">
        <v>67</v>
      </c>
      <c r="AP777" t="s">
        <v>68</v>
      </c>
      <c r="AQ777">
        <v>15</v>
      </c>
      <c r="AR777">
        <v>397</v>
      </c>
      <c r="AS777">
        <v>795</v>
      </c>
      <c r="AT777">
        <v>4.25</v>
      </c>
      <c r="AU777">
        <v>8.5530000000000008</v>
      </c>
      <c r="AV777" t="s">
        <v>2216</v>
      </c>
      <c r="AW777" t="s">
        <v>2928</v>
      </c>
      <c r="AX777" t="s">
        <v>2929</v>
      </c>
    </row>
    <row r="778" spans="1:50" x14ac:dyDescent="0.25">
      <c r="A778" t="s">
        <v>2930</v>
      </c>
      <c r="B778" t="s">
        <v>1679</v>
      </c>
      <c r="C778">
        <v>0</v>
      </c>
      <c r="D778">
        <v>1</v>
      </c>
      <c r="E778" t="s">
        <v>1780</v>
      </c>
      <c r="H778">
        <v>0</v>
      </c>
      <c r="N778">
        <v>0</v>
      </c>
      <c r="Q778">
        <v>0</v>
      </c>
      <c r="R778">
        <v>1</v>
      </c>
      <c r="U778" t="s">
        <v>65</v>
      </c>
      <c r="V778">
        <v>57</v>
      </c>
      <c r="W778" t="s">
        <v>79</v>
      </c>
      <c r="X778" t="s">
        <v>80</v>
      </c>
      <c r="Y778">
        <v>0</v>
      </c>
      <c r="Z778">
        <v>63.048999999999999</v>
      </c>
      <c r="AB778" t="s">
        <v>74</v>
      </c>
      <c r="AD778" t="s">
        <v>57</v>
      </c>
      <c r="AE778">
        <v>0</v>
      </c>
      <c r="AF778">
        <v>6</v>
      </c>
      <c r="AG778">
        <v>1</v>
      </c>
      <c r="AH778">
        <v>3</v>
      </c>
      <c r="AI778">
        <v>512</v>
      </c>
      <c r="AJ778">
        <v>512</v>
      </c>
      <c r="AK778">
        <v>88</v>
      </c>
      <c r="AL778" t="s">
        <v>331</v>
      </c>
      <c r="AM778">
        <v>2</v>
      </c>
      <c r="AN778" t="s">
        <v>1915</v>
      </c>
      <c r="AO778" t="s">
        <v>67</v>
      </c>
      <c r="AP778" t="s">
        <v>68</v>
      </c>
      <c r="AQ778">
        <v>15</v>
      </c>
      <c r="AR778">
        <v>340</v>
      </c>
      <c r="AS778">
        <v>680</v>
      </c>
      <c r="AT778">
        <v>2.2200000000000002</v>
      </c>
      <c r="AU778">
        <v>6.0270000000000001</v>
      </c>
      <c r="AV778" t="s">
        <v>2931</v>
      </c>
      <c r="AW778" t="s">
        <v>2932</v>
      </c>
      <c r="AX778" t="s">
        <v>2933</v>
      </c>
    </row>
    <row r="779" spans="1:50" x14ac:dyDescent="0.25">
      <c r="A779" t="s">
        <v>2934</v>
      </c>
      <c r="B779" t="s">
        <v>1679</v>
      </c>
      <c r="C779">
        <v>0</v>
      </c>
      <c r="D779">
        <v>0</v>
      </c>
      <c r="E779" t="s">
        <v>1680</v>
      </c>
      <c r="H779">
        <v>0</v>
      </c>
      <c r="N779">
        <v>0</v>
      </c>
      <c r="Q779">
        <v>0</v>
      </c>
      <c r="R779">
        <v>1</v>
      </c>
      <c r="U779" t="s">
        <v>65</v>
      </c>
      <c r="V779">
        <v>38</v>
      </c>
      <c r="X779" t="s">
        <v>80</v>
      </c>
      <c r="Y779">
        <v>0</v>
      </c>
      <c r="Z779">
        <v>80</v>
      </c>
      <c r="AB779" t="s">
        <v>94</v>
      </c>
      <c r="AD779" t="s">
        <v>57</v>
      </c>
      <c r="AE779">
        <v>0</v>
      </c>
      <c r="AF779">
        <v>6</v>
      </c>
      <c r="AG779">
        <v>1</v>
      </c>
      <c r="AH779">
        <v>1.5</v>
      </c>
      <c r="AI779">
        <v>512</v>
      </c>
      <c r="AJ779">
        <v>512</v>
      </c>
      <c r="AK779">
        <v>180</v>
      </c>
      <c r="AL779" t="s">
        <v>1010</v>
      </c>
      <c r="AM779">
        <v>2</v>
      </c>
      <c r="AN779" t="s">
        <v>1154</v>
      </c>
      <c r="AO779" t="s">
        <v>1155</v>
      </c>
      <c r="AP779" t="s">
        <v>1305</v>
      </c>
      <c r="AQ779">
        <v>11</v>
      </c>
      <c r="AR779">
        <v>601</v>
      </c>
      <c r="AS779">
        <v>1044</v>
      </c>
      <c r="AT779">
        <v>2.8140000000000001</v>
      </c>
      <c r="AU779">
        <v>5.4090999999999996</v>
      </c>
      <c r="AV779" t="s">
        <v>2935</v>
      </c>
      <c r="AW779" t="s">
        <v>2936</v>
      </c>
      <c r="AX779" t="s">
        <v>2937</v>
      </c>
    </row>
    <row r="780" spans="1:50" x14ac:dyDescent="0.25">
      <c r="A780" t="s">
        <v>2938</v>
      </c>
      <c r="B780" t="s">
        <v>1679</v>
      </c>
      <c r="C780">
        <v>0</v>
      </c>
      <c r="D780">
        <v>0</v>
      </c>
      <c r="E780" t="s">
        <v>1791</v>
      </c>
      <c r="H780">
        <v>0</v>
      </c>
      <c r="N780">
        <v>1</v>
      </c>
      <c r="Q780">
        <v>1</v>
      </c>
      <c r="R780">
        <v>0</v>
      </c>
      <c r="U780" t="s">
        <v>1735</v>
      </c>
      <c r="V780">
        <v>56</v>
      </c>
      <c r="W780" t="s">
        <v>79</v>
      </c>
      <c r="X780" t="s">
        <v>80</v>
      </c>
      <c r="Y780">
        <v>0</v>
      </c>
      <c r="Z780">
        <v>62.595999999999997</v>
      </c>
      <c r="AB780" t="s">
        <v>74</v>
      </c>
      <c r="AD780" t="s">
        <v>57</v>
      </c>
      <c r="AE780">
        <v>0</v>
      </c>
      <c r="AF780">
        <v>6</v>
      </c>
      <c r="AG780">
        <v>1</v>
      </c>
      <c r="AH780">
        <v>1.5</v>
      </c>
      <c r="AI780">
        <v>512</v>
      </c>
      <c r="AJ780">
        <v>512</v>
      </c>
      <c r="AK780">
        <v>80</v>
      </c>
      <c r="AL780" t="s">
        <v>113</v>
      </c>
      <c r="AM780">
        <v>2</v>
      </c>
      <c r="AN780" t="s">
        <v>996</v>
      </c>
      <c r="AO780" t="s">
        <v>67</v>
      </c>
      <c r="AP780" t="s">
        <v>68</v>
      </c>
      <c r="AQ780">
        <v>15</v>
      </c>
      <c r="AR780">
        <v>93</v>
      </c>
      <c r="AS780">
        <v>187</v>
      </c>
      <c r="AT780">
        <v>4.2</v>
      </c>
      <c r="AU780">
        <v>7</v>
      </c>
      <c r="AV780" t="s">
        <v>2939</v>
      </c>
      <c r="AW780" t="s">
        <v>2940</v>
      </c>
      <c r="AX780" t="s">
        <v>2941</v>
      </c>
    </row>
    <row r="781" spans="1:50" x14ac:dyDescent="0.25">
      <c r="A781" t="s">
        <v>2942</v>
      </c>
      <c r="B781" t="s">
        <v>1679</v>
      </c>
      <c r="C781">
        <v>0</v>
      </c>
      <c r="D781">
        <v>0</v>
      </c>
      <c r="E781" t="s">
        <v>1680</v>
      </c>
      <c r="H781">
        <v>0</v>
      </c>
      <c r="N781">
        <v>0</v>
      </c>
      <c r="Q781">
        <v>0</v>
      </c>
      <c r="R781">
        <v>1</v>
      </c>
      <c r="U781" t="s">
        <v>65</v>
      </c>
      <c r="V781">
        <v>48</v>
      </c>
      <c r="W781" t="s">
        <v>1688</v>
      </c>
      <c r="X781" t="s">
        <v>80</v>
      </c>
      <c r="Y781">
        <v>0</v>
      </c>
      <c r="Z781">
        <v>89.358000000000004</v>
      </c>
      <c r="AB781" t="s">
        <v>118</v>
      </c>
      <c r="AD781" t="s">
        <v>57</v>
      </c>
      <c r="AE781">
        <v>0</v>
      </c>
      <c r="AF781">
        <v>6</v>
      </c>
      <c r="AG781">
        <v>1</v>
      </c>
      <c r="AH781">
        <v>3</v>
      </c>
      <c r="AI781">
        <v>512</v>
      </c>
      <c r="AJ781">
        <v>512</v>
      </c>
      <c r="AK781">
        <v>80</v>
      </c>
      <c r="AL781" t="s">
        <v>66</v>
      </c>
      <c r="AM781">
        <v>2</v>
      </c>
      <c r="AN781" t="s">
        <v>1915</v>
      </c>
      <c r="AO781" t="s">
        <v>67</v>
      </c>
      <c r="AP781" t="s">
        <v>68</v>
      </c>
      <c r="AQ781">
        <v>15</v>
      </c>
      <c r="AR781">
        <v>529</v>
      </c>
      <c r="AS781">
        <v>1058</v>
      </c>
      <c r="AT781">
        <v>2.1880000000000002</v>
      </c>
      <c r="AU781">
        <v>5.4459999999999997</v>
      </c>
      <c r="AV781" t="s">
        <v>2943</v>
      </c>
      <c r="AW781" t="s">
        <v>2944</v>
      </c>
      <c r="AX781" t="s">
        <v>2945</v>
      </c>
    </row>
    <row r="782" spans="1:50" x14ac:dyDescent="0.25">
      <c r="A782" t="s">
        <v>2946</v>
      </c>
      <c r="B782" t="s">
        <v>1679</v>
      </c>
      <c r="C782">
        <v>0</v>
      </c>
      <c r="D782">
        <v>1</v>
      </c>
      <c r="E782" t="s">
        <v>1871</v>
      </c>
      <c r="H782">
        <v>1</v>
      </c>
      <c r="N782">
        <v>0</v>
      </c>
      <c r="Q782">
        <v>1</v>
      </c>
      <c r="R782">
        <v>1</v>
      </c>
      <c r="U782" t="s">
        <v>72</v>
      </c>
      <c r="V782">
        <v>53</v>
      </c>
      <c r="W782" t="s">
        <v>79</v>
      </c>
      <c r="X782" t="s">
        <v>111</v>
      </c>
      <c r="Y782">
        <v>0</v>
      </c>
      <c r="Z782">
        <v>69.569999999999993</v>
      </c>
      <c r="AB782" t="s">
        <v>94</v>
      </c>
      <c r="AD782" t="s">
        <v>57</v>
      </c>
      <c r="AE782">
        <v>1</v>
      </c>
      <c r="AF782">
        <v>6</v>
      </c>
      <c r="AG782">
        <v>1</v>
      </c>
      <c r="AH782">
        <v>1.5</v>
      </c>
      <c r="AI782">
        <v>384</v>
      </c>
      <c r="AJ782">
        <v>384</v>
      </c>
      <c r="AK782">
        <v>160</v>
      </c>
      <c r="AL782" t="s">
        <v>75</v>
      </c>
      <c r="AM782">
        <v>1.2000000476999999</v>
      </c>
      <c r="AN782" t="s">
        <v>1720</v>
      </c>
      <c r="AO782" t="s">
        <v>59</v>
      </c>
      <c r="AP782" t="s">
        <v>60</v>
      </c>
      <c r="AQ782">
        <v>11</v>
      </c>
      <c r="AR782">
        <v>160</v>
      </c>
      <c r="AS782">
        <v>388</v>
      </c>
      <c r="AT782">
        <v>1.56</v>
      </c>
      <c r="AU782">
        <v>4.99</v>
      </c>
      <c r="AV782" t="s">
        <v>2947</v>
      </c>
      <c r="AW782" t="s">
        <v>2948</v>
      </c>
      <c r="AX782" t="s">
        <v>2949</v>
      </c>
    </row>
    <row r="783" spans="1:50" x14ac:dyDescent="0.25">
      <c r="A783" t="s">
        <v>2950</v>
      </c>
      <c r="B783" t="s">
        <v>1679</v>
      </c>
      <c r="C783">
        <v>0</v>
      </c>
      <c r="D783">
        <v>0</v>
      </c>
      <c r="E783" t="s">
        <v>1725</v>
      </c>
      <c r="H783">
        <v>1</v>
      </c>
      <c r="N783">
        <v>0</v>
      </c>
      <c r="Q783">
        <v>0</v>
      </c>
      <c r="R783">
        <v>0</v>
      </c>
      <c r="U783" t="s">
        <v>65</v>
      </c>
      <c r="V783">
        <v>61</v>
      </c>
      <c r="W783" t="s">
        <v>79</v>
      </c>
      <c r="X783" t="s">
        <v>80</v>
      </c>
      <c r="Y783">
        <v>0</v>
      </c>
      <c r="Z783">
        <v>76.203999999999994</v>
      </c>
      <c r="AB783" t="s">
        <v>94</v>
      </c>
      <c r="AD783" t="s">
        <v>57</v>
      </c>
      <c r="AE783">
        <v>0</v>
      </c>
      <c r="AF783">
        <v>6</v>
      </c>
      <c r="AG783">
        <v>1</v>
      </c>
      <c r="AH783">
        <v>3</v>
      </c>
      <c r="AI783">
        <v>512</v>
      </c>
      <c r="AJ783">
        <v>512</v>
      </c>
      <c r="AK783">
        <v>80</v>
      </c>
      <c r="AL783" t="s">
        <v>196</v>
      </c>
      <c r="AM783">
        <v>2</v>
      </c>
      <c r="AN783" t="s">
        <v>1915</v>
      </c>
      <c r="AO783" t="s">
        <v>67</v>
      </c>
      <c r="AP783" t="s">
        <v>68</v>
      </c>
      <c r="AQ783">
        <v>15</v>
      </c>
      <c r="AR783">
        <v>247</v>
      </c>
      <c r="AS783">
        <v>494</v>
      </c>
      <c r="AT783">
        <v>2.1360000000000001</v>
      </c>
      <c r="AU783">
        <v>5.016</v>
      </c>
      <c r="AV783" t="s">
        <v>2951</v>
      </c>
      <c r="AW783" t="s">
        <v>2952</v>
      </c>
      <c r="AX783" t="s">
        <v>2953</v>
      </c>
    </row>
    <row r="784" spans="1:50" x14ac:dyDescent="0.25">
      <c r="A784" t="s">
        <v>2954</v>
      </c>
      <c r="B784" t="s">
        <v>1679</v>
      </c>
      <c r="C784">
        <v>0</v>
      </c>
      <c r="D784">
        <v>0</v>
      </c>
      <c r="E784" t="s">
        <v>1725</v>
      </c>
      <c r="H784">
        <v>0</v>
      </c>
      <c r="N784">
        <v>1</v>
      </c>
      <c r="Q784">
        <v>0</v>
      </c>
      <c r="R784">
        <v>0</v>
      </c>
      <c r="U784" t="s">
        <v>1687</v>
      </c>
      <c r="V784">
        <v>36</v>
      </c>
      <c r="W784" t="s">
        <v>1688</v>
      </c>
      <c r="X784" t="s">
        <v>80</v>
      </c>
      <c r="Y784">
        <v>0</v>
      </c>
      <c r="Z784">
        <v>70.306826293499995</v>
      </c>
      <c r="AB784" t="s">
        <v>94</v>
      </c>
      <c r="AD784" t="s">
        <v>57</v>
      </c>
      <c r="AE784">
        <v>1</v>
      </c>
      <c r="AF784">
        <v>6</v>
      </c>
      <c r="AG784">
        <v>1</v>
      </c>
      <c r="AH784">
        <v>1.5</v>
      </c>
      <c r="AI784">
        <v>384</v>
      </c>
      <c r="AJ784">
        <v>384</v>
      </c>
      <c r="AK784">
        <v>160</v>
      </c>
      <c r="AL784" t="s">
        <v>75</v>
      </c>
      <c r="AM784">
        <v>1</v>
      </c>
      <c r="AN784" t="s">
        <v>1741</v>
      </c>
      <c r="AO784" t="s">
        <v>59</v>
      </c>
      <c r="AP784" t="s">
        <v>60</v>
      </c>
      <c r="AQ784">
        <v>11</v>
      </c>
      <c r="AR784">
        <v>92</v>
      </c>
      <c r="AS784">
        <v>248</v>
      </c>
      <c r="AT784">
        <v>2.37</v>
      </c>
      <c r="AU784">
        <v>5.15</v>
      </c>
      <c r="AV784" t="s">
        <v>2285</v>
      </c>
      <c r="AW784" t="s">
        <v>2955</v>
      </c>
      <c r="AX784" t="s">
        <v>2956</v>
      </c>
    </row>
    <row r="785" spans="1:50" x14ac:dyDescent="0.25">
      <c r="A785" t="s">
        <v>2957</v>
      </c>
      <c r="B785" t="s">
        <v>1679</v>
      </c>
      <c r="C785">
        <v>0</v>
      </c>
      <c r="D785">
        <v>0</v>
      </c>
      <c r="E785" t="s">
        <v>1740</v>
      </c>
      <c r="H785">
        <v>0</v>
      </c>
      <c r="N785">
        <v>0</v>
      </c>
      <c r="Q785">
        <v>0</v>
      </c>
      <c r="R785">
        <v>1</v>
      </c>
      <c r="U785" t="s">
        <v>65</v>
      </c>
      <c r="V785">
        <v>55</v>
      </c>
      <c r="W785" t="s">
        <v>79</v>
      </c>
      <c r="X785" t="s">
        <v>80</v>
      </c>
      <c r="Y785">
        <v>0</v>
      </c>
      <c r="AD785" t="s">
        <v>57</v>
      </c>
      <c r="AE785">
        <v>0</v>
      </c>
      <c r="AF785">
        <v>6</v>
      </c>
      <c r="AG785">
        <v>1</v>
      </c>
      <c r="AH785">
        <v>1.5</v>
      </c>
      <c r="AI785">
        <v>512</v>
      </c>
      <c r="AJ785">
        <v>512</v>
      </c>
      <c r="AK785">
        <v>80</v>
      </c>
      <c r="AL785" t="s">
        <v>2022</v>
      </c>
      <c r="AM785">
        <v>2</v>
      </c>
      <c r="AN785" t="s">
        <v>1681</v>
      </c>
      <c r="AO785" t="s">
        <v>67</v>
      </c>
      <c r="AP785" t="s">
        <v>68</v>
      </c>
      <c r="AQ785">
        <v>15</v>
      </c>
      <c r="AR785">
        <v>339</v>
      </c>
      <c r="AS785">
        <v>678</v>
      </c>
      <c r="AT785">
        <v>2.8279999999999998</v>
      </c>
      <c r="AU785">
        <v>7.7380000000000004</v>
      </c>
      <c r="AV785" t="s">
        <v>2958</v>
      </c>
      <c r="AW785" t="s">
        <v>1743</v>
      </c>
      <c r="AX785" t="s">
        <v>2959</v>
      </c>
    </row>
    <row r="786" spans="1:50" x14ac:dyDescent="0.25">
      <c r="A786" t="s">
        <v>2960</v>
      </c>
      <c r="B786" t="s">
        <v>1679</v>
      </c>
      <c r="C786">
        <v>0</v>
      </c>
      <c r="D786">
        <v>0</v>
      </c>
      <c r="E786" t="s">
        <v>1780</v>
      </c>
      <c r="H786">
        <v>1</v>
      </c>
      <c r="N786">
        <v>0</v>
      </c>
      <c r="Q786">
        <v>0</v>
      </c>
      <c r="R786">
        <v>1</v>
      </c>
      <c r="U786" t="s">
        <v>65</v>
      </c>
      <c r="V786">
        <v>40</v>
      </c>
      <c r="W786" t="s">
        <v>1726</v>
      </c>
      <c r="X786" t="s">
        <v>55</v>
      </c>
      <c r="Y786">
        <v>0</v>
      </c>
      <c r="Z786">
        <v>87.089746118400001</v>
      </c>
      <c r="AB786" t="s">
        <v>118</v>
      </c>
      <c r="AD786" t="s">
        <v>57</v>
      </c>
      <c r="AE786">
        <v>0</v>
      </c>
      <c r="AF786">
        <v>6</v>
      </c>
      <c r="AG786">
        <v>1</v>
      </c>
      <c r="AH786">
        <v>1.5</v>
      </c>
      <c r="AI786">
        <v>512</v>
      </c>
      <c r="AJ786">
        <v>512</v>
      </c>
      <c r="AK786">
        <v>80</v>
      </c>
      <c r="AL786" t="s">
        <v>1010</v>
      </c>
      <c r="AM786">
        <v>2</v>
      </c>
      <c r="AN786" t="s">
        <v>1011</v>
      </c>
      <c r="AO786" t="s">
        <v>59</v>
      </c>
      <c r="AP786" t="s">
        <v>60</v>
      </c>
      <c r="AQ786">
        <v>11</v>
      </c>
      <c r="AR786">
        <v>43</v>
      </c>
      <c r="AS786">
        <v>115</v>
      </c>
      <c r="AT786">
        <v>1.67</v>
      </c>
      <c r="AU786">
        <v>4.51</v>
      </c>
      <c r="AV786" t="s">
        <v>2961</v>
      </c>
      <c r="AW786" t="s">
        <v>2000</v>
      </c>
      <c r="AX786" t="s">
        <v>2962</v>
      </c>
    </row>
    <row r="787" spans="1:50" x14ac:dyDescent="0.25">
      <c r="A787" t="s">
        <v>2963</v>
      </c>
      <c r="B787" t="s">
        <v>1679</v>
      </c>
      <c r="C787">
        <v>0</v>
      </c>
      <c r="D787">
        <v>0</v>
      </c>
      <c r="E787" t="s">
        <v>1686</v>
      </c>
      <c r="H787">
        <v>0</v>
      </c>
      <c r="N787">
        <v>1</v>
      </c>
      <c r="Q787">
        <v>0</v>
      </c>
      <c r="R787">
        <v>0</v>
      </c>
      <c r="U787" t="s">
        <v>1687</v>
      </c>
      <c r="V787">
        <v>28</v>
      </c>
      <c r="W787" t="s">
        <v>1688</v>
      </c>
      <c r="X787" t="s">
        <v>80</v>
      </c>
      <c r="Y787">
        <v>0</v>
      </c>
      <c r="Z787">
        <v>58.966999999999999</v>
      </c>
      <c r="AB787" t="s">
        <v>74</v>
      </c>
      <c r="AD787" t="s">
        <v>57</v>
      </c>
      <c r="AE787">
        <v>0</v>
      </c>
      <c r="AF787">
        <v>6</v>
      </c>
      <c r="AG787">
        <v>1</v>
      </c>
      <c r="AH787">
        <v>1.5</v>
      </c>
      <c r="AI787">
        <v>512</v>
      </c>
      <c r="AJ787">
        <v>512</v>
      </c>
      <c r="AK787">
        <v>80</v>
      </c>
      <c r="AL787" t="s">
        <v>66</v>
      </c>
      <c r="AM787">
        <v>2</v>
      </c>
      <c r="AN787" t="s">
        <v>996</v>
      </c>
      <c r="AO787" t="s">
        <v>67</v>
      </c>
      <c r="AP787" t="s">
        <v>68</v>
      </c>
      <c r="AQ787">
        <v>15</v>
      </c>
      <c r="AR787">
        <v>164</v>
      </c>
      <c r="AS787">
        <v>329</v>
      </c>
      <c r="AT787">
        <v>4.2</v>
      </c>
      <c r="AU787">
        <v>7.0119999999999996</v>
      </c>
      <c r="AV787" t="s">
        <v>2964</v>
      </c>
      <c r="AW787" t="s">
        <v>2965</v>
      </c>
      <c r="AX787" t="s">
        <v>2966</v>
      </c>
    </row>
    <row r="788" spans="1:50" x14ac:dyDescent="0.25">
      <c r="A788" t="s">
        <v>2967</v>
      </c>
      <c r="B788" t="s">
        <v>1679</v>
      </c>
      <c r="C788">
        <v>0</v>
      </c>
      <c r="D788">
        <v>0</v>
      </c>
      <c r="E788" t="s">
        <v>1791</v>
      </c>
      <c r="H788">
        <v>1</v>
      </c>
      <c r="N788">
        <v>0</v>
      </c>
      <c r="Q788">
        <v>1</v>
      </c>
      <c r="R788">
        <v>0</v>
      </c>
      <c r="U788" t="s">
        <v>72</v>
      </c>
      <c r="V788">
        <v>32</v>
      </c>
      <c r="W788" t="s">
        <v>1726</v>
      </c>
      <c r="X788" t="s">
        <v>55</v>
      </c>
      <c r="Y788">
        <v>0</v>
      </c>
      <c r="AD788" t="s">
        <v>57</v>
      </c>
      <c r="AE788">
        <v>1</v>
      </c>
      <c r="AF788">
        <v>6</v>
      </c>
      <c r="AG788">
        <v>1</v>
      </c>
      <c r="AH788">
        <v>3</v>
      </c>
      <c r="AI788">
        <v>384</v>
      </c>
      <c r="AJ788">
        <v>384</v>
      </c>
      <c r="AK788">
        <v>72</v>
      </c>
      <c r="AL788" t="s">
        <v>1800</v>
      </c>
      <c r="AM788">
        <v>2.5</v>
      </c>
      <c r="AN788" t="s">
        <v>1114</v>
      </c>
      <c r="AO788" t="s">
        <v>59</v>
      </c>
      <c r="AP788" t="s">
        <v>1781</v>
      </c>
      <c r="AQ788">
        <v>11</v>
      </c>
      <c r="AR788">
        <v>53</v>
      </c>
      <c r="AS788">
        <v>145</v>
      </c>
      <c r="AT788">
        <v>1.42</v>
      </c>
      <c r="AU788">
        <v>4.32</v>
      </c>
      <c r="AV788" t="s">
        <v>2968</v>
      </c>
      <c r="AW788" t="s">
        <v>2969</v>
      </c>
      <c r="AX788" t="s">
        <v>2970</v>
      </c>
    </row>
    <row r="789" spans="1:50" x14ac:dyDescent="0.25">
      <c r="A789" t="s">
        <v>2971</v>
      </c>
      <c r="B789" t="s">
        <v>1679</v>
      </c>
      <c r="C789">
        <v>0</v>
      </c>
      <c r="D789">
        <v>0</v>
      </c>
      <c r="E789" t="s">
        <v>1725</v>
      </c>
      <c r="H789">
        <v>1</v>
      </c>
      <c r="N789">
        <v>1</v>
      </c>
      <c r="Q789">
        <v>0</v>
      </c>
      <c r="R789">
        <v>0</v>
      </c>
      <c r="U789" t="s">
        <v>1687</v>
      </c>
      <c r="V789">
        <v>50</v>
      </c>
      <c r="W789" t="s">
        <v>79</v>
      </c>
      <c r="X789" t="s">
        <v>80</v>
      </c>
      <c r="Y789">
        <v>0</v>
      </c>
      <c r="AD789" t="s">
        <v>57</v>
      </c>
      <c r="AE789">
        <v>0</v>
      </c>
      <c r="AF789">
        <v>6</v>
      </c>
      <c r="AG789">
        <v>1</v>
      </c>
      <c r="AH789">
        <v>1.5</v>
      </c>
      <c r="AI789">
        <v>512</v>
      </c>
      <c r="AJ789">
        <v>512</v>
      </c>
      <c r="AK789">
        <v>72</v>
      </c>
      <c r="AL789" t="s">
        <v>81</v>
      </c>
      <c r="AM789">
        <v>2.2000000000000002</v>
      </c>
      <c r="AN789" t="s">
        <v>1072</v>
      </c>
      <c r="AO789" t="s">
        <v>67</v>
      </c>
      <c r="AP789" t="s">
        <v>68</v>
      </c>
      <c r="AQ789">
        <v>15</v>
      </c>
      <c r="AR789">
        <v>380</v>
      </c>
      <c r="AS789">
        <v>761</v>
      </c>
      <c r="AT789">
        <v>4.2839999999999998</v>
      </c>
      <c r="AU789">
        <v>8.7560000000000002</v>
      </c>
      <c r="AV789" t="s">
        <v>2972</v>
      </c>
      <c r="AW789" t="s">
        <v>2184</v>
      </c>
      <c r="AX789" t="s">
        <v>2973</v>
      </c>
    </row>
    <row r="790" spans="1:50" x14ac:dyDescent="0.25">
      <c r="A790" t="s">
        <v>2974</v>
      </c>
      <c r="B790" t="s">
        <v>1679</v>
      </c>
      <c r="C790">
        <v>0</v>
      </c>
      <c r="D790">
        <v>0</v>
      </c>
      <c r="E790" t="s">
        <v>1734</v>
      </c>
      <c r="H790">
        <v>0</v>
      </c>
      <c r="N790">
        <v>1</v>
      </c>
      <c r="Q790">
        <v>1</v>
      </c>
      <c r="R790">
        <v>0</v>
      </c>
      <c r="U790" t="s">
        <v>1735</v>
      </c>
      <c r="V790">
        <v>37</v>
      </c>
      <c r="W790" t="s">
        <v>1688</v>
      </c>
      <c r="X790" t="s">
        <v>80</v>
      </c>
      <c r="Y790">
        <v>0</v>
      </c>
      <c r="Z790">
        <v>90.718485540000003</v>
      </c>
      <c r="AB790" t="s">
        <v>118</v>
      </c>
      <c r="AD790" t="s">
        <v>57</v>
      </c>
      <c r="AE790">
        <v>0</v>
      </c>
      <c r="AF790">
        <v>6</v>
      </c>
      <c r="AG790">
        <v>1</v>
      </c>
      <c r="AH790">
        <v>1.5</v>
      </c>
      <c r="AI790">
        <v>512</v>
      </c>
      <c r="AJ790">
        <v>512</v>
      </c>
      <c r="AK790">
        <v>80</v>
      </c>
      <c r="AL790" t="s">
        <v>1010</v>
      </c>
      <c r="AM790">
        <v>2</v>
      </c>
      <c r="AN790" t="s">
        <v>1011</v>
      </c>
      <c r="AO790" t="s">
        <v>59</v>
      </c>
      <c r="AP790" t="s">
        <v>60</v>
      </c>
      <c r="AQ790">
        <v>11</v>
      </c>
      <c r="AR790">
        <v>114</v>
      </c>
      <c r="AS790">
        <v>270</v>
      </c>
      <c r="AT790">
        <v>1.67</v>
      </c>
      <c r="AU790">
        <v>4.51</v>
      </c>
      <c r="AV790" t="s">
        <v>2975</v>
      </c>
      <c r="AW790" t="s">
        <v>2976</v>
      </c>
      <c r="AX790" t="s">
        <v>2977</v>
      </c>
    </row>
    <row r="791" spans="1:50" x14ac:dyDescent="0.25">
      <c r="A791" t="s">
        <v>2978</v>
      </c>
      <c r="B791" t="s">
        <v>1679</v>
      </c>
      <c r="C791">
        <v>0</v>
      </c>
      <c r="D791">
        <v>0</v>
      </c>
      <c r="E791" t="s">
        <v>1725</v>
      </c>
      <c r="H791">
        <v>0</v>
      </c>
      <c r="N791">
        <v>1</v>
      </c>
      <c r="Q791">
        <v>0</v>
      </c>
      <c r="R791">
        <v>0</v>
      </c>
      <c r="U791" t="s">
        <v>1687</v>
      </c>
      <c r="V791">
        <v>63</v>
      </c>
      <c r="W791" t="s">
        <v>79</v>
      </c>
      <c r="X791" t="s">
        <v>80</v>
      </c>
      <c r="Y791">
        <v>0</v>
      </c>
      <c r="Z791">
        <v>81.647000000000006</v>
      </c>
      <c r="AB791" t="s">
        <v>94</v>
      </c>
      <c r="AD791" t="s">
        <v>57</v>
      </c>
      <c r="AE791">
        <v>0</v>
      </c>
      <c r="AF791">
        <v>6</v>
      </c>
      <c r="AG791">
        <v>1</v>
      </c>
      <c r="AH791">
        <v>1.5</v>
      </c>
      <c r="AI791">
        <v>512</v>
      </c>
      <c r="AJ791">
        <v>512</v>
      </c>
      <c r="AK791">
        <v>66</v>
      </c>
      <c r="AL791" t="s">
        <v>66</v>
      </c>
      <c r="AM791">
        <v>2.4</v>
      </c>
      <c r="AN791" t="s">
        <v>1897</v>
      </c>
      <c r="AO791" t="s">
        <v>67</v>
      </c>
      <c r="AP791" t="s">
        <v>68</v>
      </c>
      <c r="AQ791">
        <v>15</v>
      </c>
      <c r="AR791">
        <v>40</v>
      </c>
      <c r="AS791">
        <v>81</v>
      </c>
      <c r="AT791">
        <v>4.1760000000000002</v>
      </c>
      <c r="AU791">
        <v>8.532</v>
      </c>
      <c r="AV791" t="s">
        <v>2979</v>
      </c>
      <c r="AW791" t="s">
        <v>2980</v>
      </c>
      <c r="AX791" t="s">
        <v>2981</v>
      </c>
    </row>
    <row r="792" spans="1:50" x14ac:dyDescent="0.25">
      <c r="A792" t="s">
        <v>2982</v>
      </c>
      <c r="B792" t="s">
        <v>1679</v>
      </c>
      <c r="C792">
        <v>0</v>
      </c>
      <c r="D792">
        <v>0</v>
      </c>
      <c r="E792" t="s">
        <v>1740</v>
      </c>
      <c r="H792">
        <v>1</v>
      </c>
      <c r="N792">
        <v>1</v>
      </c>
      <c r="Q792">
        <v>1</v>
      </c>
      <c r="R792">
        <v>0</v>
      </c>
      <c r="U792" t="s">
        <v>1735</v>
      </c>
      <c r="V792">
        <v>48</v>
      </c>
      <c r="W792" t="s">
        <v>1726</v>
      </c>
      <c r="X792" t="s">
        <v>80</v>
      </c>
      <c r="Y792">
        <v>0</v>
      </c>
      <c r="AD792" t="s">
        <v>57</v>
      </c>
      <c r="AE792">
        <v>0</v>
      </c>
      <c r="AF792">
        <v>5</v>
      </c>
      <c r="AG792">
        <v>1</v>
      </c>
      <c r="AH792">
        <v>3</v>
      </c>
      <c r="AI792">
        <v>512</v>
      </c>
      <c r="AJ792">
        <v>512</v>
      </c>
      <c r="AK792">
        <v>116</v>
      </c>
      <c r="AL792" t="s">
        <v>196</v>
      </c>
      <c r="AM792">
        <v>2.4</v>
      </c>
      <c r="AN792" t="s">
        <v>1786</v>
      </c>
      <c r="AO792" t="s">
        <v>67</v>
      </c>
      <c r="AP792" t="s">
        <v>68</v>
      </c>
      <c r="AQ792">
        <v>15</v>
      </c>
      <c r="AR792">
        <v>1967</v>
      </c>
      <c r="AS792">
        <v>3934</v>
      </c>
      <c r="AT792">
        <v>4.25</v>
      </c>
      <c r="AU792">
        <v>8.5310000000000006</v>
      </c>
      <c r="AV792" t="s">
        <v>2983</v>
      </c>
      <c r="AW792" t="s">
        <v>2984</v>
      </c>
      <c r="AX792" t="s">
        <v>2985</v>
      </c>
    </row>
    <row r="793" spans="1:50" x14ac:dyDescent="0.25">
      <c r="A793" t="s">
        <v>2986</v>
      </c>
      <c r="B793" t="s">
        <v>1679</v>
      </c>
      <c r="C793">
        <v>0</v>
      </c>
      <c r="D793">
        <v>0</v>
      </c>
      <c r="E793" t="s">
        <v>1698</v>
      </c>
      <c r="H793">
        <v>1</v>
      </c>
      <c r="N793">
        <v>0</v>
      </c>
      <c r="Q793">
        <v>0</v>
      </c>
      <c r="R793">
        <v>1</v>
      </c>
      <c r="U793" t="s">
        <v>65</v>
      </c>
      <c r="V793">
        <v>54</v>
      </c>
      <c r="W793" t="s">
        <v>79</v>
      </c>
      <c r="X793" t="s">
        <v>80</v>
      </c>
      <c r="Y793">
        <v>0</v>
      </c>
      <c r="Z793">
        <v>79.378674847499994</v>
      </c>
      <c r="AA793">
        <v>1.5748031517000001</v>
      </c>
      <c r="AB793" t="s">
        <v>118</v>
      </c>
      <c r="AD793" t="s">
        <v>57</v>
      </c>
      <c r="AE793">
        <v>0</v>
      </c>
      <c r="AF793">
        <v>6</v>
      </c>
      <c r="AG793">
        <v>1</v>
      </c>
      <c r="AH793">
        <v>3</v>
      </c>
      <c r="AI793">
        <v>512</v>
      </c>
      <c r="AJ793">
        <v>512</v>
      </c>
      <c r="AK793">
        <v>114</v>
      </c>
      <c r="AL793" t="s">
        <v>2372</v>
      </c>
      <c r="AM793">
        <v>1.3999999761999999</v>
      </c>
      <c r="AN793" t="s">
        <v>1741</v>
      </c>
      <c r="AO793" t="s">
        <v>59</v>
      </c>
      <c r="AP793" t="s">
        <v>1862</v>
      </c>
      <c r="AQ793">
        <v>11</v>
      </c>
      <c r="AR793">
        <v>35</v>
      </c>
      <c r="AS793">
        <v>91</v>
      </c>
      <c r="AT793">
        <v>1.73</v>
      </c>
      <c r="AU793">
        <v>4.72</v>
      </c>
      <c r="AV793" t="s">
        <v>2348</v>
      </c>
      <c r="AW793" t="s">
        <v>2436</v>
      </c>
      <c r="AX793" t="s">
        <v>2987</v>
      </c>
    </row>
    <row r="794" spans="1:50" x14ac:dyDescent="0.25">
      <c r="A794" t="s">
        <v>2988</v>
      </c>
      <c r="B794" t="s">
        <v>1679</v>
      </c>
      <c r="C794">
        <v>0</v>
      </c>
      <c r="D794">
        <v>0</v>
      </c>
      <c r="E794" t="s">
        <v>1703</v>
      </c>
      <c r="H794">
        <v>1</v>
      </c>
      <c r="N794">
        <v>0</v>
      </c>
      <c r="Q794">
        <v>0</v>
      </c>
      <c r="R794">
        <v>1</v>
      </c>
      <c r="U794" t="s">
        <v>65</v>
      </c>
      <c r="V794">
        <v>53</v>
      </c>
      <c r="W794" t="s">
        <v>1726</v>
      </c>
      <c r="X794" t="s">
        <v>80</v>
      </c>
      <c r="Y794">
        <v>0</v>
      </c>
      <c r="AD794" t="s">
        <v>57</v>
      </c>
      <c r="AE794">
        <v>0</v>
      </c>
      <c r="AF794">
        <v>6</v>
      </c>
      <c r="AG794">
        <v>1</v>
      </c>
      <c r="AH794">
        <v>1.5</v>
      </c>
      <c r="AI794">
        <v>512</v>
      </c>
      <c r="AJ794">
        <v>512</v>
      </c>
      <c r="AK794">
        <v>80</v>
      </c>
      <c r="AL794" t="s">
        <v>66</v>
      </c>
      <c r="AM794">
        <v>2</v>
      </c>
      <c r="AN794" t="s">
        <v>1681</v>
      </c>
      <c r="AO794" t="s">
        <v>67</v>
      </c>
      <c r="AP794" t="s">
        <v>68</v>
      </c>
      <c r="AQ794">
        <v>15</v>
      </c>
      <c r="AR794">
        <v>461</v>
      </c>
      <c r="AS794">
        <v>1090</v>
      </c>
      <c r="AT794">
        <v>2.6960000000000002</v>
      </c>
      <c r="AU794">
        <v>6.5890000000000004</v>
      </c>
      <c r="AV794" t="s">
        <v>2989</v>
      </c>
      <c r="AW794" t="s">
        <v>2990</v>
      </c>
      <c r="AX794" t="s">
        <v>2991</v>
      </c>
    </row>
    <row r="795" spans="1:50" x14ac:dyDescent="0.25">
      <c r="A795" t="s">
        <v>2992</v>
      </c>
      <c r="B795" t="s">
        <v>1679</v>
      </c>
      <c r="C795">
        <v>0</v>
      </c>
      <c r="D795">
        <v>0</v>
      </c>
      <c r="E795" t="s">
        <v>1686</v>
      </c>
      <c r="H795">
        <v>0</v>
      </c>
      <c r="N795">
        <v>0</v>
      </c>
      <c r="Q795">
        <v>0</v>
      </c>
      <c r="R795">
        <v>1</v>
      </c>
      <c r="U795" t="s">
        <v>65</v>
      </c>
      <c r="V795">
        <v>68</v>
      </c>
      <c r="W795" t="s">
        <v>79</v>
      </c>
      <c r="X795" t="s">
        <v>80</v>
      </c>
      <c r="Y795">
        <v>0</v>
      </c>
      <c r="Z795">
        <v>68.945999999999998</v>
      </c>
      <c r="AB795" t="s">
        <v>94</v>
      </c>
      <c r="AD795" t="s">
        <v>57</v>
      </c>
      <c r="AE795">
        <v>0</v>
      </c>
      <c r="AF795">
        <v>6</v>
      </c>
      <c r="AG795">
        <v>1</v>
      </c>
      <c r="AH795">
        <v>3</v>
      </c>
      <c r="AI795">
        <v>512</v>
      </c>
      <c r="AJ795">
        <v>512</v>
      </c>
      <c r="AK795">
        <v>80</v>
      </c>
      <c r="AL795" t="s">
        <v>66</v>
      </c>
      <c r="AM795">
        <v>2</v>
      </c>
      <c r="AN795" t="s">
        <v>1915</v>
      </c>
      <c r="AO795" t="s">
        <v>67</v>
      </c>
      <c r="AP795" t="s">
        <v>68</v>
      </c>
      <c r="AQ795">
        <v>15</v>
      </c>
      <c r="AR795">
        <v>513</v>
      </c>
      <c r="AS795">
        <v>1026</v>
      </c>
      <c r="AT795">
        <v>2.1720000000000002</v>
      </c>
      <c r="AU795">
        <v>5.5069999999999997</v>
      </c>
      <c r="AV795" t="s">
        <v>2993</v>
      </c>
      <c r="AW795" t="s">
        <v>2885</v>
      </c>
      <c r="AX795" t="s">
        <v>2994</v>
      </c>
    </row>
    <row r="796" spans="1:50" x14ac:dyDescent="0.25">
      <c r="A796" t="s">
        <v>2995</v>
      </c>
      <c r="B796" t="s">
        <v>1679</v>
      </c>
      <c r="C796">
        <v>0</v>
      </c>
      <c r="D796">
        <v>1</v>
      </c>
      <c r="E796" t="s">
        <v>1703</v>
      </c>
      <c r="H796">
        <v>0</v>
      </c>
      <c r="N796">
        <v>1</v>
      </c>
      <c r="Q796">
        <v>0</v>
      </c>
      <c r="R796">
        <v>0</v>
      </c>
      <c r="U796" t="s">
        <v>1687</v>
      </c>
      <c r="V796">
        <v>36</v>
      </c>
      <c r="X796" t="s">
        <v>80</v>
      </c>
      <c r="Y796">
        <v>0</v>
      </c>
      <c r="Z796">
        <v>99.337000000000003</v>
      </c>
      <c r="AB796" t="s">
        <v>56</v>
      </c>
      <c r="AD796" t="s">
        <v>57</v>
      </c>
      <c r="AE796">
        <v>0</v>
      </c>
      <c r="AF796">
        <v>5</v>
      </c>
      <c r="AG796">
        <v>1</v>
      </c>
      <c r="AH796">
        <v>1.5</v>
      </c>
      <c r="AI796">
        <v>512</v>
      </c>
      <c r="AJ796">
        <v>512</v>
      </c>
      <c r="AK796">
        <v>200</v>
      </c>
      <c r="AL796" t="s">
        <v>196</v>
      </c>
      <c r="AM796">
        <v>1.6</v>
      </c>
      <c r="AN796" t="s">
        <v>1938</v>
      </c>
      <c r="AO796" t="s">
        <v>67</v>
      </c>
      <c r="AP796" t="s">
        <v>68</v>
      </c>
      <c r="AQ796">
        <v>15</v>
      </c>
      <c r="AR796">
        <v>109</v>
      </c>
      <c r="AS796">
        <v>219</v>
      </c>
      <c r="AT796">
        <v>2.2080000000000002</v>
      </c>
      <c r="AU796">
        <v>4.6120000000000001</v>
      </c>
      <c r="AV796" t="s">
        <v>2996</v>
      </c>
      <c r="AW796" t="s">
        <v>2119</v>
      </c>
      <c r="AX796" t="s">
        <v>2997</v>
      </c>
    </row>
    <row r="797" spans="1:50" x14ac:dyDescent="0.25">
      <c r="A797" t="s">
        <v>2998</v>
      </c>
      <c r="B797" t="s">
        <v>1679</v>
      </c>
      <c r="C797">
        <v>0</v>
      </c>
      <c r="D797">
        <v>0</v>
      </c>
      <c r="E797" t="s">
        <v>1839</v>
      </c>
      <c r="H797">
        <v>0</v>
      </c>
      <c r="N797">
        <v>1</v>
      </c>
      <c r="Q797">
        <v>1</v>
      </c>
      <c r="R797">
        <v>0</v>
      </c>
      <c r="U797" t="s">
        <v>1735</v>
      </c>
      <c r="V797">
        <v>72</v>
      </c>
      <c r="W797" t="s">
        <v>79</v>
      </c>
      <c r="X797" t="s">
        <v>80</v>
      </c>
      <c r="Y797">
        <v>0</v>
      </c>
      <c r="Z797">
        <v>108.4085902203</v>
      </c>
      <c r="AB797" t="s">
        <v>56</v>
      </c>
      <c r="AD797" t="s">
        <v>57</v>
      </c>
      <c r="AE797">
        <v>0</v>
      </c>
      <c r="AF797">
        <v>6</v>
      </c>
      <c r="AG797">
        <v>1</v>
      </c>
      <c r="AH797">
        <v>1.5</v>
      </c>
      <c r="AI797">
        <v>512</v>
      </c>
      <c r="AJ797">
        <v>512</v>
      </c>
      <c r="AK797">
        <v>80</v>
      </c>
      <c r="AL797" t="s">
        <v>1010</v>
      </c>
      <c r="AM797">
        <v>2</v>
      </c>
      <c r="AN797" t="s">
        <v>1011</v>
      </c>
      <c r="AO797" t="s">
        <v>59</v>
      </c>
      <c r="AP797" t="s">
        <v>60</v>
      </c>
      <c r="AQ797">
        <v>11</v>
      </c>
      <c r="AR797">
        <v>246</v>
      </c>
      <c r="AS797">
        <v>416</v>
      </c>
      <c r="AT797">
        <v>1.67</v>
      </c>
      <c r="AU797">
        <v>4.51</v>
      </c>
      <c r="AV797" t="s">
        <v>2999</v>
      </c>
      <c r="AW797" t="s">
        <v>3000</v>
      </c>
      <c r="AX797" t="s">
        <v>3001</v>
      </c>
    </row>
    <row r="798" spans="1:50" x14ac:dyDescent="0.25">
      <c r="A798" t="s">
        <v>3002</v>
      </c>
      <c r="B798" t="s">
        <v>1679</v>
      </c>
      <c r="C798">
        <v>0</v>
      </c>
      <c r="D798">
        <v>0</v>
      </c>
      <c r="E798" t="s">
        <v>1839</v>
      </c>
      <c r="H798">
        <v>1</v>
      </c>
      <c r="N798">
        <v>1</v>
      </c>
      <c r="Q798">
        <v>1</v>
      </c>
      <c r="R798">
        <v>1</v>
      </c>
      <c r="U798" t="s">
        <v>1735</v>
      </c>
      <c r="V798">
        <v>41</v>
      </c>
      <c r="X798" t="s">
        <v>80</v>
      </c>
      <c r="Y798">
        <v>0</v>
      </c>
      <c r="Z798">
        <v>73.48</v>
      </c>
      <c r="AB798" t="s">
        <v>94</v>
      </c>
      <c r="AD798" t="s">
        <v>57</v>
      </c>
      <c r="AE798">
        <v>0</v>
      </c>
      <c r="AF798">
        <v>6</v>
      </c>
      <c r="AG798">
        <v>1</v>
      </c>
      <c r="AH798">
        <v>3</v>
      </c>
      <c r="AI798">
        <v>512</v>
      </c>
      <c r="AJ798">
        <v>512</v>
      </c>
      <c r="AK798">
        <v>134</v>
      </c>
      <c r="AL798" t="s">
        <v>119</v>
      </c>
      <c r="AM798">
        <v>2.4</v>
      </c>
      <c r="AN798" t="s">
        <v>1786</v>
      </c>
      <c r="AO798" t="s">
        <v>67</v>
      </c>
      <c r="AP798" t="s">
        <v>1845</v>
      </c>
      <c r="AQ798">
        <v>15</v>
      </c>
      <c r="AR798">
        <v>504</v>
      </c>
      <c r="AS798">
        <v>1009</v>
      </c>
      <c r="AT798">
        <v>4.66</v>
      </c>
      <c r="AU798">
        <v>8.8879999999999999</v>
      </c>
      <c r="AV798" t="s">
        <v>3003</v>
      </c>
      <c r="AW798" t="s">
        <v>1836</v>
      </c>
      <c r="AX798" t="s">
        <v>3004</v>
      </c>
    </row>
    <row r="799" spans="1:50" x14ac:dyDescent="0.25">
      <c r="A799" t="s">
        <v>3005</v>
      </c>
      <c r="B799" t="s">
        <v>1679</v>
      </c>
      <c r="C799">
        <v>0</v>
      </c>
      <c r="D799">
        <v>0</v>
      </c>
      <c r="E799" t="s">
        <v>1725</v>
      </c>
      <c r="H799">
        <v>1</v>
      </c>
      <c r="N799">
        <v>0</v>
      </c>
      <c r="Q799">
        <v>0</v>
      </c>
      <c r="R799">
        <v>1</v>
      </c>
      <c r="U799" t="s">
        <v>65</v>
      </c>
      <c r="V799">
        <v>54</v>
      </c>
      <c r="W799" t="s">
        <v>1704</v>
      </c>
      <c r="X799" t="s">
        <v>80</v>
      </c>
      <c r="Y799">
        <v>0</v>
      </c>
      <c r="Z799">
        <v>84.822000000000003</v>
      </c>
      <c r="AB799" t="s">
        <v>118</v>
      </c>
      <c r="AD799" t="s">
        <v>57</v>
      </c>
      <c r="AE799">
        <v>0</v>
      </c>
      <c r="AF799">
        <v>6</v>
      </c>
      <c r="AG799">
        <v>1</v>
      </c>
      <c r="AH799">
        <v>1.5</v>
      </c>
      <c r="AI799">
        <v>512</v>
      </c>
      <c r="AJ799">
        <v>512</v>
      </c>
      <c r="AK799">
        <v>72</v>
      </c>
      <c r="AL799" t="s">
        <v>128</v>
      </c>
      <c r="AM799">
        <v>2.2000000000000002</v>
      </c>
      <c r="AN799" t="s">
        <v>996</v>
      </c>
      <c r="AO799" t="s">
        <v>67</v>
      </c>
      <c r="AP799" t="s">
        <v>68</v>
      </c>
      <c r="AQ799">
        <v>15</v>
      </c>
      <c r="AR799">
        <v>79</v>
      </c>
      <c r="AS799">
        <v>159</v>
      </c>
      <c r="AT799">
        <v>4.2</v>
      </c>
      <c r="AU799">
        <v>7</v>
      </c>
      <c r="AV799" t="s">
        <v>3006</v>
      </c>
      <c r="AW799" t="s">
        <v>1926</v>
      </c>
      <c r="AX799" t="s">
        <v>3007</v>
      </c>
    </row>
    <row r="800" spans="1:50" x14ac:dyDescent="0.25">
      <c r="A800" t="s">
        <v>3008</v>
      </c>
      <c r="B800" t="s">
        <v>1679</v>
      </c>
      <c r="C800">
        <v>0</v>
      </c>
      <c r="D800">
        <v>0</v>
      </c>
      <c r="E800" t="s">
        <v>1686</v>
      </c>
      <c r="H800">
        <v>0</v>
      </c>
      <c r="N800">
        <v>1</v>
      </c>
      <c r="Q800">
        <v>0</v>
      </c>
      <c r="R800">
        <v>0</v>
      </c>
      <c r="U800" t="s">
        <v>1687</v>
      </c>
      <c r="V800">
        <v>46</v>
      </c>
      <c r="W800" t="s">
        <v>1688</v>
      </c>
      <c r="X800" t="s">
        <v>80</v>
      </c>
      <c r="Y800">
        <v>0</v>
      </c>
      <c r="Z800">
        <v>56.698999999999998</v>
      </c>
      <c r="AB800" t="s">
        <v>74</v>
      </c>
      <c r="AD800" t="s">
        <v>57</v>
      </c>
      <c r="AE800">
        <v>0</v>
      </c>
      <c r="AF800">
        <v>6</v>
      </c>
      <c r="AG800">
        <v>1</v>
      </c>
      <c r="AH800">
        <v>1.5</v>
      </c>
      <c r="AI800">
        <v>512</v>
      </c>
      <c r="AJ800">
        <v>512</v>
      </c>
      <c r="AK800">
        <v>80</v>
      </c>
      <c r="AL800" t="s">
        <v>196</v>
      </c>
      <c r="AM800">
        <v>2</v>
      </c>
      <c r="AN800" t="s">
        <v>996</v>
      </c>
      <c r="AO800" t="s">
        <v>67</v>
      </c>
      <c r="AP800" t="s">
        <v>68</v>
      </c>
      <c r="AQ800">
        <v>15</v>
      </c>
      <c r="AR800">
        <v>169</v>
      </c>
      <c r="AS800">
        <v>338</v>
      </c>
      <c r="AT800">
        <v>4.2</v>
      </c>
      <c r="AU800">
        <v>7</v>
      </c>
      <c r="AV800" t="s">
        <v>3009</v>
      </c>
      <c r="AW800" t="s">
        <v>3010</v>
      </c>
      <c r="AX800" t="s">
        <v>3011</v>
      </c>
    </row>
    <row r="801" spans="1:50" x14ac:dyDescent="0.25">
      <c r="A801" t="s">
        <v>3012</v>
      </c>
      <c r="B801" t="s">
        <v>1679</v>
      </c>
      <c r="C801">
        <v>0</v>
      </c>
      <c r="D801">
        <v>1</v>
      </c>
      <c r="E801" t="s">
        <v>1791</v>
      </c>
      <c r="H801">
        <v>0</v>
      </c>
      <c r="N801">
        <v>1</v>
      </c>
      <c r="Q801">
        <v>1</v>
      </c>
      <c r="R801">
        <v>0</v>
      </c>
      <c r="U801" t="s">
        <v>1735</v>
      </c>
      <c r="V801">
        <v>56</v>
      </c>
      <c r="W801" t="s">
        <v>79</v>
      </c>
      <c r="X801" t="s">
        <v>80</v>
      </c>
      <c r="Y801">
        <v>0</v>
      </c>
      <c r="AD801" t="s">
        <v>57</v>
      </c>
      <c r="AE801">
        <v>0</v>
      </c>
      <c r="AF801">
        <v>6</v>
      </c>
      <c r="AG801">
        <v>1</v>
      </c>
      <c r="AH801">
        <v>3</v>
      </c>
      <c r="AI801">
        <v>512</v>
      </c>
      <c r="AJ801">
        <v>512</v>
      </c>
      <c r="AK801">
        <v>134</v>
      </c>
      <c r="AL801" t="s">
        <v>350</v>
      </c>
      <c r="AM801">
        <v>2.4</v>
      </c>
      <c r="AN801" t="s">
        <v>1786</v>
      </c>
      <c r="AO801" t="s">
        <v>67</v>
      </c>
      <c r="AP801" t="s">
        <v>68</v>
      </c>
      <c r="AQ801">
        <v>15</v>
      </c>
      <c r="AR801">
        <v>237</v>
      </c>
      <c r="AS801">
        <v>475</v>
      </c>
      <c r="AT801">
        <v>2.7160000000000002</v>
      </c>
      <c r="AU801">
        <v>6.5209999999999999</v>
      </c>
      <c r="AV801" t="s">
        <v>1911</v>
      </c>
      <c r="AW801" t="s">
        <v>3013</v>
      </c>
      <c r="AX801" t="s">
        <v>3014</v>
      </c>
    </row>
    <row r="802" spans="1:50" x14ac:dyDescent="0.25">
      <c r="A802" t="s">
        <v>3015</v>
      </c>
      <c r="B802" t="s">
        <v>1679</v>
      </c>
      <c r="C802">
        <v>0</v>
      </c>
      <c r="D802">
        <v>0</v>
      </c>
      <c r="E802" t="s">
        <v>1693</v>
      </c>
      <c r="H802">
        <v>0</v>
      </c>
      <c r="N802">
        <v>0</v>
      </c>
      <c r="Q802">
        <v>0</v>
      </c>
      <c r="R802">
        <v>1</v>
      </c>
      <c r="U802" t="s">
        <v>65</v>
      </c>
      <c r="V802">
        <v>59</v>
      </c>
      <c r="W802" t="s">
        <v>79</v>
      </c>
      <c r="X802" t="s">
        <v>80</v>
      </c>
      <c r="Y802">
        <v>0</v>
      </c>
      <c r="Z802">
        <v>75</v>
      </c>
      <c r="AB802" t="s">
        <v>94</v>
      </c>
      <c r="AD802" t="s">
        <v>57</v>
      </c>
      <c r="AE802">
        <v>0</v>
      </c>
      <c r="AF802">
        <v>6</v>
      </c>
      <c r="AG802">
        <v>1</v>
      </c>
      <c r="AH802">
        <v>1.5</v>
      </c>
      <c r="AI802">
        <v>512</v>
      </c>
      <c r="AJ802">
        <v>512</v>
      </c>
      <c r="AK802">
        <v>160</v>
      </c>
      <c r="AL802" t="s">
        <v>1010</v>
      </c>
      <c r="AM802">
        <v>2</v>
      </c>
      <c r="AN802" t="s">
        <v>1154</v>
      </c>
      <c r="AO802" t="s">
        <v>1155</v>
      </c>
      <c r="AP802" t="s">
        <v>1305</v>
      </c>
      <c r="AQ802">
        <v>11</v>
      </c>
      <c r="AR802">
        <v>883</v>
      </c>
      <c r="AS802">
        <v>1535</v>
      </c>
      <c r="AT802">
        <v>2.8140000000000001</v>
      </c>
      <c r="AU802">
        <v>5.4090999999999996</v>
      </c>
      <c r="AV802" t="s">
        <v>3016</v>
      </c>
      <c r="AW802" t="s">
        <v>2553</v>
      </c>
      <c r="AX802" t="s">
        <v>3017</v>
      </c>
    </row>
    <row r="803" spans="1:50" x14ac:dyDescent="0.25">
      <c r="A803" t="s">
        <v>3018</v>
      </c>
      <c r="B803" t="s">
        <v>1679</v>
      </c>
      <c r="C803">
        <v>0</v>
      </c>
      <c r="D803">
        <v>0</v>
      </c>
      <c r="E803" t="s">
        <v>1703</v>
      </c>
      <c r="H803">
        <v>0</v>
      </c>
      <c r="N803">
        <v>0</v>
      </c>
      <c r="Q803">
        <v>0</v>
      </c>
      <c r="R803">
        <v>0</v>
      </c>
      <c r="U803" t="s">
        <v>65</v>
      </c>
      <c r="V803">
        <v>44</v>
      </c>
      <c r="W803" t="s">
        <v>1688</v>
      </c>
      <c r="X803" t="s">
        <v>111</v>
      </c>
      <c r="Y803">
        <v>0</v>
      </c>
      <c r="AD803" t="s">
        <v>57</v>
      </c>
      <c r="AE803">
        <v>0</v>
      </c>
      <c r="AF803">
        <v>5</v>
      </c>
      <c r="AG803">
        <v>1</v>
      </c>
      <c r="AH803">
        <v>3</v>
      </c>
      <c r="AI803">
        <v>512</v>
      </c>
      <c r="AJ803">
        <v>512</v>
      </c>
      <c r="AK803">
        <v>134</v>
      </c>
      <c r="AL803" t="s">
        <v>128</v>
      </c>
      <c r="AM803">
        <v>2.4</v>
      </c>
      <c r="AN803" t="s">
        <v>1786</v>
      </c>
      <c r="AO803" t="s">
        <v>67</v>
      </c>
      <c r="AP803" t="s">
        <v>68</v>
      </c>
      <c r="AQ803">
        <v>15</v>
      </c>
      <c r="AR803">
        <v>2048</v>
      </c>
      <c r="AS803">
        <v>4096</v>
      </c>
      <c r="AT803">
        <v>2.8239999999999998</v>
      </c>
      <c r="AU803">
        <v>7.4290000000000003</v>
      </c>
      <c r="AV803" t="s">
        <v>3019</v>
      </c>
      <c r="AW803" t="s">
        <v>3020</v>
      </c>
      <c r="AX803" t="s">
        <v>3021</v>
      </c>
    </row>
    <row r="804" spans="1:50" x14ac:dyDescent="0.25">
      <c r="A804" t="s">
        <v>3022</v>
      </c>
      <c r="B804" t="s">
        <v>1679</v>
      </c>
      <c r="C804">
        <v>0</v>
      </c>
      <c r="D804">
        <v>0</v>
      </c>
      <c r="E804" t="s">
        <v>1740</v>
      </c>
      <c r="H804">
        <v>0</v>
      </c>
      <c r="N804">
        <v>0</v>
      </c>
      <c r="Q804">
        <v>0</v>
      </c>
      <c r="R804">
        <v>1</v>
      </c>
      <c r="U804" t="s">
        <v>65</v>
      </c>
      <c r="V804">
        <v>54</v>
      </c>
      <c r="W804" t="s">
        <v>79</v>
      </c>
      <c r="X804" t="s">
        <v>80</v>
      </c>
      <c r="Y804">
        <v>0</v>
      </c>
      <c r="Z804">
        <v>73</v>
      </c>
      <c r="AA804">
        <v>1.54</v>
      </c>
      <c r="AB804" t="s">
        <v>118</v>
      </c>
      <c r="AD804" t="s">
        <v>57</v>
      </c>
      <c r="AE804">
        <v>1</v>
      </c>
      <c r="AF804">
        <v>6</v>
      </c>
      <c r="AG804">
        <v>1</v>
      </c>
      <c r="AH804">
        <v>3</v>
      </c>
      <c r="AI804">
        <v>384</v>
      </c>
      <c r="AJ804">
        <v>384</v>
      </c>
      <c r="AK804">
        <v>72</v>
      </c>
      <c r="AL804" t="s">
        <v>1394</v>
      </c>
      <c r="AM804">
        <v>2.5</v>
      </c>
      <c r="AN804" t="s">
        <v>1114</v>
      </c>
      <c r="AO804" t="s">
        <v>59</v>
      </c>
      <c r="AP804" t="s">
        <v>1781</v>
      </c>
      <c r="AQ804">
        <v>11</v>
      </c>
      <c r="AR804">
        <v>102</v>
      </c>
      <c r="AS804">
        <v>230</v>
      </c>
      <c r="AT804">
        <v>1.37</v>
      </c>
      <c r="AU804">
        <v>4.32</v>
      </c>
      <c r="AV804" t="s">
        <v>3023</v>
      </c>
      <c r="AW804" t="s">
        <v>3024</v>
      </c>
      <c r="AX804" t="s">
        <v>3025</v>
      </c>
    </row>
    <row r="805" spans="1:50" x14ac:dyDescent="0.25">
      <c r="A805" t="s">
        <v>3026</v>
      </c>
      <c r="B805" t="s">
        <v>1679</v>
      </c>
      <c r="C805">
        <v>0</v>
      </c>
      <c r="D805">
        <v>1</v>
      </c>
      <c r="E805" t="s">
        <v>1680</v>
      </c>
      <c r="H805">
        <v>0</v>
      </c>
      <c r="N805">
        <v>1</v>
      </c>
      <c r="Q805">
        <v>0</v>
      </c>
      <c r="R805">
        <v>0</v>
      </c>
      <c r="U805" t="s">
        <v>1687</v>
      </c>
      <c r="V805">
        <v>35</v>
      </c>
      <c r="W805" t="s">
        <v>1688</v>
      </c>
      <c r="X805" t="s">
        <v>55</v>
      </c>
      <c r="Y805">
        <v>0</v>
      </c>
      <c r="Z805">
        <v>119.295</v>
      </c>
      <c r="AB805" t="s">
        <v>269</v>
      </c>
      <c r="AD805" t="s">
        <v>57</v>
      </c>
      <c r="AE805">
        <v>0</v>
      </c>
      <c r="AF805">
        <v>6</v>
      </c>
      <c r="AG805">
        <v>1</v>
      </c>
      <c r="AH805">
        <v>3</v>
      </c>
      <c r="AI805">
        <v>512</v>
      </c>
      <c r="AJ805">
        <v>512</v>
      </c>
      <c r="AK805">
        <v>80</v>
      </c>
      <c r="AL805" t="s">
        <v>119</v>
      </c>
      <c r="AM805">
        <v>2</v>
      </c>
      <c r="AN805" t="s">
        <v>1915</v>
      </c>
      <c r="AO805" t="s">
        <v>67</v>
      </c>
      <c r="AP805" t="s">
        <v>68</v>
      </c>
      <c r="AQ805">
        <v>15</v>
      </c>
      <c r="AR805">
        <v>237</v>
      </c>
      <c r="AS805">
        <v>475</v>
      </c>
      <c r="AT805">
        <v>2.1</v>
      </c>
      <c r="AU805">
        <v>4.367</v>
      </c>
      <c r="AV805" t="s">
        <v>3027</v>
      </c>
      <c r="AW805" t="s">
        <v>3028</v>
      </c>
      <c r="AX805" t="s">
        <v>3029</v>
      </c>
    </row>
    <row r="806" spans="1:50" x14ac:dyDescent="0.25">
      <c r="A806" t="s">
        <v>3030</v>
      </c>
      <c r="B806" t="s">
        <v>1679</v>
      </c>
      <c r="C806">
        <v>0</v>
      </c>
      <c r="D806">
        <v>0</v>
      </c>
      <c r="E806" t="s">
        <v>1703</v>
      </c>
      <c r="H806">
        <v>1</v>
      </c>
      <c r="N806">
        <v>0</v>
      </c>
      <c r="Q806">
        <v>0</v>
      </c>
      <c r="R806">
        <v>1</v>
      </c>
      <c r="U806" t="s">
        <v>65</v>
      </c>
      <c r="V806">
        <v>25</v>
      </c>
      <c r="W806" t="s">
        <v>1688</v>
      </c>
      <c r="X806" t="s">
        <v>321</v>
      </c>
      <c r="Y806">
        <v>0</v>
      </c>
      <c r="Z806">
        <v>58.512999999999998</v>
      </c>
      <c r="AB806" t="s">
        <v>74</v>
      </c>
      <c r="AD806" t="s">
        <v>57</v>
      </c>
      <c r="AE806">
        <v>0</v>
      </c>
      <c r="AF806">
        <v>6</v>
      </c>
      <c r="AG806">
        <v>1</v>
      </c>
      <c r="AH806">
        <v>1.5</v>
      </c>
      <c r="AI806">
        <v>512</v>
      </c>
      <c r="AJ806">
        <v>512</v>
      </c>
      <c r="AK806">
        <v>80</v>
      </c>
      <c r="AL806" t="s">
        <v>153</v>
      </c>
      <c r="AM806">
        <v>2</v>
      </c>
      <c r="AN806" t="s">
        <v>996</v>
      </c>
      <c r="AO806" t="s">
        <v>67</v>
      </c>
      <c r="AP806" t="s">
        <v>68</v>
      </c>
      <c r="AQ806">
        <v>15</v>
      </c>
      <c r="AR806">
        <v>123</v>
      </c>
      <c r="AS806">
        <v>247</v>
      </c>
      <c r="AT806">
        <v>4.2</v>
      </c>
      <c r="AU806">
        <v>7</v>
      </c>
      <c r="AV806" t="s">
        <v>1813</v>
      </c>
      <c r="AW806" t="s">
        <v>3031</v>
      </c>
      <c r="AX806" t="s">
        <v>3032</v>
      </c>
    </row>
    <row r="807" spans="1:50" x14ac:dyDescent="0.25">
      <c r="A807" t="s">
        <v>3033</v>
      </c>
      <c r="B807" t="s">
        <v>1679</v>
      </c>
      <c r="C807">
        <v>0</v>
      </c>
      <c r="D807">
        <v>0</v>
      </c>
      <c r="E807" t="s">
        <v>1703</v>
      </c>
      <c r="H807">
        <v>0</v>
      </c>
      <c r="N807">
        <v>0</v>
      </c>
      <c r="Q807">
        <v>0</v>
      </c>
      <c r="R807">
        <v>1</v>
      </c>
      <c r="U807" t="s">
        <v>65</v>
      </c>
      <c r="V807">
        <v>77</v>
      </c>
      <c r="X807" t="s">
        <v>55</v>
      </c>
      <c r="Y807">
        <v>0</v>
      </c>
      <c r="Z807">
        <v>68</v>
      </c>
      <c r="AB807" t="s">
        <v>74</v>
      </c>
      <c r="AD807" t="s">
        <v>57</v>
      </c>
      <c r="AE807">
        <v>0</v>
      </c>
      <c r="AF807">
        <v>6</v>
      </c>
      <c r="AG807">
        <v>1</v>
      </c>
      <c r="AH807">
        <v>1.5</v>
      </c>
      <c r="AI807">
        <v>512</v>
      </c>
      <c r="AJ807">
        <v>512</v>
      </c>
      <c r="AK807">
        <v>64</v>
      </c>
      <c r="AL807" t="s">
        <v>196</v>
      </c>
      <c r="AM807">
        <v>2.5</v>
      </c>
      <c r="AN807" t="s">
        <v>1531</v>
      </c>
      <c r="AO807" t="s">
        <v>1155</v>
      </c>
      <c r="AP807" t="s">
        <v>1767</v>
      </c>
      <c r="AQ807">
        <v>11</v>
      </c>
      <c r="AR807">
        <v>59.06</v>
      </c>
      <c r="AS807">
        <v>102.66</v>
      </c>
      <c r="AT807">
        <v>2.5920000000000001</v>
      </c>
      <c r="AU807">
        <v>5.1962999999999999</v>
      </c>
      <c r="AV807" t="s">
        <v>3034</v>
      </c>
      <c r="AW807" t="s">
        <v>1894</v>
      </c>
      <c r="AX807" t="s">
        <v>3035</v>
      </c>
    </row>
    <row r="808" spans="1:50" x14ac:dyDescent="0.25">
      <c r="A808" t="s">
        <v>3036</v>
      </c>
      <c r="B808" t="s">
        <v>1679</v>
      </c>
      <c r="C808">
        <v>0</v>
      </c>
      <c r="D808">
        <v>0</v>
      </c>
      <c r="E808" t="s">
        <v>1839</v>
      </c>
      <c r="H808">
        <v>1</v>
      </c>
      <c r="N808">
        <v>0</v>
      </c>
      <c r="Q808">
        <v>1</v>
      </c>
      <c r="R808">
        <v>0</v>
      </c>
      <c r="U808" t="s">
        <v>72</v>
      </c>
      <c r="V808">
        <v>55</v>
      </c>
      <c r="W808" t="s">
        <v>79</v>
      </c>
      <c r="X808" t="s">
        <v>55</v>
      </c>
      <c r="Y808">
        <v>0</v>
      </c>
      <c r="Z808">
        <v>100</v>
      </c>
      <c r="AB808" t="s">
        <v>56</v>
      </c>
      <c r="AD808" t="s">
        <v>57</v>
      </c>
      <c r="AE808">
        <v>0</v>
      </c>
      <c r="AF808">
        <v>6</v>
      </c>
      <c r="AG808">
        <v>1</v>
      </c>
      <c r="AH808">
        <v>1.5</v>
      </c>
      <c r="AI808">
        <v>512</v>
      </c>
      <c r="AJ808">
        <v>512</v>
      </c>
      <c r="AK808">
        <v>80</v>
      </c>
      <c r="AL808" t="s">
        <v>119</v>
      </c>
      <c r="AM808">
        <v>2.5</v>
      </c>
      <c r="AN808" t="s">
        <v>1705</v>
      </c>
      <c r="AO808" t="s">
        <v>67</v>
      </c>
      <c r="AP808" t="s">
        <v>89</v>
      </c>
      <c r="AQ808">
        <v>15</v>
      </c>
      <c r="AR808">
        <v>435</v>
      </c>
      <c r="AS808">
        <v>871</v>
      </c>
      <c r="AT808">
        <v>2.504</v>
      </c>
      <c r="AU808">
        <v>5.1959999999999997</v>
      </c>
      <c r="AV808" t="s">
        <v>3037</v>
      </c>
      <c r="AW808" t="s">
        <v>2566</v>
      </c>
      <c r="AX808" t="s">
        <v>3038</v>
      </c>
    </row>
    <row r="809" spans="1:50" x14ac:dyDescent="0.25">
      <c r="A809" t="s">
        <v>3039</v>
      </c>
      <c r="B809" t="s">
        <v>1679</v>
      </c>
      <c r="C809">
        <v>1</v>
      </c>
      <c r="D809">
        <v>0</v>
      </c>
      <c r="E809" t="s">
        <v>1725</v>
      </c>
      <c r="H809">
        <v>0</v>
      </c>
      <c r="N809">
        <v>0</v>
      </c>
      <c r="Q809">
        <v>0</v>
      </c>
      <c r="R809">
        <v>1</v>
      </c>
      <c r="U809" t="s">
        <v>65</v>
      </c>
      <c r="V809">
        <v>49</v>
      </c>
      <c r="X809" t="s">
        <v>80</v>
      </c>
      <c r="Y809">
        <v>0</v>
      </c>
      <c r="Z809">
        <v>66.188207050000003</v>
      </c>
      <c r="AB809" t="s">
        <v>74</v>
      </c>
      <c r="AD809" t="s">
        <v>57</v>
      </c>
      <c r="AE809">
        <v>1</v>
      </c>
      <c r="AF809">
        <v>6</v>
      </c>
      <c r="AG809">
        <v>1</v>
      </c>
      <c r="AH809">
        <v>1.5</v>
      </c>
      <c r="AI809">
        <v>384</v>
      </c>
      <c r="AJ809">
        <v>384</v>
      </c>
      <c r="AK809">
        <v>160</v>
      </c>
      <c r="AL809" t="s">
        <v>1800</v>
      </c>
      <c r="AM809">
        <v>1.25</v>
      </c>
      <c r="AN809" t="s">
        <v>1720</v>
      </c>
      <c r="AO809" t="s">
        <v>59</v>
      </c>
      <c r="AP809" t="s">
        <v>60</v>
      </c>
      <c r="AQ809">
        <v>11</v>
      </c>
      <c r="AR809">
        <v>317</v>
      </c>
      <c r="AS809">
        <v>662</v>
      </c>
      <c r="AT809">
        <v>1.52</v>
      </c>
      <c r="AU809">
        <v>4.99</v>
      </c>
      <c r="AV809" t="s">
        <v>3040</v>
      </c>
      <c r="AW809" t="s">
        <v>3041</v>
      </c>
      <c r="AX809" t="s">
        <v>3042</v>
      </c>
    </row>
    <row r="810" spans="1:50" x14ac:dyDescent="0.25">
      <c r="A810" t="s">
        <v>3043</v>
      </c>
      <c r="B810" t="s">
        <v>1679</v>
      </c>
      <c r="C810">
        <v>0</v>
      </c>
      <c r="D810">
        <v>0</v>
      </c>
      <c r="E810" t="s">
        <v>1780</v>
      </c>
      <c r="H810">
        <v>0</v>
      </c>
      <c r="N810">
        <v>0</v>
      </c>
      <c r="Q810">
        <v>0</v>
      </c>
      <c r="R810">
        <v>1</v>
      </c>
      <c r="U810" t="s">
        <v>65</v>
      </c>
      <c r="V810">
        <v>39</v>
      </c>
      <c r="W810" t="s">
        <v>1726</v>
      </c>
      <c r="X810" t="s">
        <v>80</v>
      </c>
      <c r="Y810">
        <v>0</v>
      </c>
      <c r="AD810" t="s">
        <v>57</v>
      </c>
      <c r="AE810">
        <v>0</v>
      </c>
      <c r="AF810">
        <v>6</v>
      </c>
      <c r="AG810">
        <v>1</v>
      </c>
      <c r="AH810">
        <v>3</v>
      </c>
      <c r="AI810">
        <v>512</v>
      </c>
      <c r="AJ810">
        <v>512</v>
      </c>
      <c r="AK810">
        <v>134</v>
      </c>
      <c r="AL810" t="s">
        <v>81</v>
      </c>
      <c r="AM810">
        <v>2.4</v>
      </c>
      <c r="AN810" t="s">
        <v>1786</v>
      </c>
      <c r="AO810" t="s">
        <v>67</v>
      </c>
      <c r="AP810" t="s">
        <v>68</v>
      </c>
      <c r="AQ810">
        <v>15</v>
      </c>
      <c r="AR810">
        <v>256</v>
      </c>
      <c r="AS810">
        <v>512</v>
      </c>
      <c r="AT810">
        <v>4.25</v>
      </c>
      <c r="AU810">
        <v>7.9050000000000002</v>
      </c>
      <c r="AV810" t="s">
        <v>2068</v>
      </c>
      <c r="AW810" t="s">
        <v>2424</v>
      </c>
      <c r="AX810" t="s">
        <v>3044</v>
      </c>
    </row>
    <row r="811" spans="1:50" x14ac:dyDescent="0.25">
      <c r="A811" t="s">
        <v>3045</v>
      </c>
      <c r="B811" t="s">
        <v>1679</v>
      </c>
      <c r="C811">
        <v>0</v>
      </c>
      <c r="D811">
        <v>0</v>
      </c>
      <c r="E811" t="s">
        <v>1686</v>
      </c>
      <c r="H811">
        <v>0</v>
      </c>
      <c r="N811">
        <v>1</v>
      </c>
      <c r="Q811">
        <v>0</v>
      </c>
      <c r="R811">
        <v>0</v>
      </c>
      <c r="U811" t="s">
        <v>1687</v>
      </c>
      <c r="V811">
        <v>45</v>
      </c>
      <c r="W811" t="s">
        <v>1688</v>
      </c>
      <c r="X811" t="s">
        <v>80</v>
      </c>
      <c r="Y811">
        <v>0</v>
      </c>
      <c r="Z811">
        <v>70.3</v>
      </c>
      <c r="AB811" t="s">
        <v>94</v>
      </c>
      <c r="AD811" t="s">
        <v>57</v>
      </c>
      <c r="AE811">
        <v>1</v>
      </c>
      <c r="AF811">
        <v>6</v>
      </c>
      <c r="AG811">
        <v>1</v>
      </c>
      <c r="AH811">
        <v>1.5</v>
      </c>
      <c r="AI811">
        <v>384</v>
      </c>
      <c r="AJ811">
        <v>384</v>
      </c>
      <c r="AK811">
        <v>176</v>
      </c>
      <c r="AL811" t="s">
        <v>1830</v>
      </c>
      <c r="AM811">
        <v>1.1000000238000001</v>
      </c>
      <c r="AN811" t="s">
        <v>1720</v>
      </c>
      <c r="AO811" t="s">
        <v>59</v>
      </c>
      <c r="AP811" t="s">
        <v>60</v>
      </c>
      <c r="AQ811">
        <v>11</v>
      </c>
      <c r="AR811">
        <v>64</v>
      </c>
      <c r="AS811">
        <v>165</v>
      </c>
      <c r="AT811">
        <v>1.53</v>
      </c>
      <c r="AU811">
        <v>4.16</v>
      </c>
      <c r="AV811" t="s">
        <v>3046</v>
      </c>
      <c r="AW811" t="s">
        <v>3047</v>
      </c>
      <c r="AX811" t="s">
        <v>3048</v>
      </c>
    </row>
    <row r="812" spans="1:50" x14ac:dyDescent="0.25">
      <c r="A812" t="s">
        <v>3049</v>
      </c>
      <c r="B812" t="s">
        <v>1679</v>
      </c>
      <c r="C812">
        <v>0</v>
      </c>
      <c r="D812">
        <v>1</v>
      </c>
      <c r="E812" t="s">
        <v>1680</v>
      </c>
      <c r="H812">
        <v>0</v>
      </c>
      <c r="N812">
        <v>1</v>
      </c>
      <c r="Q812">
        <v>0</v>
      </c>
      <c r="R812">
        <v>1</v>
      </c>
      <c r="U812" t="s">
        <v>1687</v>
      </c>
      <c r="V812">
        <v>61</v>
      </c>
      <c r="X812" t="s">
        <v>80</v>
      </c>
      <c r="Y812">
        <v>0</v>
      </c>
      <c r="Z812">
        <v>79.818659502399996</v>
      </c>
      <c r="AB812" t="s">
        <v>94</v>
      </c>
      <c r="AD812" t="s">
        <v>57</v>
      </c>
      <c r="AE812">
        <v>1</v>
      </c>
      <c r="AF812">
        <v>6</v>
      </c>
      <c r="AG812">
        <v>1</v>
      </c>
      <c r="AH812">
        <v>1.5</v>
      </c>
      <c r="AI812">
        <v>384</v>
      </c>
      <c r="AJ812">
        <v>384</v>
      </c>
      <c r="AK812">
        <v>176</v>
      </c>
      <c r="AL812" t="s">
        <v>1800</v>
      </c>
      <c r="AM812">
        <v>1.1000000238000001</v>
      </c>
      <c r="AN812" t="s">
        <v>1720</v>
      </c>
      <c r="AO812" t="s">
        <v>59</v>
      </c>
      <c r="AP812" t="s">
        <v>60</v>
      </c>
      <c r="AQ812">
        <v>11</v>
      </c>
      <c r="AR812">
        <v>197</v>
      </c>
      <c r="AS812">
        <v>368</v>
      </c>
      <c r="AT812">
        <v>1.52</v>
      </c>
      <c r="AU812">
        <v>4.1399999999999997</v>
      </c>
      <c r="AV812" t="s">
        <v>3050</v>
      </c>
      <c r="AW812" t="s">
        <v>3051</v>
      </c>
      <c r="AX812" t="s">
        <v>3052</v>
      </c>
    </row>
    <row r="813" spans="1:50" x14ac:dyDescent="0.25">
      <c r="A813" t="s">
        <v>3053</v>
      </c>
      <c r="B813" t="s">
        <v>1679</v>
      </c>
      <c r="C813">
        <v>0</v>
      </c>
      <c r="D813">
        <v>0</v>
      </c>
      <c r="E813" t="s">
        <v>1680</v>
      </c>
      <c r="H813">
        <v>0</v>
      </c>
      <c r="N813">
        <v>0</v>
      </c>
      <c r="Q813">
        <v>0</v>
      </c>
      <c r="R813">
        <v>1</v>
      </c>
      <c r="U813" t="s">
        <v>65</v>
      </c>
      <c r="V813">
        <v>62</v>
      </c>
      <c r="X813" t="s">
        <v>80</v>
      </c>
      <c r="Y813">
        <v>0</v>
      </c>
      <c r="Z813">
        <v>87.996930973800005</v>
      </c>
      <c r="AB813" t="s">
        <v>118</v>
      </c>
      <c r="AD813" t="s">
        <v>57</v>
      </c>
      <c r="AE813">
        <v>0</v>
      </c>
      <c r="AF813">
        <v>6</v>
      </c>
      <c r="AG813">
        <v>1</v>
      </c>
      <c r="AH813">
        <v>1.5</v>
      </c>
      <c r="AI813">
        <v>512</v>
      </c>
      <c r="AJ813">
        <v>512</v>
      </c>
      <c r="AK813">
        <v>80</v>
      </c>
      <c r="AL813" t="s">
        <v>1010</v>
      </c>
      <c r="AM813">
        <v>2</v>
      </c>
      <c r="AN813" t="s">
        <v>1011</v>
      </c>
      <c r="AO813" t="s">
        <v>59</v>
      </c>
      <c r="AP813" t="s">
        <v>60</v>
      </c>
      <c r="AQ813">
        <v>11</v>
      </c>
      <c r="AR813">
        <v>53</v>
      </c>
      <c r="AS813">
        <v>142</v>
      </c>
      <c r="AT813">
        <v>1.67</v>
      </c>
      <c r="AU813">
        <v>4.51</v>
      </c>
      <c r="AV813" t="s">
        <v>3054</v>
      </c>
      <c r="AW813" t="s">
        <v>3055</v>
      </c>
      <c r="AX813" t="s">
        <v>3056</v>
      </c>
    </row>
    <row r="814" spans="1:50" x14ac:dyDescent="0.25">
      <c r="A814" t="s">
        <v>3057</v>
      </c>
      <c r="B814" t="s">
        <v>1679</v>
      </c>
      <c r="C814">
        <v>0</v>
      </c>
      <c r="D814">
        <v>0</v>
      </c>
      <c r="E814" t="s">
        <v>1839</v>
      </c>
      <c r="H814">
        <v>0</v>
      </c>
      <c r="N814">
        <v>1</v>
      </c>
      <c r="Q814">
        <v>1</v>
      </c>
      <c r="R814">
        <v>0</v>
      </c>
      <c r="U814" t="s">
        <v>1735</v>
      </c>
      <c r="V814">
        <v>66</v>
      </c>
      <c r="W814" t="s">
        <v>79</v>
      </c>
      <c r="X814" t="s">
        <v>80</v>
      </c>
      <c r="Y814">
        <v>0</v>
      </c>
      <c r="Z814">
        <v>71.668000000000006</v>
      </c>
      <c r="AB814" t="s">
        <v>94</v>
      </c>
      <c r="AD814" t="s">
        <v>57</v>
      </c>
      <c r="AE814">
        <v>0</v>
      </c>
      <c r="AF814">
        <v>6</v>
      </c>
      <c r="AG814">
        <v>1</v>
      </c>
      <c r="AH814">
        <v>1.5</v>
      </c>
      <c r="AI814">
        <v>512</v>
      </c>
      <c r="AJ814">
        <v>512</v>
      </c>
      <c r="AK814">
        <v>70</v>
      </c>
      <c r="AL814" t="s">
        <v>153</v>
      </c>
      <c r="AM814">
        <v>2.2999999999999998</v>
      </c>
      <c r="AN814" t="s">
        <v>996</v>
      </c>
      <c r="AO814" t="s">
        <v>67</v>
      </c>
      <c r="AP814" t="s">
        <v>68</v>
      </c>
      <c r="AQ814">
        <v>15</v>
      </c>
      <c r="AR814">
        <v>92</v>
      </c>
      <c r="AS814">
        <v>185</v>
      </c>
      <c r="AT814">
        <v>4.2</v>
      </c>
      <c r="AU814">
        <v>7</v>
      </c>
      <c r="AV814" t="s">
        <v>2678</v>
      </c>
      <c r="AW814" t="s">
        <v>3058</v>
      </c>
      <c r="AX814" t="s">
        <v>3059</v>
      </c>
    </row>
    <row r="815" spans="1:50" x14ac:dyDescent="0.25">
      <c r="A815" t="s">
        <v>3060</v>
      </c>
      <c r="B815" t="s">
        <v>1679</v>
      </c>
      <c r="C815">
        <v>0</v>
      </c>
      <c r="D815">
        <v>0</v>
      </c>
      <c r="E815" t="s">
        <v>1693</v>
      </c>
      <c r="H815">
        <v>0</v>
      </c>
      <c r="N815">
        <v>0</v>
      </c>
      <c r="Q815">
        <v>0</v>
      </c>
      <c r="R815">
        <v>1</v>
      </c>
      <c r="U815" t="s">
        <v>65</v>
      </c>
      <c r="V815">
        <v>49</v>
      </c>
      <c r="W815" t="s">
        <v>1688</v>
      </c>
      <c r="X815" t="s">
        <v>80</v>
      </c>
      <c r="Y815">
        <v>0</v>
      </c>
      <c r="Z815">
        <v>136.07772831</v>
      </c>
      <c r="AB815" t="s">
        <v>269</v>
      </c>
      <c r="AD815" t="s">
        <v>57</v>
      </c>
      <c r="AE815">
        <v>1</v>
      </c>
      <c r="AF815">
        <v>6</v>
      </c>
      <c r="AG815">
        <v>1</v>
      </c>
      <c r="AH815">
        <v>1.5</v>
      </c>
      <c r="AI815">
        <v>384</v>
      </c>
      <c r="AJ815">
        <v>384</v>
      </c>
      <c r="AK815">
        <v>144</v>
      </c>
      <c r="AL815" t="s">
        <v>3061</v>
      </c>
      <c r="AM815">
        <v>1.2000000476999999</v>
      </c>
      <c r="AN815" t="s">
        <v>2146</v>
      </c>
      <c r="AO815" t="s">
        <v>59</v>
      </c>
      <c r="AP815" t="s">
        <v>2147</v>
      </c>
      <c r="AQ815">
        <v>11</v>
      </c>
      <c r="AR815">
        <v>37</v>
      </c>
      <c r="AS815">
        <v>98</v>
      </c>
      <c r="AT815">
        <v>1.58</v>
      </c>
      <c r="AU815">
        <v>4.57</v>
      </c>
      <c r="AV815" t="s">
        <v>2427</v>
      </c>
      <c r="AW815" t="s">
        <v>3062</v>
      </c>
      <c r="AX815" t="s">
        <v>3063</v>
      </c>
    </row>
    <row r="816" spans="1:50" x14ac:dyDescent="0.25">
      <c r="A816" t="s">
        <v>3064</v>
      </c>
      <c r="B816" t="s">
        <v>1679</v>
      </c>
      <c r="C816">
        <v>0</v>
      </c>
      <c r="D816">
        <v>0</v>
      </c>
      <c r="E816" t="s">
        <v>1686</v>
      </c>
      <c r="H816">
        <v>0</v>
      </c>
      <c r="N816">
        <v>1</v>
      </c>
      <c r="Q816">
        <v>0</v>
      </c>
      <c r="R816">
        <v>0</v>
      </c>
      <c r="U816" t="s">
        <v>1687</v>
      </c>
      <c r="V816">
        <v>38</v>
      </c>
      <c r="W816" t="s">
        <v>1688</v>
      </c>
      <c r="X816" t="s">
        <v>111</v>
      </c>
      <c r="Y816">
        <v>0</v>
      </c>
      <c r="Z816">
        <v>70.31</v>
      </c>
      <c r="AB816" t="s">
        <v>94</v>
      </c>
      <c r="AD816" t="s">
        <v>57</v>
      </c>
      <c r="AE816">
        <v>0</v>
      </c>
      <c r="AF816">
        <v>6</v>
      </c>
      <c r="AG816">
        <v>1</v>
      </c>
      <c r="AH816">
        <v>1.5</v>
      </c>
      <c r="AI816">
        <v>512</v>
      </c>
      <c r="AJ816">
        <v>512</v>
      </c>
      <c r="AK816">
        <v>80</v>
      </c>
      <c r="AL816" t="s">
        <v>66</v>
      </c>
      <c r="AM816">
        <v>2</v>
      </c>
      <c r="AN816" t="s">
        <v>996</v>
      </c>
      <c r="AO816" t="s">
        <v>67</v>
      </c>
      <c r="AP816" t="s">
        <v>68</v>
      </c>
      <c r="AQ816">
        <v>15</v>
      </c>
      <c r="AR816">
        <v>37</v>
      </c>
      <c r="AS816">
        <v>75</v>
      </c>
      <c r="AT816">
        <v>4.2</v>
      </c>
      <c r="AU816">
        <v>7.0720000000000001</v>
      </c>
      <c r="AV816" t="s">
        <v>3065</v>
      </c>
      <c r="AW816" t="s">
        <v>3066</v>
      </c>
      <c r="AX816" t="s">
        <v>3067</v>
      </c>
    </row>
    <row r="817" spans="1:50" x14ac:dyDescent="0.25">
      <c r="A817" t="s">
        <v>3068</v>
      </c>
      <c r="B817" t="s">
        <v>1679</v>
      </c>
      <c r="C817">
        <v>0</v>
      </c>
      <c r="D817">
        <v>0</v>
      </c>
      <c r="E817" t="s">
        <v>1693</v>
      </c>
      <c r="H817">
        <v>0</v>
      </c>
      <c r="N817">
        <v>1</v>
      </c>
      <c r="Q817">
        <v>0</v>
      </c>
      <c r="R817">
        <v>1</v>
      </c>
      <c r="U817" t="s">
        <v>1687</v>
      </c>
      <c r="V817">
        <v>62</v>
      </c>
      <c r="W817" t="s">
        <v>79</v>
      </c>
      <c r="X817" t="s">
        <v>80</v>
      </c>
      <c r="Y817">
        <v>0</v>
      </c>
      <c r="Z817">
        <v>83.361216362700006</v>
      </c>
      <c r="AB817" t="s">
        <v>118</v>
      </c>
      <c r="AD817" t="s">
        <v>57</v>
      </c>
      <c r="AE817">
        <v>1</v>
      </c>
      <c r="AF817">
        <v>6</v>
      </c>
      <c r="AG817">
        <v>1</v>
      </c>
      <c r="AH817">
        <v>1.5</v>
      </c>
      <c r="AI817">
        <v>256</v>
      </c>
      <c r="AJ817">
        <v>256</v>
      </c>
      <c r="AK817">
        <v>160</v>
      </c>
      <c r="AL817" t="s">
        <v>1950</v>
      </c>
      <c r="AM817">
        <v>1.2999999523000001</v>
      </c>
      <c r="AN817" t="s">
        <v>1720</v>
      </c>
      <c r="AO817" t="s">
        <v>59</v>
      </c>
      <c r="AP817" t="s">
        <v>60</v>
      </c>
      <c r="AQ817">
        <v>11</v>
      </c>
      <c r="AR817">
        <v>284</v>
      </c>
      <c r="AS817">
        <v>662</v>
      </c>
      <c r="AT817">
        <v>1.45</v>
      </c>
      <c r="AU817">
        <v>4.99</v>
      </c>
      <c r="AV817" t="s">
        <v>3069</v>
      </c>
      <c r="AW817" t="s">
        <v>2394</v>
      </c>
      <c r="AX817" t="s">
        <v>3070</v>
      </c>
    </row>
    <row r="818" spans="1:50" x14ac:dyDescent="0.25">
      <c r="A818" t="s">
        <v>3071</v>
      </c>
      <c r="B818" t="s">
        <v>1679</v>
      </c>
      <c r="C818">
        <v>0</v>
      </c>
      <c r="D818">
        <v>0</v>
      </c>
      <c r="E818" t="s">
        <v>1703</v>
      </c>
      <c r="H818">
        <v>0</v>
      </c>
      <c r="N818">
        <v>1</v>
      </c>
      <c r="Q818">
        <v>0</v>
      </c>
      <c r="R818">
        <v>1</v>
      </c>
      <c r="U818" t="s">
        <v>1687</v>
      </c>
      <c r="V818">
        <v>51</v>
      </c>
      <c r="W818" t="s">
        <v>1688</v>
      </c>
      <c r="X818" t="s">
        <v>80</v>
      </c>
      <c r="Y818">
        <v>0</v>
      </c>
      <c r="Z818">
        <v>59.874200456399997</v>
      </c>
      <c r="AA818">
        <v>1.6510033042000001</v>
      </c>
      <c r="AB818" t="s">
        <v>74</v>
      </c>
      <c r="AD818" t="s">
        <v>57</v>
      </c>
      <c r="AE818">
        <v>0</v>
      </c>
      <c r="AF818">
        <v>6</v>
      </c>
      <c r="AG818">
        <v>1</v>
      </c>
      <c r="AH818">
        <v>3</v>
      </c>
      <c r="AI818">
        <v>512</v>
      </c>
      <c r="AJ818">
        <v>512</v>
      </c>
      <c r="AK818">
        <v>124</v>
      </c>
      <c r="AL818" t="s">
        <v>1861</v>
      </c>
      <c r="AM818">
        <v>1.2999999523000001</v>
      </c>
      <c r="AN818" t="s">
        <v>1741</v>
      </c>
      <c r="AO818" t="s">
        <v>59</v>
      </c>
      <c r="AP818" t="s">
        <v>1862</v>
      </c>
      <c r="AQ818">
        <v>11</v>
      </c>
      <c r="AR818">
        <v>40</v>
      </c>
      <c r="AS818">
        <v>104</v>
      </c>
      <c r="AT818">
        <v>1.82</v>
      </c>
      <c r="AU818">
        <v>4.72</v>
      </c>
      <c r="AV818" t="s">
        <v>3072</v>
      </c>
      <c r="AW818" t="s">
        <v>3073</v>
      </c>
      <c r="AX818" t="s">
        <v>3074</v>
      </c>
    </row>
    <row r="819" spans="1:50" x14ac:dyDescent="0.25">
      <c r="A819" t="s">
        <v>3075</v>
      </c>
      <c r="B819" t="s">
        <v>1679</v>
      </c>
      <c r="C819">
        <v>0</v>
      </c>
      <c r="D819">
        <v>1</v>
      </c>
      <c r="E819" t="s">
        <v>1693</v>
      </c>
      <c r="H819">
        <v>1</v>
      </c>
      <c r="N819">
        <v>0</v>
      </c>
      <c r="Q819">
        <v>0</v>
      </c>
      <c r="R819">
        <v>1</v>
      </c>
      <c r="U819" t="s">
        <v>65</v>
      </c>
      <c r="V819">
        <v>73</v>
      </c>
      <c r="W819" t="s">
        <v>79</v>
      </c>
      <c r="X819" t="s">
        <v>55</v>
      </c>
      <c r="Y819">
        <v>0</v>
      </c>
      <c r="Z819">
        <v>89</v>
      </c>
      <c r="AB819" t="s">
        <v>118</v>
      </c>
      <c r="AD819" t="s">
        <v>57</v>
      </c>
      <c r="AE819">
        <v>0</v>
      </c>
      <c r="AF819">
        <v>6</v>
      </c>
      <c r="AG819">
        <v>1</v>
      </c>
      <c r="AH819">
        <v>1.5</v>
      </c>
      <c r="AI819">
        <v>400</v>
      </c>
      <c r="AJ819">
        <v>400</v>
      </c>
      <c r="AK819">
        <v>64</v>
      </c>
      <c r="AL819" t="s">
        <v>1924</v>
      </c>
      <c r="AM819">
        <v>2.5</v>
      </c>
      <c r="AN819" t="s">
        <v>1531</v>
      </c>
      <c r="AO819" t="s">
        <v>1155</v>
      </c>
      <c r="AP819" t="s">
        <v>1767</v>
      </c>
      <c r="AQ819">
        <v>11</v>
      </c>
      <c r="AR819">
        <v>46.8</v>
      </c>
      <c r="AS819">
        <v>81.36</v>
      </c>
      <c r="AT819">
        <v>2.5979999999999999</v>
      </c>
      <c r="AU819">
        <v>5.2080000000000002</v>
      </c>
      <c r="AV819" t="s">
        <v>3076</v>
      </c>
      <c r="AW819" t="s">
        <v>2088</v>
      </c>
      <c r="AX819" t="s">
        <v>3077</v>
      </c>
    </row>
    <row r="820" spans="1:50" x14ac:dyDescent="0.25">
      <c r="A820" t="s">
        <v>3078</v>
      </c>
      <c r="B820" t="s">
        <v>1679</v>
      </c>
      <c r="C820">
        <v>0</v>
      </c>
      <c r="D820">
        <v>0</v>
      </c>
      <c r="E820" t="s">
        <v>1740</v>
      </c>
      <c r="H820">
        <v>0</v>
      </c>
      <c r="N820">
        <v>1</v>
      </c>
      <c r="Q820">
        <v>1</v>
      </c>
      <c r="R820">
        <v>0</v>
      </c>
      <c r="U820" t="s">
        <v>1735</v>
      </c>
      <c r="V820">
        <v>50</v>
      </c>
      <c r="W820" t="s">
        <v>1726</v>
      </c>
      <c r="X820" t="s">
        <v>80</v>
      </c>
      <c r="Y820">
        <v>0</v>
      </c>
      <c r="AD820" t="s">
        <v>57</v>
      </c>
      <c r="AE820">
        <v>1</v>
      </c>
      <c r="AF820">
        <v>6</v>
      </c>
      <c r="AG820">
        <v>1</v>
      </c>
      <c r="AH820">
        <v>1.5</v>
      </c>
      <c r="AI820">
        <v>384</v>
      </c>
      <c r="AJ820">
        <v>384</v>
      </c>
      <c r="AK820">
        <v>160</v>
      </c>
      <c r="AL820" t="s">
        <v>1800</v>
      </c>
      <c r="AM820">
        <v>1</v>
      </c>
      <c r="AN820" t="s">
        <v>1741</v>
      </c>
      <c r="AO820" t="s">
        <v>59</v>
      </c>
      <c r="AP820" t="s">
        <v>60</v>
      </c>
      <c r="AQ820">
        <v>11</v>
      </c>
      <c r="AR820">
        <v>82</v>
      </c>
      <c r="AS820">
        <v>216</v>
      </c>
      <c r="AT820">
        <v>2.3199999999999998</v>
      </c>
      <c r="AU820">
        <v>5.15</v>
      </c>
      <c r="AV820" t="s">
        <v>3079</v>
      </c>
      <c r="AW820" t="s">
        <v>3080</v>
      </c>
      <c r="AX820" t="s">
        <v>3081</v>
      </c>
    </row>
    <row r="821" spans="1:50" x14ac:dyDescent="0.25">
      <c r="A821" t="s">
        <v>3082</v>
      </c>
      <c r="B821" t="s">
        <v>1679</v>
      </c>
      <c r="C821">
        <v>0</v>
      </c>
      <c r="D821">
        <v>1</v>
      </c>
      <c r="E821" t="s">
        <v>1734</v>
      </c>
      <c r="H821">
        <v>1</v>
      </c>
      <c r="N821">
        <v>0</v>
      </c>
      <c r="Q821">
        <v>1</v>
      </c>
      <c r="R821">
        <v>0</v>
      </c>
      <c r="U821" t="s">
        <v>72</v>
      </c>
      <c r="V821">
        <v>65</v>
      </c>
      <c r="W821" t="s">
        <v>79</v>
      </c>
      <c r="X821" t="s">
        <v>80</v>
      </c>
      <c r="Y821">
        <v>0</v>
      </c>
      <c r="Z821">
        <v>72.575000000000003</v>
      </c>
      <c r="AB821" t="s">
        <v>94</v>
      </c>
      <c r="AD821" t="s">
        <v>57</v>
      </c>
      <c r="AE821">
        <v>0</v>
      </c>
      <c r="AF821">
        <v>6</v>
      </c>
      <c r="AG821">
        <v>1</v>
      </c>
      <c r="AH821">
        <v>1.5</v>
      </c>
      <c r="AI821">
        <v>512</v>
      </c>
      <c r="AJ821">
        <v>512</v>
      </c>
      <c r="AK821">
        <v>76</v>
      </c>
      <c r="AL821" t="s">
        <v>2022</v>
      </c>
      <c r="AM821">
        <v>2.4</v>
      </c>
      <c r="AN821" t="s">
        <v>1942</v>
      </c>
      <c r="AO821" t="s">
        <v>67</v>
      </c>
      <c r="AP821" t="s">
        <v>68</v>
      </c>
      <c r="AQ821">
        <v>15</v>
      </c>
      <c r="AR821">
        <v>505</v>
      </c>
      <c r="AS821">
        <v>1011</v>
      </c>
      <c r="AT821">
        <v>3.0880000000000001</v>
      </c>
      <c r="AU821">
        <v>6.36</v>
      </c>
      <c r="AV821" t="s">
        <v>3083</v>
      </c>
      <c r="AW821" t="s">
        <v>3084</v>
      </c>
      <c r="AX821" t="s">
        <v>3085</v>
      </c>
    </row>
    <row r="822" spans="1:50" x14ac:dyDescent="0.25">
      <c r="A822" t="s">
        <v>3086</v>
      </c>
      <c r="B822" t="s">
        <v>1679</v>
      </c>
      <c r="C822">
        <v>0</v>
      </c>
      <c r="D822">
        <v>0</v>
      </c>
      <c r="E822" t="s">
        <v>1680</v>
      </c>
      <c r="H822">
        <v>1</v>
      </c>
      <c r="N822">
        <v>0</v>
      </c>
      <c r="Q822">
        <v>0</v>
      </c>
      <c r="R822">
        <v>1</v>
      </c>
      <c r="U822" t="s">
        <v>65</v>
      </c>
      <c r="V822">
        <v>63</v>
      </c>
      <c r="W822" t="s">
        <v>79</v>
      </c>
      <c r="X822" t="s">
        <v>111</v>
      </c>
      <c r="Y822">
        <v>0</v>
      </c>
      <c r="Z822">
        <v>52.162999999999997</v>
      </c>
      <c r="AB822" t="s">
        <v>74</v>
      </c>
      <c r="AD822" t="s">
        <v>57</v>
      </c>
      <c r="AE822">
        <v>0</v>
      </c>
      <c r="AF822">
        <v>6</v>
      </c>
      <c r="AG822">
        <v>1</v>
      </c>
      <c r="AH822">
        <v>1.5</v>
      </c>
      <c r="AI822">
        <v>512</v>
      </c>
      <c r="AJ822">
        <v>512</v>
      </c>
      <c r="AK822">
        <v>80</v>
      </c>
      <c r="AL822" t="s">
        <v>196</v>
      </c>
      <c r="AM822">
        <v>2</v>
      </c>
      <c r="AN822" t="s">
        <v>996</v>
      </c>
      <c r="AO822" t="s">
        <v>67</v>
      </c>
      <c r="AP822" t="s">
        <v>68</v>
      </c>
      <c r="AQ822">
        <v>15</v>
      </c>
      <c r="AR822">
        <v>115</v>
      </c>
      <c r="AS822">
        <v>230</v>
      </c>
      <c r="AT822">
        <v>4.2</v>
      </c>
      <c r="AU822">
        <v>7</v>
      </c>
      <c r="AV822" t="s">
        <v>3087</v>
      </c>
      <c r="AW822" t="s">
        <v>1960</v>
      </c>
      <c r="AX822" t="s">
        <v>3088</v>
      </c>
    </row>
    <row r="823" spans="1:50" x14ac:dyDescent="0.25">
      <c r="A823" t="s">
        <v>3089</v>
      </c>
      <c r="B823" t="s">
        <v>1679</v>
      </c>
      <c r="C823">
        <v>0</v>
      </c>
      <c r="D823">
        <v>1</v>
      </c>
      <c r="E823" t="s">
        <v>1740</v>
      </c>
      <c r="H823">
        <v>0</v>
      </c>
      <c r="N823">
        <v>1</v>
      </c>
      <c r="Q823">
        <v>0</v>
      </c>
      <c r="R823">
        <v>0</v>
      </c>
      <c r="U823" t="s">
        <v>1687</v>
      </c>
      <c r="V823">
        <v>68</v>
      </c>
      <c r="W823" t="s">
        <v>79</v>
      </c>
      <c r="X823" t="s">
        <v>80</v>
      </c>
      <c r="Y823">
        <v>0</v>
      </c>
      <c r="Z823">
        <v>64.41</v>
      </c>
      <c r="AB823" t="s">
        <v>74</v>
      </c>
      <c r="AD823" t="s">
        <v>57</v>
      </c>
      <c r="AE823">
        <v>0</v>
      </c>
      <c r="AF823">
        <v>6</v>
      </c>
      <c r="AG823">
        <v>1</v>
      </c>
      <c r="AH823">
        <v>1.5</v>
      </c>
      <c r="AI823">
        <v>512</v>
      </c>
      <c r="AJ823">
        <v>512</v>
      </c>
      <c r="AK823">
        <v>80</v>
      </c>
      <c r="AL823" t="s">
        <v>196</v>
      </c>
      <c r="AM823">
        <v>2</v>
      </c>
      <c r="AN823" t="s">
        <v>996</v>
      </c>
      <c r="AO823" t="s">
        <v>67</v>
      </c>
      <c r="AP823" t="s">
        <v>114</v>
      </c>
      <c r="AQ823">
        <v>15</v>
      </c>
      <c r="AR823">
        <v>136</v>
      </c>
      <c r="AS823">
        <v>272</v>
      </c>
      <c r="AT823">
        <v>2.6440000000000001</v>
      </c>
      <c r="AU823">
        <v>5.8970000000000002</v>
      </c>
      <c r="AV823" t="s">
        <v>3090</v>
      </c>
      <c r="AW823" t="s">
        <v>3091</v>
      </c>
      <c r="AX823" t="s">
        <v>3092</v>
      </c>
    </row>
    <row r="824" spans="1:50" x14ac:dyDescent="0.25">
      <c r="A824" t="s">
        <v>3093</v>
      </c>
      <c r="B824" t="s">
        <v>1679</v>
      </c>
      <c r="C824">
        <v>0</v>
      </c>
      <c r="D824">
        <v>0</v>
      </c>
      <c r="E824" t="s">
        <v>1703</v>
      </c>
      <c r="H824">
        <v>0</v>
      </c>
      <c r="N824">
        <v>1</v>
      </c>
      <c r="Q824">
        <v>0</v>
      </c>
      <c r="R824">
        <v>0</v>
      </c>
      <c r="U824" t="s">
        <v>1687</v>
      </c>
      <c r="V824">
        <v>32</v>
      </c>
      <c r="W824" t="s">
        <v>1688</v>
      </c>
      <c r="X824" t="s">
        <v>80</v>
      </c>
      <c r="Y824">
        <v>0</v>
      </c>
      <c r="AD824" t="s">
        <v>57</v>
      </c>
      <c r="AE824">
        <v>1</v>
      </c>
      <c r="AF824">
        <v>6</v>
      </c>
      <c r="AG824">
        <v>1</v>
      </c>
      <c r="AH824">
        <v>1.5</v>
      </c>
      <c r="AI824">
        <v>384</v>
      </c>
      <c r="AJ824">
        <v>384</v>
      </c>
      <c r="AK824">
        <v>176</v>
      </c>
      <c r="AL824" t="s">
        <v>1835</v>
      </c>
      <c r="AM824">
        <v>1</v>
      </c>
      <c r="AN824" t="s">
        <v>1728</v>
      </c>
      <c r="AO824" t="s">
        <v>59</v>
      </c>
      <c r="AP824" t="s">
        <v>1729</v>
      </c>
      <c r="AQ824">
        <v>11</v>
      </c>
      <c r="AR824">
        <v>39</v>
      </c>
      <c r="AS824">
        <v>105</v>
      </c>
      <c r="AT824">
        <v>1.81</v>
      </c>
      <c r="AU824">
        <v>5.05</v>
      </c>
      <c r="AV824" t="s">
        <v>3094</v>
      </c>
      <c r="AW824" t="s">
        <v>3095</v>
      </c>
      <c r="AX824" t="s">
        <v>3096</v>
      </c>
    </row>
    <row r="825" spans="1:50" x14ac:dyDescent="0.25">
      <c r="A825" t="s">
        <v>3097</v>
      </c>
      <c r="B825" t="s">
        <v>1679</v>
      </c>
      <c r="C825">
        <v>0</v>
      </c>
      <c r="D825">
        <v>0</v>
      </c>
      <c r="E825" t="s">
        <v>1686</v>
      </c>
      <c r="H825">
        <v>0</v>
      </c>
      <c r="N825">
        <v>0</v>
      </c>
      <c r="Q825">
        <v>0</v>
      </c>
      <c r="R825">
        <v>1</v>
      </c>
      <c r="U825" t="s">
        <v>65</v>
      </c>
      <c r="V825">
        <v>63</v>
      </c>
      <c r="W825" t="s">
        <v>79</v>
      </c>
      <c r="X825" t="s">
        <v>55</v>
      </c>
      <c r="Y825">
        <v>0</v>
      </c>
      <c r="Z825">
        <v>63.048999999999999</v>
      </c>
      <c r="AB825" t="s">
        <v>74</v>
      </c>
      <c r="AD825" t="s">
        <v>57</v>
      </c>
      <c r="AE825">
        <v>0</v>
      </c>
      <c r="AF825">
        <v>6</v>
      </c>
      <c r="AG825">
        <v>1</v>
      </c>
      <c r="AH825">
        <v>1.5</v>
      </c>
      <c r="AI825">
        <v>512</v>
      </c>
      <c r="AJ825">
        <v>512</v>
      </c>
      <c r="AK825">
        <v>72</v>
      </c>
      <c r="AL825" t="s">
        <v>119</v>
      </c>
      <c r="AM825">
        <v>2.2000000000000002</v>
      </c>
      <c r="AN825" t="s">
        <v>1072</v>
      </c>
      <c r="AO825" t="s">
        <v>67</v>
      </c>
      <c r="AP825" t="s">
        <v>68</v>
      </c>
      <c r="AQ825">
        <v>15</v>
      </c>
      <c r="AR825">
        <v>258</v>
      </c>
      <c r="AS825">
        <v>517</v>
      </c>
      <c r="AT825">
        <v>4.2359999999999998</v>
      </c>
      <c r="AU825">
        <v>8.6679999999999993</v>
      </c>
      <c r="AV825" t="s">
        <v>3098</v>
      </c>
      <c r="AW825" t="s">
        <v>3099</v>
      </c>
      <c r="AX825" t="s">
        <v>3100</v>
      </c>
    </row>
    <row r="826" spans="1:50" x14ac:dyDescent="0.25">
      <c r="A826" t="s">
        <v>3101</v>
      </c>
      <c r="B826" t="s">
        <v>1679</v>
      </c>
      <c r="C826">
        <v>0</v>
      </c>
      <c r="D826">
        <v>1</v>
      </c>
      <c r="E826" t="s">
        <v>1740</v>
      </c>
      <c r="H826">
        <v>0</v>
      </c>
      <c r="N826">
        <v>1</v>
      </c>
      <c r="Q826">
        <v>1</v>
      </c>
      <c r="R826">
        <v>0</v>
      </c>
      <c r="U826" t="s">
        <v>1735</v>
      </c>
      <c r="V826">
        <v>39</v>
      </c>
      <c r="W826" t="s">
        <v>1726</v>
      </c>
      <c r="X826" t="s">
        <v>80</v>
      </c>
      <c r="Y826">
        <v>0</v>
      </c>
      <c r="Z826">
        <v>70</v>
      </c>
      <c r="AB826" t="s">
        <v>94</v>
      </c>
      <c r="AD826" t="s">
        <v>57</v>
      </c>
      <c r="AE826">
        <v>0</v>
      </c>
      <c r="AF826">
        <v>6</v>
      </c>
      <c r="AG826">
        <v>1</v>
      </c>
      <c r="AH826">
        <v>3</v>
      </c>
      <c r="AI826">
        <v>560</v>
      </c>
      <c r="AJ826">
        <v>560</v>
      </c>
      <c r="AK826">
        <v>160</v>
      </c>
      <c r="AL826" t="s">
        <v>3102</v>
      </c>
      <c r="AM826">
        <v>2</v>
      </c>
      <c r="AN826" t="s">
        <v>1877</v>
      </c>
      <c r="AO826" t="s">
        <v>1155</v>
      </c>
      <c r="AP826" t="s">
        <v>1305</v>
      </c>
      <c r="AQ826">
        <v>11</v>
      </c>
      <c r="AR826">
        <v>635</v>
      </c>
      <c r="AS826">
        <v>1103</v>
      </c>
      <c r="AT826">
        <v>4.6040000000000001</v>
      </c>
      <c r="AU826">
        <v>7.4</v>
      </c>
      <c r="AV826" t="s">
        <v>3103</v>
      </c>
      <c r="AW826" t="s">
        <v>3104</v>
      </c>
      <c r="AX826" t="s">
        <v>3105</v>
      </c>
    </row>
    <row r="827" spans="1:50" x14ac:dyDescent="0.25">
      <c r="A827" t="s">
        <v>3106</v>
      </c>
      <c r="B827" t="s">
        <v>1679</v>
      </c>
      <c r="C827">
        <v>0</v>
      </c>
      <c r="D827">
        <v>1</v>
      </c>
      <c r="E827" t="s">
        <v>1703</v>
      </c>
      <c r="H827">
        <v>0</v>
      </c>
      <c r="N827">
        <v>0</v>
      </c>
      <c r="Q827">
        <v>0</v>
      </c>
      <c r="R827">
        <v>1</v>
      </c>
      <c r="U827" t="s">
        <v>65</v>
      </c>
      <c r="V827">
        <v>46</v>
      </c>
      <c r="W827" t="s">
        <v>1688</v>
      </c>
      <c r="X827" t="s">
        <v>80</v>
      </c>
      <c r="Y827">
        <v>0</v>
      </c>
      <c r="Z827">
        <v>99.79</v>
      </c>
      <c r="AB827" t="s">
        <v>56</v>
      </c>
      <c r="AD827" t="s">
        <v>57</v>
      </c>
      <c r="AE827">
        <v>1</v>
      </c>
      <c r="AF827">
        <v>6</v>
      </c>
      <c r="AG827">
        <v>1</v>
      </c>
      <c r="AH827">
        <v>1.5</v>
      </c>
      <c r="AI827">
        <v>256</v>
      </c>
      <c r="AJ827">
        <v>256</v>
      </c>
      <c r="AK827">
        <v>256</v>
      </c>
      <c r="AL827" t="s">
        <v>446</v>
      </c>
      <c r="AM827">
        <v>0.80000099999999996</v>
      </c>
      <c r="AN827" t="s">
        <v>1720</v>
      </c>
      <c r="AO827" t="s">
        <v>67</v>
      </c>
      <c r="AP827" t="s">
        <v>89</v>
      </c>
      <c r="AQ827">
        <v>15</v>
      </c>
      <c r="AR827">
        <v>294</v>
      </c>
      <c r="AS827">
        <v>588</v>
      </c>
      <c r="AT827">
        <v>1.944</v>
      </c>
      <c r="AU827">
        <v>4.18</v>
      </c>
      <c r="AV827" t="s">
        <v>3107</v>
      </c>
      <c r="AW827" t="s">
        <v>3108</v>
      </c>
      <c r="AX827" t="s">
        <v>3109</v>
      </c>
    </row>
    <row r="828" spans="1:50" x14ac:dyDescent="0.25">
      <c r="A828" t="s">
        <v>3110</v>
      </c>
      <c r="B828" t="s">
        <v>1679</v>
      </c>
      <c r="C828">
        <v>0</v>
      </c>
      <c r="D828">
        <v>1</v>
      </c>
      <c r="E828" t="s">
        <v>1703</v>
      </c>
      <c r="H828">
        <v>0</v>
      </c>
      <c r="N828">
        <v>0</v>
      </c>
      <c r="Q828">
        <v>0</v>
      </c>
      <c r="R828">
        <v>1</v>
      </c>
      <c r="U828" t="s">
        <v>65</v>
      </c>
      <c r="V828">
        <v>41</v>
      </c>
      <c r="W828" t="s">
        <v>1688</v>
      </c>
      <c r="X828" t="s">
        <v>80</v>
      </c>
      <c r="Y828">
        <v>0</v>
      </c>
      <c r="AD828" t="s">
        <v>57</v>
      </c>
      <c r="AE828">
        <v>0</v>
      </c>
      <c r="AF828">
        <v>6</v>
      </c>
      <c r="AG828">
        <v>1</v>
      </c>
      <c r="AH828">
        <v>1.5</v>
      </c>
      <c r="AI828">
        <v>512</v>
      </c>
      <c r="AJ828">
        <v>512</v>
      </c>
      <c r="AK828">
        <v>72</v>
      </c>
      <c r="AL828" t="s">
        <v>119</v>
      </c>
      <c r="AM828">
        <v>2.2000000000000002</v>
      </c>
      <c r="AN828" t="s">
        <v>1072</v>
      </c>
      <c r="AO828" t="s">
        <v>67</v>
      </c>
      <c r="AP828" t="s">
        <v>68</v>
      </c>
      <c r="AQ828">
        <v>15</v>
      </c>
      <c r="AR828">
        <v>262</v>
      </c>
      <c r="AS828">
        <v>525</v>
      </c>
      <c r="AT828">
        <v>4.2359999999999998</v>
      </c>
      <c r="AU828">
        <v>8.6679999999999993</v>
      </c>
      <c r="AV828" t="s">
        <v>3111</v>
      </c>
      <c r="AW828" t="s">
        <v>3112</v>
      </c>
      <c r="AX828" t="s">
        <v>3113</v>
      </c>
    </row>
    <row r="829" spans="1:50" x14ac:dyDescent="0.25">
      <c r="A829" t="s">
        <v>3114</v>
      </c>
      <c r="B829" t="s">
        <v>1679</v>
      </c>
      <c r="C829">
        <v>0</v>
      </c>
      <c r="D829">
        <v>1</v>
      </c>
      <c r="E829" t="s">
        <v>1740</v>
      </c>
      <c r="H829">
        <v>0</v>
      </c>
      <c r="N829">
        <v>1</v>
      </c>
      <c r="Q829">
        <v>1</v>
      </c>
      <c r="R829">
        <v>0</v>
      </c>
      <c r="U829" t="s">
        <v>1735</v>
      </c>
      <c r="V829">
        <v>32</v>
      </c>
      <c r="W829" t="s">
        <v>1726</v>
      </c>
      <c r="X829" t="s">
        <v>80</v>
      </c>
      <c r="Y829">
        <v>0</v>
      </c>
      <c r="Z829">
        <v>65</v>
      </c>
      <c r="AB829" t="s">
        <v>74</v>
      </c>
      <c r="AD829" t="s">
        <v>57</v>
      </c>
      <c r="AE829">
        <v>0</v>
      </c>
      <c r="AF829">
        <v>6</v>
      </c>
      <c r="AG829">
        <v>1</v>
      </c>
      <c r="AH829">
        <v>1.5</v>
      </c>
      <c r="AI829">
        <v>640</v>
      </c>
      <c r="AJ829">
        <v>640</v>
      </c>
      <c r="AK829">
        <v>134</v>
      </c>
      <c r="AL829" t="s">
        <v>3115</v>
      </c>
      <c r="AM829">
        <v>2.4</v>
      </c>
      <c r="AN829" t="s">
        <v>1877</v>
      </c>
      <c r="AO829" t="s">
        <v>1155</v>
      </c>
      <c r="AP829" t="s">
        <v>2306</v>
      </c>
      <c r="AQ829">
        <v>11</v>
      </c>
      <c r="AR829">
        <v>296</v>
      </c>
      <c r="AS829">
        <v>514</v>
      </c>
      <c r="AT829">
        <v>3.593</v>
      </c>
      <c r="AU829">
        <v>7.2889999999999997</v>
      </c>
      <c r="AV829" t="s">
        <v>3116</v>
      </c>
      <c r="AW829" t="s">
        <v>3117</v>
      </c>
      <c r="AX829" t="s">
        <v>3118</v>
      </c>
    </row>
    <row r="830" spans="1:50" x14ac:dyDescent="0.25">
      <c r="A830" t="s">
        <v>3119</v>
      </c>
      <c r="B830" t="s">
        <v>1679</v>
      </c>
      <c r="C830">
        <v>0</v>
      </c>
      <c r="D830">
        <v>1</v>
      </c>
      <c r="E830" t="s">
        <v>1740</v>
      </c>
      <c r="H830">
        <v>1</v>
      </c>
      <c r="N830">
        <v>1</v>
      </c>
      <c r="Q830">
        <v>0</v>
      </c>
      <c r="R830">
        <v>1</v>
      </c>
      <c r="U830" t="s">
        <v>1687</v>
      </c>
      <c r="V830">
        <v>51</v>
      </c>
      <c r="W830" t="s">
        <v>1704</v>
      </c>
      <c r="X830" t="s">
        <v>80</v>
      </c>
      <c r="Y830">
        <v>0</v>
      </c>
      <c r="Z830">
        <v>68.038864154999999</v>
      </c>
      <c r="AB830" t="s">
        <v>74</v>
      </c>
      <c r="AD830" t="s">
        <v>57</v>
      </c>
      <c r="AE830">
        <v>1</v>
      </c>
      <c r="AF830">
        <v>5</v>
      </c>
      <c r="AG830">
        <v>1</v>
      </c>
      <c r="AH830">
        <v>1.5</v>
      </c>
      <c r="AI830">
        <v>384</v>
      </c>
      <c r="AJ830">
        <v>384</v>
      </c>
      <c r="AK830">
        <v>160</v>
      </c>
      <c r="AL830" t="s">
        <v>75</v>
      </c>
      <c r="AM830">
        <v>1</v>
      </c>
      <c r="AN830" t="s">
        <v>1741</v>
      </c>
      <c r="AO830" t="s">
        <v>59</v>
      </c>
      <c r="AP830" t="s">
        <v>60</v>
      </c>
      <c r="AQ830">
        <v>11</v>
      </c>
      <c r="AR830">
        <v>119</v>
      </c>
      <c r="AS830">
        <v>300</v>
      </c>
      <c r="AT830">
        <v>2.37</v>
      </c>
      <c r="AU830">
        <v>5.15</v>
      </c>
      <c r="AV830" t="s">
        <v>3120</v>
      </c>
      <c r="AW830" t="s">
        <v>3121</v>
      </c>
      <c r="AX830" t="s">
        <v>3122</v>
      </c>
    </row>
    <row r="831" spans="1:50" x14ac:dyDescent="0.25">
      <c r="A831" t="s">
        <v>3123</v>
      </c>
      <c r="B831" t="s">
        <v>1679</v>
      </c>
      <c r="C831">
        <v>0</v>
      </c>
      <c r="D831">
        <v>1</v>
      </c>
      <c r="E831" t="s">
        <v>1693</v>
      </c>
      <c r="H831">
        <v>0</v>
      </c>
      <c r="N831">
        <v>1</v>
      </c>
      <c r="Q831">
        <v>0</v>
      </c>
      <c r="R831">
        <v>0</v>
      </c>
      <c r="U831" t="s">
        <v>1687</v>
      </c>
      <c r="V831">
        <v>45</v>
      </c>
      <c r="W831" t="s">
        <v>1688</v>
      </c>
      <c r="X831" t="s">
        <v>111</v>
      </c>
      <c r="Y831">
        <v>0</v>
      </c>
      <c r="Z831">
        <v>51.43</v>
      </c>
      <c r="AB831" t="s">
        <v>74</v>
      </c>
      <c r="AD831" t="s">
        <v>57</v>
      </c>
      <c r="AE831">
        <v>1</v>
      </c>
      <c r="AF831">
        <v>6</v>
      </c>
      <c r="AG831">
        <v>1</v>
      </c>
      <c r="AH831">
        <v>1.5</v>
      </c>
      <c r="AI831">
        <v>384</v>
      </c>
      <c r="AJ831">
        <v>384</v>
      </c>
      <c r="AK831">
        <v>160</v>
      </c>
      <c r="AL831" t="s">
        <v>75</v>
      </c>
      <c r="AM831">
        <v>1.1000000238000001</v>
      </c>
      <c r="AN831" t="s">
        <v>1720</v>
      </c>
      <c r="AO831" t="s">
        <v>59</v>
      </c>
      <c r="AP831" t="s">
        <v>60</v>
      </c>
      <c r="AQ831">
        <v>11</v>
      </c>
      <c r="AR831">
        <v>173</v>
      </c>
      <c r="AS831">
        <v>286</v>
      </c>
      <c r="AT831">
        <v>1.56</v>
      </c>
      <c r="AU831">
        <v>4.99</v>
      </c>
      <c r="AV831" t="s">
        <v>3124</v>
      </c>
      <c r="AW831" t="s">
        <v>3125</v>
      </c>
      <c r="AX831" t="s">
        <v>3126</v>
      </c>
    </row>
    <row r="832" spans="1:50" x14ac:dyDescent="0.25">
      <c r="A832" t="s">
        <v>3127</v>
      </c>
      <c r="B832" t="s">
        <v>1679</v>
      </c>
      <c r="C832">
        <v>0</v>
      </c>
      <c r="D832">
        <v>0</v>
      </c>
      <c r="E832" t="s">
        <v>1740</v>
      </c>
      <c r="H832">
        <v>1</v>
      </c>
      <c r="N832">
        <v>0</v>
      </c>
      <c r="Q832">
        <v>0</v>
      </c>
      <c r="R832">
        <v>1</v>
      </c>
      <c r="U832" t="s">
        <v>65</v>
      </c>
      <c r="V832">
        <v>53</v>
      </c>
      <c r="W832" t="s">
        <v>1726</v>
      </c>
      <c r="X832" t="s">
        <v>80</v>
      </c>
      <c r="Y832">
        <v>0</v>
      </c>
      <c r="AD832" t="s">
        <v>57</v>
      </c>
      <c r="AE832">
        <v>0</v>
      </c>
      <c r="AF832">
        <v>6</v>
      </c>
      <c r="AG832">
        <v>1</v>
      </c>
      <c r="AH832">
        <v>1.5</v>
      </c>
      <c r="AI832">
        <v>512</v>
      </c>
      <c r="AJ832">
        <v>512</v>
      </c>
      <c r="AK832">
        <v>80</v>
      </c>
      <c r="AL832" t="s">
        <v>497</v>
      </c>
      <c r="AM832">
        <v>2</v>
      </c>
      <c r="AN832" t="s">
        <v>1681</v>
      </c>
      <c r="AO832" t="s">
        <v>67</v>
      </c>
      <c r="AP832" t="s">
        <v>68</v>
      </c>
      <c r="AQ832">
        <v>15</v>
      </c>
      <c r="AR832">
        <v>784</v>
      </c>
      <c r="AS832">
        <v>2064</v>
      </c>
      <c r="AT832">
        <v>2.7280000000000002</v>
      </c>
      <c r="AU832">
        <v>6.8449999999999998</v>
      </c>
      <c r="AV832" t="s">
        <v>3128</v>
      </c>
      <c r="AW832" t="s">
        <v>3129</v>
      </c>
      <c r="AX832" t="s">
        <v>3130</v>
      </c>
    </row>
    <row r="833" spans="1:50" x14ac:dyDescent="0.25">
      <c r="A833" t="s">
        <v>3131</v>
      </c>
      <c r="B833" t="s">
        <v>1679</v>
      </c>
      <c r="C833">
        <v>0</v>
      </c>
      <c r="D833">
        <v>0</v>
      </c>
      <c r="E833" t="s">
        <v>1703</v>
      </c>
      <c r="H833">
        <v>0</v>
      </c>
      <c r="N833">
        <v>1</v>
      </c>
      <c r="Q833">
        <v>0</v>
      </c>
      <c r="R833">
        <v>0</v>
      </c>
      <c r="U833" t="s">
        <v>1687</v>
      </c>
      <c r="V833">
        <v>54</v>
      </c>
      <c r="W833" t="s">
        <v>1688</v>
      </c>
      <c r="X833" t="s">
        <v>80</v>
      </c>
      <c r="Y833">
        <v>0</v>
      </c>
      <c r="Z833">
        <v>47.63</v>
      </c>
      <c r="AB833" t="s">
        <v>247</v>
      </c>
      <c r="AD833" t="s">
        <v>57</v>
      </c>
      <c r="AE833">
        <v>0</v>
      </c>
      <c r="AF833">
        <v>6</v>
      </c>
      <c r="AG833">
        <v>1</v>
      </c>
      <c r="AH833">
        <v>1.5</v>
      </c>
      <c r="AI833">
        <v>512</v>
      </c>
      <c r="AJ833">
        <v>512</v>
      </c>
      <c r="AK833">
        <v>80</v>
      </c>
      <c r="AL833" t="s">
        <v>497</v>
      </c>
      <c r="AM833">
        <v>2</v>
      </c>
      <c r="AN833" t="s">
        <v>996</v>
      </c>
      <c r="AO833" t="s">
        <v>67</v>
      </c>
      <c r="AP833" t="s">
        <v>68</v>
      </c>
      <c r="AQ833">
        <v>15</v>
      </c>
      <c r="AR833">
        <v>52</v>
      </c>
      <c r="AS833">
        <v>105</v>
      </c>
      <c r="AT833">
        <v>4.2</v>
      </c>
      <c r="AU833">
        <v>7.0960000000000001</v>
      </c>
      <c r="AV833" t="s">
        <v>3132</v>
      </c>
      <c r="AW833" t="s">
        <v>3133</v>
      </c>
      <c r="AX833" t="s">
        <v>3134</v>
      </c>
    </row>
    <row r="834" spans="1:50" x14ac:dyDescent="0.25">
      <c r="A834" t="s">
        <v>3135</v>
      </c>
      <c r="B834" t="s">
        <v>1679</v>
      </c>
      <c r="C834">
        <v>0</v>
      </c>
      <c r="D834">
        <v>1</v>
      </c>
      <c r="E834" t="s">
        <v>1703</v>
      </c>
      <c r="H834">
        <v>0</v>
      </c>
      <c r="N834">
        <v>1</v>
      </c>
      <c r="Q834">
        <v>0</v>
      </c>
      <c r="R834">
        <v>0</v>
      </c>
      <c r="U834" t="s">
        <v>1687</v>
      </c>
      <c r="V834">
        <v>58</v>
      </c>
      <c r="W834" t="s">
        <v>79</v>
      </c>
      <c r="X834" t="s">
        <v>80</v>
      </c>
      <c r="Y834">
        <v>0</v>
      </c>
      <c r="Z834">
        <v>70.307000000000002</v>
      </c>
      <c r="AB834" t="s">
        <v>94</v>
      </c>
      <c r="AD834" t="s">
        <v>57</v>
      </c>
      <c r="AE834">
        <v>0</v>
      </c>
      <c r="AF834">
        <v>6</v>
      </c>
      <c r="AG834">
        <v>1</v>
      </c>
      <c r="AH834">
        <v>1.5</v>
      </c>
      <c r="AI834">
        <v>512</v>
      </c>
      <c r="AJ834">
        <v>512</v>
      </c>
      <c r="AK834">
        <v>80</v>
      </c>
      <c r="AL834" t="s">
        <v>66</v>
      </c>
      <c r="AM834">
        <v>2</v>
      </c>
      <c r="AN834" t="s">
        <v>1681</v>
      </c>
      <c r="AO834" t="s">
        <v>67</v>
      </c>
      <c r="AP834" t="s">
        <v>68</v>
      </c>
      <c r="AQ834">
        <v>15</v>
      </c>
      <c r="AR834">
        <v>282</v>
      </c>
      <c r="AS834">
        <v>565</v>
      </c>
      <c r="AT834">
        <v>2.6960000000000002</v>
      </c>
      <c r="AU834">
        <v>6.5890000000000004</v>
      </c>
      <c r="AV834" t="s">
        <v>3136</v>
      </c>
      <c r="AW834" t="s">
        <v>3137</v>
      </c>
      <c r="AX834" t="s">
        <v>3138</v>
      </c>
    </row>
    <row r="835" spans="1:50" x14ac:dyDescent="0.25">
      <c r="A835" t="s">
        <v>3139</v>
      </c>
      <c r="B835" t="s">
        <v>1679</v>
      </c>
      <c r="C835">
        <v>0</v>
      </c>
      <c r="D835">
        <v>0</v>
      </c>
      <c r="E835" t="s">
        <v>1698</v>
      </c>
      <c r="H835">
        <v>1</v>
      </c>
      <c r="N835">
        <v>1</v>
      </c>
      <c r="Q835">
        <v>0</v>
      </c>
      <c r="R835">
        <v>0</v>
      </c>
      <c r="U835" t="s">
        <v>1687</v>
      </c>
      <c r="V835">
        <v>55</v>
      </c>
      <c r="X835" t="s">
        <v>80</v>
      </c>
      <c r="Y835">
        <v>0</v>
      </c>
      <c r="Z835">
        <v>58.97</v>
      </c>
      <c r="AB835" t="s">
        <v>74</v>
      </c>
      <c r="AD835" t="s">
        <v>57</v>
      </c>
      <c r="AE835">
        <v>0</v>
      </c>
      <c r="AF835">
        <v>6</v>
      </c>
      <c r="AG835">
        <v>1</v>
      </c>
      <c r="AH835">
        <v>1.5</v>
      </c>
      <c r="AI835">
        <v>512</v>
      </c>
      <c r="AJ835">
        <v>512</v>
      </c>
      <c r="AK835">
        <v>80</v>
      </c>
      <c r="AL835" t="s">
        <v>66</v>
      </c>
      <c r="AM835">
        <v>2</v>
      </c>
      <c r="AN835" t="s">
        <v>996</v>
      </c>
      <c r="AO835" t="s">
        <v>67</v>
      </c>
      <c r="AP835" t="s">
        <v>68</v>
      </c>
      <c r="AQ835">
        <v>15</v>
      </c>
      <c r="AR835">
        <v>52</v>
      </c>
      <c r="AS835">
        <v>105</v>
      </c>
      <c r="AT835">
        <v>4.2</v>
      </c>
      <c r="AU835">
        <v>7.0720000000000001</v>
      </c>
      <c r="AV835" t="s">
        <v>3140</v>
      </c>
      <c r="AW835" t="s">
        <v>3141</v>
      </c>
      <c r="AX835" t="s">
        <v>3142</v>
      </c>
    </row>
    <row r="836" spans="1:50" x14ac:dyDescent="0.25">
      <c r="A836" t="s">
        <v>3143</v>
      </c>
      <c r="B836" t="s">
        <v>1679</v>
      </c>
      <c r="C836">
        <v>0</v>
      </c>
      <c r="D836">
        <v>1</v>
      </c>
      <c r="E836" t="s">
        <v>1693</v>
      </c>
      <c r="H836">
        <v>0</v>
      </c>
      <c r="N836">
        <v>1</v>
      </c>
      <c r="Q836">
        <v>0</v>
      </c>
      <c r="R836">
        <v>1</v>
      </c>
      <c r="U836" t="s">
        <v>1687</v>
      </c>
      <c r="V836">
        <v>56</v>
      </c>
      <c r="W836" t="s">
        <v>79</v>
      </c>
      <c r="X836" t="s">
        <v>80</v>
      </c>
      <c r="Y836">
        <v>0</v>
      </c>
      <c r="AD836" t="s">
        <v>57</v>
      </c>
      <c r="AE836">
        <v>0</v>
      </c>
      <c r="AF836">
        <v>6</v>
      </c>
      <c r="AG836">
        <v>1</v>
      </c>
      <c r="AH836">
        <v>3</v>
      </c>
      <c r="AI836">
        <v>512</v>
      </c>
      <c r="AJ836">
        <v>512</v>
      </c>
      <c r="AK836">
        <v>132</v>
      </c>
      <c r="AL836" t="s">
        <v>3144</v>
      </c>
      <c r="AM836">
        <v>2.4</v>
      </c>
      <c r="AN836" t="s">
        <v>1786</v>
      </c>
      <c r="AO836" t="s">
        <v>67</v>
      </c>
      <c r="AP836" t="s">
        <v>68</v>
      </c>
      <c r="AQ836">
        <v>15</v>
      </c>
      <c r="AR836">
        <v>377</v>
      </c>
      <c r="AS836">
        <v>755</v>
      </c>
      <c r="AT836">
        <v>2.6640000000000001</v>
      </c>
      <c r="AU836">
        <v>5.9589999999999996</v>
      </c>
      <c r="AV836" t="s">
        <v>2491</v>
      </c>
      <c r="AW836" t="s">
        <v>1793</v>
      </c>
      <c r="AX836" t="s">
        <v>3145</v>
      </c>
    </row>
    <row r="837" spans="1:50" x14ac:dyDescent="0.25">
      <c r="A837" t="s">
        <v>3146</v>
      </c>
      <c r="B837" t="s">
        <v>1679</v>
      </c>
      <c r="C837">
        <v>0</v>
      </c>
      <c r="D837">
        <v>0</v>
      </c>
      <c r="E837" t="s">
        <v>1780</v>
      </c>
      <c r="H837">
        <v>1</v>
      </c>
      <c r="N837">
        <v>1</v>
      </c>
      <c r="Q837">
        <v>0</v>
      </c>
      <c r="R837">
        <v>0</v>
      </c>
      <c r="U837" t="s">
        <v>1687</v>
      </c>
      <c r="V837">
        <v>51</v>
      </c>
      <c r="X837" t="s">
        <v>55</v>
      </c>
      <c r="Y837">
        <v>0</v>
      </c>
      <c r="Z837">
        <v>119.295</v>
      </c>
      <c r="AB837" t="s">
        <v>269</v>
      </c>
      <c r="AD837" t="s">
        <v>57</v>
      </c>
      <c r="AE837">
        <v>0</v>
      </c>
      <c r="AF837">
        <v>6</v>
      </c>
      <c r="AG837">
        <v>1</v>
      </c>
      <c r="AH837">
        <v>1.5</v>
      </c>
      <c r="AI837">
        <v>512</v>
      </c>
      <c r="AJ837">
        <v>512</v>
      </c>
      <c r="AK837">
        <v>100</v>
      </c>
      <c r="AL837" t="s">
        <v>419</v>
      </c>
      <c r="AM837">
        <v>3</v>
      </c>
      <c r="AN837" t="s">
        <v>3147</v>
      </c>
      <c r="AO837" t="s">
        <v>67</v>
      </c>
      <c r="AP837" t="s">
        <v>68</v>
      </c>
      <c r="AQ837">
        <v>15</v>
      </c>
      <c r="AR837">
        <v>54</v>
      </c>
      <c r="AS837">
        <v>108</v>
      </c>
      <c r="AT837">
        <v>1.8440000000000001</v>
      </c>
      <c r="AU837">
        <v>3.8519999999999999</v>
      </c>
      <c r="AV837" t="s">
        <v>3148</v>
      </c>
      <c r="AW837" t="s">
        <v>2329</v>
      </c>
      <c r="AX837" t="s">
        <v>3149</v>
      </c>
    </row>
    <row r="838" spans="1:50" x14ac:dyDescent="0.25">
      <c r="A838" t="s">
        <v>3150</v>
      </c>
      <c r="B838" t="s">
        <v>1679</v>
      </c>
      <c r="C838">
        <v>0</v>
      </c>
      <c r="D838">
        <v>0</v>
      </c>
      <c r="E838" t="s">
        <v>1680</v>
      </c>
      <c r="H838">
        <v>0</v>
      </c>
      <c r="N838">
        <v>0</v>
      </c>
      <c r="Q838">
        <v>0</v>
      </c>
      <c r="R838">
        <v>1</v>
      </c>
      <c r="U838" t="s">
        <v>65</v>
      </c>
      <c r="V838">
        <v>52</v>
      </c>
      <c r="X838" t="s">
        <v>80</v>
      </c>
      <c r="Y838">
        <v>0</v>
      </c>
      <c r="Z838">
        <v>86.183000000000007</v>
      </c>
      <c r="AB838" t="s">
        <v>118</v>
      </c>
      <c r="AD838" t="s">
        <v>57</v>
      </c>
      <c r="AE838">
        <v>0</v>
      </c>
      <c r="AF838">
        <v>6</v>
      </c>
      <c r="AG838">
        <v>1</v>
      </c>
      <c r="AH838">
        <v>1.5</v>
      </c>
      <c r="AI838">
        <v>512</v>
      </c>
      <c r="AJ838">
        <v>512</v>
      </c>
      <c r="AK838">
        <v>100</v>
      </c>
      <c r="AL838" t="s">
        <v>119</v>
      </c>
      <c r="AM838">
        <v>2</v>
      </c>
      <c r="AN838" t="s">
        <v>996</v>
      </c>
      <c r="AO838" t="s">
        <v>67</v>
      </c>
      <c r="AP838" t="s">
        <v>68</v>
      </c>
      <c r="AQ838">
        <v>15</v>
      </c>
      <c r="AR838">
        <v>123</v>
      </c>
      <c r="AS838">
        <v>247</v>
      </c>
      <c r="AT838">
        <v>4.2</v>
      </c>
      <c r="AU838">
        <v>7</v>
      </c>
      <c r="AV838" t="s">
        <v>2612</v>
      </c>
      <c r="AW838" t="s">
        <v>3151</v>
      </c>
      <c r="AX838" t="s">
        <v>3152</v>
      </c>
    </row>
    <row r="839" spans="1:50" x14ac:dyDescent="0.25">
      <c r="A839" t="s">
        <v>3153</v>
      </c>
      <c r="B839" t="s">
        <v>1679</v>
      </c>
      <c r="C839">
        <v>0</v>
      </c>
      <c r="D839">
        <v>1</v>
      </c>
      <c r="E839" t="s">
        <v>1680</v>
      </c>
      <c r="H839">
        <v>0</v>
      </c>
      <c r="N839">
        <v>1</v>
      </c>
      <c r="Q839">
        <v>0</v>
      </c>
      <c r="R839">
        <v>0</v>
      </c>
      <c r="U839" t="s">
        <v>1687</v>
      </c>
      <c r="V839">
        <v>30</v>
      </c>
      <c r="W839" t="s">
        <v>1688</v>
      </c>
      <c r="X839" t="s">
        <v>80</v>
      </c>
      <c r="Y839">
        <v>0</v>
      </c>
      <c r="Z839">
        <v>59.420608028700002</v>
      </c>
      <c r="AA839">
        <v>1.6002032024999999</v>
      </c>
      <c r="AB839" t="s">
        <v>74</v>
      </c>
      <c r="AD839" t="s">
        <v>57</v>
      </c>
      <c r="AE839">
        <v>0</v>
      </c>
      <c r="AF839">
        <v>6</v>
      </c>
      <c r="AG839">
        <v>1</v>
      </c>
      <c r="AH839">
        <v>3</v>
      </c>
      <c r="AI839">
        <v>512</v>
      </c>
      <c r="AJ839">
        <v>512</v>
      </c>
      <c r="AK839">
        <v>160</v>
      </c>
      <c r="AL839" t="s">
        <v>1861</v>
      </c>
      <c r="AM839">
        <v>1</v>
      </c>
      <c r="AN839" t="s">
        <v>1741</v>
      </c>
      <c r="AO839" t="s">
        <v>59</v>
      </c>
      <c r="AP839" t="s">
        <v>124</v>
      </c>
      <c r="AQ839">
        <v>11</v>
      </c>
      <c r="AR839">
        <v>33</v>
      </c>
      <c r="AS839">
        <v>89</v>
      </c>
      <c r="AT839">
        <v>1.73</v>
      </c>
      <c r="AU839">
        <v>4.5999999999999996</v>
      </c>
      <c r="AV839" t="s">
        <v>3154</v>
      </c>
      <c r="AW839" t="s">
        <v>3155</v>
      </c>
      <c r="AX839" t="s">
        <v>3156</v>
      </c>
    </row>
    <row r="840" spans="1:50" x14ac:dyDescent="0.25">
      <c r="A840" t="s">
        <v>3157</v>
      </c>
      <c r="B840" t="s">
        <v>1679</v>
      </c>
      <c r="C840">
        <v>0</v>
      </c>
      <c r="D840">
        <v>0</v>
      </c>
      <c r="E840" t="s">
        <v>1698</v>
      </c>
      <c r="H840">
        <v>0</v>
      </c>
      <c r="N840">
        <v>1</v>
      </c>
      <c r="Q840">
        <v>0</v>
      </c>
      <c r="R840">
        <v>1</v>
      </c>
      <c r="U840" t="s">
        <v>1687</v>
      </c>
      <c r="V840">
        <v>57</v>
      </c>
      <c r="W840" t="s">
        <v>79</v>
      </c>
      <c r="X840" t="s">
        <v>80</v>
      </c>
      <c r="Y840">
        <v>0</v>
      </c>
      <c r="Z840">
        <v>92.986000000000004</v>
      </c>
      <c r="AB840" t="s">
        <v>118</v>
      </c>
      <c r="AD840" t="s">
        <v>57</v>
      </c>
      <c r="AE840">
        <v>0</v>
      </c>
      <c r="AF840">
        <v>6</v>
      </c>
      <c r="AG840">
        <v>1</v>
      </c>
      <c r="AH840">
        <v>1.5</v>
      </c>
      <c r="AI840">
        <v>512</v>
      </c>
      <c r="AJ840">
        <v>512</v>
      </c>
      <c r="AK840">
        <v>62</v>
      </c>
      <c r="AL840" t="s">
        <v>240</v>
      </c>
      <c r="AM840">
        <v>2.6</v>
      </c>
      <c r="AN840" t="s">
        <v>1942</v>
      </c>
      <c r="AO840" t="s">
        <v>67</v>
      </c>
      <c r="AP840" t="s">
        <v>68</v>
      </c>
      <c r="AQ840">
        <v>15</v>
      </c>
      <c r="AR840">
        <v>803</v>
      </c>
      <c r="AS840">
        <v>1607</v>
      </c>
      <c r="AT840">
        <v>2.9239999999999999</v>
      </c>
      <c r="AU840">
        <v>6.1</v>
      </c>
      <c r="AV840" t="s">
        <v>3158</v>
      </c>
      <c r="AW840" t="s">
        <v>3159</v>
      </c>
      <c r="AX840" t="s">
        <v>3160</v>
      </c>
    </row>
    <row r="841" spans="1:50" x14ac:dyDescent="0.25">
      <c r="A841" t="s">
        <v>3161</v>
      </c>
      <c r="B841" t="s">
        <v>1679</v>
      </c>
      <c r="C841">
        <v>0</v>
      </c>
      <c r="D841">
        <v>1</v>
      </c>
      <c r="E841" t="s">
        <v>1871</v>
      </c>
      <c r="H841">
        <v>1</v>
      </c>
      <c r="N841">
        <v>1</v>
      </c>
      <c r="Q841">
        <v>1</v>
      </c>
      <c r="R841">
        <v>1</v>
      </c>
      <c r="U841" t="s">
        <v>1735</v>
      </c>
      <c r="V841">
        <v>50</v>
      </c>
      <c r="X841" t="s">
        <v>80</v>
      </c>
      <c r="Y841">
        <v>0</v>
      </c>
      <c r="Z841">
        <v>90.72</v>
      </c>
      <c r="AB841" t="s">
        <v>118</v>
      </c>
      <c r="AD841" t="s">
        <v>57</v>
      </c>
      <c r="AE841">
        <v>0</v>
      </c>
      <c r="AF841">
        <v>6</v>
      </c>
      <c r="AG841">
        <v>1</v>
      </c>
      <c r="AH841">
        <v>3</v>
      </c>
      <c r="AI841">
        <v>512</v>
      </c>
      <c r="AJ841">
        <v>512</v>
      </c>
      <c r="AK841">
        <v>134</v>
      </c>
      <c r="AL841" t="s">
        <v>350</v>
      </c>
      <c r="AM841">
        <v>2.4</v>
      </c>
      <c r="AN841" t="s">
        <v>1786</v>
      </c>
      <c r="AO841" t="s">
        <v>67</v>
      </c>
      <c r="AP841" t="s">
        <v>1845</v>
      </c>
      <c r="AQ841">
        <v>15</v>
      </c>
      <c r="AR841">
        <v>523</v>
      </c>
      <c r="AS841">
        <v>1047</v>
      </c>
      <c r="AT841">
        <v>4.5960000000000001</v>
      </c>
      <c r="AU841">
        <v>8.7799999999999994</v>
      </c>
      <c r="AV841" t="s">
        <v>3162</v>
      </c>
      <c r="AW841" t="s">
        <v>3163</v>
      </c>
      <c r="AX841" t="s">
        <v>3164</v>
      </c>
    </row>
    <row r="842" spans="1:50" x14ac:dyDescent="0.25">
      <c r="A842" t="s">
        <v>3165</v>
      </c>
      <c r="B842" t="s">
        <v>1679</v>
      </c>
      <c r="C842">
        <v>0</v>
      </c>
      <c r="D842">
        <v>1</v>
      </c>
      <c r="E842" t="s">
        <v>1703</v>
      </c>
      <c r="H842">
        <v>1</v>
      </c>
      <c r="N842">
        <v>0</v>
      </c>
      <c r="Q842">
        <v>0</v>
      </c>
      <c r="R842">
        <v>0</v>
      </c>
      <c r="U842" t="s">
        <v>65</v>
      </c>
      <c r="V842">
        <v>59</v>
      </c>
      <c r="W842" t="s">
        <v>79</v>
      </c>
      <c r="X842" t="s">
        <v>80</v>
      </c>
      <c r="Y842">
        <v>0</v>
      </c>
      <c r="AD842" t="s">
        <v>57</v>
      </c>
      <c r="AE842">
        <v>0</v>
      </c>
      <c r="AF842">
        <v>6</v>
      </c>
      <c r="AG842">
        <v>1</v>
      </c>
      <c r="AH842">
        <v>3</v>
      </c>
      <c r="AI842">
        <v>512</v>
      </c>
      <c r="AJ842">
        <v>512</v>
      </c>
      <c r="AK842">
        <v>134</v>
      </c>
      <c r="AL842" t="s">
        <v>350</v>
      </c>
      <c r="AM842">
        <v>2.4</v>
      </c>
      <c r="AN842" t="s">
        <v>1786</v>
      </c>
      <c r="AO842" t="s">
        <v>67</v>
      </c>
      <c r="AP842" t="s">
        <v>68</v>
      </c>
      <c r="AQ842">
        <v>15</v>
      </c>
      <c r="AR842">
        <v>365</v>
      </c>
      <c r="AS842">
        <v>731</v>
      </c>
      <c r="AT842">
        <v>2.7160000000000002</v>
      </c>
      <c r="AU842">
        <v>6.4749999999999996</v>
      </c>
      <c r="AV842" t="s">
        <v>1787</v>
      </c>
      <c r="AW842" t="s">
        <v>2041</v>
      </c>
      <c r="AX842" t="s">
        <v>3166</v>
      </c>
    </row>
    <row r="843" spans="1:50" x14ac:dyDescent="0.25">
      <c r="A843" t="s">
        <v>3167</v>
      </c>
      <c r="B843" t="s">
        <v>1679</v>
      </c>
      <c r="C843">
        <v>0</v>
      </c>
      <c r="D843">
        <v>1</v>
      </c>
      <c r="E843" t="s">
        <v>1680</v>
      </c>
      <c r="H843">
        <v>0</v>
      </c>
      <c r="N843">
        <v>1</v>
      </c>
      <c r="Q843">
        <v>0</v>
      </c>
      <c r="R843">
        <v>0</v>
      </c>
      <c r="U843" t="s">
        <v>1687</v>
      </c>
      <c r="V843">
        <v>47</v>
      </c>
      <c r="W843" t="s">
        <v>1688</v>
      </c>
      <c r="X843" t="s">
        <v>80</v>
      </c>
      <c r="Y843">
        <v>0</v>
      </c>
      <c r="Z843">
        <v>65.771000000000001</v>
      </c>
      <c r="AB843" t="s">
        <v>74</v>
      </c>
      <c r="AD843" t="s">
        <v>57</v>
      </c>
      <c r="AE843">
        <v>0</v>
      </c>
      <c r="AF843">
        <v>6</v>
      </c>
      <c r="AG843">
        <v>1</v>
      </c>
      <c r="AH843">
        <v>3</v>
      </c>
      <c r="AI843">
        <v>512</v>
      </c>
      <c r="AJ843">
        <v>512</v>
      </c>
      <c r="AK843">
        <v>72</v>
      </c>
      <c r="AL843" t="s">
        <v>331</v>
      </c>
      <c r="AM843">
        <v>2.2000000000000002</v>
      </c>
      <c r="AN843" t="s">
        <v>1915</v>
      </c>
      <c r="AO843" t="s">
        <v>67</v>
      </c>
      <c r="AP843" t="s">
        <v>68</v>
      </c>
      <c r="AQ843">
        <v>15</v>
      </c>
      <c r="AR843">
        <v>542</v>
      </c>
      <c r="AS843">
        <v>1084</v>
      </c>
      <c r="AT843">
        <v>2.1920000000000002</v>
      </c>
      <c r="AU843">
        <v>6.1689999999999996</v>
      </c>
      <c r="AV843" t="s">
        <v>3168</v>
      </c>
      <c r="AW843" t="s">
        <v>2875</v>
      </c>
      <c r="AX843" t="s">
        <v>3169</v>
      </c>
    </row>
    <row r="844" spans="1:50" x14ac:dyDescent="0.25">
      <c r="A844" t="s">
        <v>3170</v>
      </c>
      <c r="B844" t="s">
        <v>1679</v>
      </c>
      <c r="C844">
        <v>0</v>
      </c>
      <c r="D844">
        <v>0</v>
      </c>
      <c r="E844" t="s">
        <v>1780</v>
      </c>
      <c r="H844">
        <v>0</v>
      </c>
      <c r="N844">
        <v>0</v>
      </c>
      <c r="Q844">
        <v>0</v>
      </c>
      <c r="R844">
        <v>1</v>
      </c>
      <c r="U844" t="s">
        <v>65</v>
      </c>
      <c r="V844">
        <v>52</v>
      </c>
      <c r="W844" t="s">
        <v>1704</v>
      </c>
      <c r="X844" t="s">
        <v>55</v>
      </c>
      <c r="Y844">
        <v>0</v>
      </c>
      <c r="Z844">
        <v>100</v>
      </c>
      <c r="AA844">
        <v>1.67</v>
      </c>
      <c r="AB844" t="s">
        <v>56</v>
      </c>
      <c r="AD844" t="s">
        <v>57</v>
      </c>
      <c r="AE844">
        <v>1</v>
      </c>
      <c r="AF844">
        <v>6</v>
      </c>
      <c r="AG844">
        <v>1</v>
      </c>
      <c r="AH844">
        <v>3</v>
      </c>
      <c r="AI844">
        <v>384</v>
      </c>
      <c r="AJ844">
        <v>384</v>
      </c>
      <c r="AK844">
        <v>72</v>
      </c>
      <c r="AL844" t="s">
        <v>1394</v>
      </c>
      <c r="AM844">
        <v>2.5</v>
      </c>
      <c r="AN844" t="s">
        <v>1114</v>
      </c>
      <c r="AO844" t="s">
        <v>59</v>
      </c>
      <c r="AP844" t="s">
        <v>1781</v>
      </c>
      <c r="AQ844">
        <v>11</v>
      </c>
      <c r="AR844">
        <v>45</v>
      </c>
      <c r="AS844">
        <v>127</v>
      </c>
      <c r="AT844">
        <v>1.37</v>
      </c>
      <c r="AU844">
        <v>4.32</v>
      </c>
      <c r="AV844" t="s">
        <v>3171</v>
      </c>
      <c r="AW844" t="s">
        <v>3172</v>
      </c>
      <c r="AX844" t="s">
        <v>3173</v>
      </c>
    </row>
    <row r="845" spans="1:50" x14ac:dyDescent="0.25">
      <c r="A845" t="s">
        <v>3174</v>
      </c>
      <c r="B845" t="s">
        <v>1679</v>
      </c>
      <c r="C845">
        <v>0</v>
      </c>
      <c r="D845">
        <v>0</v>
      </c>
      <c r="E845" t="s">
        <v>1703</v>
      </c>
      <c r="H845">
        <v>0</v>
      </c>
      <c r="N845">
        <v>1</v>
      </c>
      <c r="Q845">
        <v>0</v>
      </c>
      <c r="R845">
        <v>1</v>
      </c>
      <c r="U845" t="s">
        <v>1687</v>
      </c>
      <c r="V845">
        <v>60</v>
      </c>
      <c r="W845" t="s">
        <v>79</v>
      </c>
      <c r="X845" t="s">
        <v>80</v>
      </c>
      <c r="Y845">
        <v>0</v>
      </c>
      <c r="Z845">
        <v>86.183000000000007</v>
      </c>
      <c r="AB845" t="s">
        <v>118</v>
      </c>
      <c r="AD845" t="s">
        <v>57</v>
      </c>
      <c r="AE845">
        <v>0</v>
      </c>
      <c r="AF845">
        <v>6</v>
      </c>
      <c r="AG845">
        <v>1</v>
      </c>
      <c r="AH845">
        <v>1.5</v>
      </c>
      <c r="AI845">
        <v>512</v>
      </c>
      <c r="AJ845">
        <v>512</v>
      </c>
      <c r="AK845">
        <v>66</v>
      </c>
      <c r="AL845" t="s">
        <v>66</v>
      </c>
      <c r="AM845">
        <v>2.4</v>
      </c>
      <c r="AN845" t="s">
        <v>1942</v>
      </c>
      <c r="AO845" t="s">
        <v>67</v>
      </c>
      <c r="AP845" t="s">
        <v>68</v>
      </c>
      <c r="AQ845">
        <v>15</v>
      </c>
      <c r="AR845">
        <v>413</v>
      </c>
      <c r="AS845">
        <v>826</v>
      </c>
      <c r="AT845">
        <v>3.02</v>
      </c>
      <c r="AU845">
        <v>6.2519999999999998</v>
      </c>
      <c r="AV845" t="s">
        <v>3175</v>
      </c>
      <c r="AW845" t="s">
        <v>3176</v>
      </c>
      <c r="AX845" t="s">
        <v>3177</v>
      </c>
    </row>
    <row r="846" spans="1:50" x14ac:dyDescent="0.25">
      <c r="A846" t="s">
        <v>3178</v>
      </c>
      <c r="B846" t="s">
        <v>1679</v>
      </c>
      <c r="C846">
        <v>0</v>
      </c>
      <c r="D846">
        <v>1</v>
      </c>
      <c r="E846" t="s">
        <v>1839</v>
      </c>
      <c r="H846">
        <v>0</v>
      </c>
      <c r="N846">
        <v>1</v>
      </c>
      <c r="Q846">
        <v>1</v>
      </c>
      <c r="R846">
        <v>0</v>
      </c>
      <c r="U846" t="s">
        <v>1735</v>
      </c>
      <c r="V846">
        <v>45</v>
      </c>
      <c r="W846" t="s">
        <v>1688</v>
      </c>
      <c r="X846" t="s">
        <v>80</v>
      </c>
      <c r="Y846">
        <v>0</v>
      </c>
      <c r="Z846">
        <v>68.039000000000001</v>
      </c>
      <c r="AB846" t="s">
        <v>74</v>
      </c>
      <c r="AD846" t="s">
        <v>57</v>
      </c>
      <c r="AE846">
        <v>0</v>
      </c>
      <c r="AF846">
        <v>6</v>
      </c>
      <c r="AG846">
        <v>1</v>
      </c>
      <c r="AH846">
        <v>3</v>
      </c>
      <c r="AI846">
        <v>512</v>
      </c>
      <c r="AJ846">
        <v>512</v>
      </c>
      <c r="AK846">
        <v>134</v>
      </c>
      <c r="AL846" t="s">
        <v>119</v>
      </c>
      <c r="AM846">
        <v>2.4</v>
      </c>
      <c r="AN846" t="s">
        <v>1786</v>
      </c>
      <c r="AO846" t="s">
        <v>67</v>
      </c>
      <c r="AP846" t="s">
        <v>68</v>
      </c>
      <c r="AQ846">
        <v>15</v>
      </c>
      <c r="AR846">
        <v>221</v>
      </c>
      <c r="AS846">
        <v>442</v>
      </c>
      <c r="AT846">
        <v>2.7959999999999998</v>
      </c>
      <c r="AU846">
        <v>7.2969999999999997</v>
      </c>
      <c r="AV846" t="s">
        <v>2106</v>
      </c>
      <c r="AW846" t="s">
        <v>3179</v>
      </c>
      <c r="AX846" t="s">
        <v>3180</v>
      </c>
    </row>
    <row r="847" spans="1:50" x14ac:dyDescent="0.25">
      <c r="A847" t="s">
        <v>3181</v>
      </c>
      <c r="B847" t="s">
        <v>1679</v>
      </c>
      <c r="C847">
        <v>0</v>
      </c>
      <c r="D847">
        <v>0</v>
      </c>
      <c r="E847" t="s">
        <v>1740</v>
      </c>
      <c r="H847">
        <v>0</v>
      </c>
      <c r="N847">
        <v>1</v>
      </c>
      <c r="Q847">
        <v>1</v>
      </c>
      <c r="R847">
        <v>0</v>
      </c>
      <c r="U847" t="s">
        <v>1735</v>
      </c>
      <c r="V847">
        <v>60</v>
      </c>
      <c r="X847" t="s">
        <v>80</v>
      </c>
      <c r="Y847">
        <v>0</v>
      </c>
      <c r="Z847">
        <v>57.152999999999999</v>
      </c>
      <c r="AB847" t="s">
        <v>74</v>
      </c>
      <c r="AD847" t="s">
        <v>57</v>
      </c>
      <c r="AE847">
        <v>0</v>
      </c>
      <c r="AF847">
        <v>6</v>
      </c>
      <c r="AG847">
        <v>1</v>
      </c>
      <c r="AH847">
        <v>1.5</v>
      </c>
      <c r="AI847">
        <v>512</v>
      </c>
      <c r="AJ847">
        <v>512</v>
      </c>
      <c r="AK847">
        <v>80</v>
      </c>
      <c r="AL847" t="s">
        <v>66</v>
      </c>
      <c r="AM847">
        <v>2</v>
      </c>
      <c r="AN847" t="s">
        <v>996</v>
      </c>
      <c r="AO847" t="s">
        <v>67</v>
      </c>
      <c r="AP847" t="s">
        <v>68</v>
      </c>
      <c r="AQ847">
        <v>15</v>
      </c>
      <c r="AR847">
        <v>118</v>
      </c>
      <c r="AS847">
        <v>236</v>
      </c>
      <c r="AT847">
        <v>4.2</v>
      </c>
      <c r="AU847">
        <v>7.0119999999999996</v>
      </c>
      <c r="AV847" t="s">
        <v>3182</v>
      </c>
      <c r="AW847" t="s">
        <v>3183</v>
      </c>
      <c r="AX847" t="s">
        <v>3184</v>
      </c>
    </row>
    <row r="848" spans="1:50" x14ac:dyDescent="0.25">
      <c r="A848" t="s">
        <v>3185</v>
      </c>
      <c r="B848" t="s">
        <v>1679</v>
      </c>
      <c r="C848">
        <v>0</v>
      </c>
      <c r="D848">
        <v>1</v>
      </c>
      <c r="E848" t="s">
        <v>1686</v>
      </c>
      <c r="H848">
        <v>0</v>
      </c>
      <c r="N848">
        <v>1</v>
      </c>
      <c r="Q848">
        <v>0</v>
      </c>
      <c r="R848">
        <v>0</v>
      </c>
      <c r="U848" t="s">
        <v>1687</v>
      </c>
      <c r="V848">
        <v>41</v>
      </c>
      <c r="W848" t="s">
        <v>1688</v>
      </c>
      <c r="X848" t="s">
        <v>80</v>
      </c>
      <c r="Y848">
        <v>0</v>
      </c>
      <c r="Z848">
        <v>95.254000000000005</v>
      </c>
      <c r="AB848" t="s">
        <v>118</v>
      </c>
      <c r="AD848" t="s">
        <v>57</v>
      </c>
      <c r="AE848">
        <v>0</v>
      </c>
      <c r="AF848">
        <v>6</v>
      </c>
      <c r="AG848">
        <v>1</v>
      </c>
      <c r="AH848">
        <v>1.5</v>
      </c>
      <c r="AI848">
        <v>512</v>
      </c>
      <c r="AJ848">
        <v>512</v>
      </c>
      <c r="AK848">
        <v>66</v>
      </c>
      <c r="AL848" t="s">
        <v>497</v>
      </c>
      <c r="AM848">
        <v>2.4</v>
      </c>
      <c r="AN848" t="s">
        <v>1942</v>
      </c>
      <c r="AO848" t="s">
        <v>67</v>
      </c>
      <c r="AP848" t="s">
        <v>68</v>
      </c>
      <c r="AQ848">
        <v>15</v>
      </c>
      <c r="AR848">
        <v>435</v>
      </c>
      <c r="AS848">
        <v>871</v>
      </c>
      <c r="AT848">
        <v>3.044</v>
      </c>
      <c r="AU848">
        <v>6.3</v>
      </c>
      <c r="AV848" t="s">
        <v>3186</v>
      </c>
      <c r="AW848" t="s">
        <v>1992</v>
      </c>
      <c r="AX848" t="s">
        <v>3187</v>
      </c>
    </row>
    <row r="849" spans="1:50" x14ac:dyDescent="0.25">
      <c r="A849" t="s">
        <v>3188</v>
      </c>
      <c r="B849" t="s">
        <v>1679</v>
      </c>
      <c r="C849">
        <v>0</v>
      </c>
      <c r="D849">
        <v>1</v>
      </c>
      <c r="E849" t="s">
        <v>1791</v>
      </c>
      <c r="H849">
        <v>0</v>
      </c>
      <c r="N849">
        <v>0</v>
      </c>
      <c r="Q849">
        <v>1</v>
      </c>
      <c r="R849">
        <v>0</v>
      </c>
      <c r="U849" t="s">
        <v>72</v>
      </c>
      <c r="V849">
        <v>56</v>
      </c>
      <c r="W849" t="s">
        <v>1704</v>
      </c>
      <c r="X849" t="s">
        <v>111</v>
      </c>
      <c r="Y849">
        <v>0</v>
      </c>
      <c r="Z849">
        <v>68</v>
      </c>
      <c r="AB849" t="s">
        <v>74</v>
      </c>
      <c r="AD849" t="s">
        <v>57</v>
      </c>
      <c r="AE849">
        <v>0</v>
      </c>
      <c r="AF849">
        <v>6</v>
      </c>
      <c r="AG849">
        <v>1</v>
      </c>
      <c r="AH849">
        <v>1.5</v>
      </c>
      <c r="AI849">
        <v>400</v>
      </c>
      <c r="AJ849">
        <v>400</v>
      </c>
      <c r="AK849">
        <v>64</v>
      </c>
      <c r="AL849" t="s">
        <v>1924</v>
      </c>
      <c r="AM849">
        <v>2.5</v>
      </c>
      <c r="AN849" t="s">
        <v>1531</v>
      </c>
      <c r="AO849" t="s">
        <v>1155</v>
      </c>
      <c r="AP849" t="s">
        <v>1767</v>
      </c>
      <c r="AQ849">
        <v>11</v>
      </c>
      <c r="AR849">
        <v>74.23</v>
      </c>
      <c r="AS849">
        <v>129.05000000000001</v>
      </c>
      <c r="AT849">
        <v>4.6040000000000001</v>
      </c>
      <c r="AU849">
        <v>7.2138</v>
      </c>
      <c r="AV849" t="s">
        <v>3189</v>
      </c>
      <c r="AW849" t="s">
        <v>3190</v>
      </c>
      <c r="AX849" t="s">
        <v>3191</v>
      </c>
    </row>
    <row r="850" spans="1:50" x14ac:dyDescent="0.25">
      <c r="A850" t="s">
        <v>3192</v>
      </c>
      <c r="B850" t="s">
        <v>1679</v>
      </c>
      <c r="C850">
        <v>0</v>
      </c>
      <c r="D850">
        <v>0</v>
      </c>
      <c r="E850" t="s">
        <v>1686</v>
      </c>
      <c r="H850">
        <v>0</v>
      </c>
      <c r="N850">
        <v>0</v>
      </c>
      <c r="Q850">
        <v>0</v>
      </c>
      <c r="R850">
        <v>1</v>
      </c>
      <c r="U850" t="s">
        <v>65</v>
      </c>
      <c r="V850">
        <v>53</v>
      </c>
      <c r="X850" t="s">
        <v>80</v>
      </c>
      <c r="Y850">
        <v>0</v>
      </c>
      <c r="Z850">
        <v>122.47</v>
      </c>
      <c r="AB850" t="s">
        <v>269</v>
      </c>
      <c r="AD850" t="s">
        <v>57</v>
      </c>
      <c r="AE850">
        <v>0</v>
      </c>
      <c r="AF850">
        <v>6</v>
      </c>
      <c r="AG850">
        <v>1</v>
      </c>
      <c r="AH850">
        <v>1.5</v>
      </c>
      <c r="AI850">
        <v>512</v>
      </c>
      <c r="AJ850">
        <v>512</v>
      </c>
      <c r="AK850">
        <v>66</v>
      </c>
      <c r="AL850" t="s">
        <v>119</v>
      </c>
      <c r="AM850">
        <v>2.4</v>
      </c>
      <c r="AN850" t="s">
        <v>1942</v>
      </c>
      <c r="AO850" t="s">
        <v>67</v>
      </c>
      <c r="AP850" t="s">
        <v>68</v>
      </c>
      <c r="AQ850">
        <v>15</v>
      </c>
      <c r="AR850">
        <v>568</v>
      </c>
      <c r="AS850">
        <v>1136</v>
      </c>
      <c r="AT850">
        <v>2.944</v>
      </c>
      <c r="AU850">
        <v>6.1559999999999997</v>
      </c>
      <c r="AV850" t="s">
        <v>3193</v>
      </c>
      <c r="AW850" t="s">
        <v>3194</v>
      </c>
      <c r="AX850" t="s">
        <v>3195</v>
      </c>
    </row>
    <row r="851" spans="1:50" x14ac:dyDescent="0.25">
      <c r="A851" t="s">
        <v>3196</v>
      </c>
      <c r="B851" t="s">
        <v>1679</v>
      </c>
      <c r="C851">
        <v>0</v>
      </c>
      <c r="D851">
        <v>1</v>
      </c>
      <c r="E851" t="s">
        <v>1698</v>
      </c>
      <c r="H851">
        <v>1</v>
      </c>
      <c r="N851">
        <v>1</v>
      </c>
      <c r="Q851">
        <v>0</v>
      </c>
      <c r="R851">
        <v>0</v>
      </c>
      <c r="U851" t="s">
        <v>1687</v>
      </c>
      <c r="V851">
        <v>35</v>
      </c>
      <c r="W851" t="s">
        <v>1688</v>
      </c>
      <c r="X851" t="s">
        <v>80</v>
      </c>
      <c r="Y851">
        <v>0</v>
      </c>
      <c r="Z851">
        <v>52.163129185499997</v>
      </c>
      <c r="AA851">
        <v>1.6256032533</v>
      </c>
      <c r="AB851" t="s">
        <v>74</v>
      </c>
      <c r="AD851" t="s">
        <v>57</v>
      </c>
      <c r="AE851">
        <v>0</v>
      </c>
      <c r="AF851">
        <v>6</v>
      </c>
      <c r="AG851">
        <v>1</v>
      </c>
      <c r="AH851">
        <v>3</v>
      </c>
      <c r="AI851">
        <v>512</v>
      </c>
      <c r="AJ851">
        <v>512</v>
      </c>
      <c r="AK851">
        <v>124</v>
      </c>
      <c r="AL851" t="s">
        <v>1861</v>
      </c>
      <c r="AM851">
        <v>1.2999999523000001</v>
      </c>
      <c r="AN851" t="s">
        <v>1741</v>
      </c>
      <c r="AO851" t="s">
        <v>59</v>
      </c>
      <c r="AP851" t="s">
        <v>1862</v>
      </c>
      <c r="AQ851">
        <v>11</v>
      </c>
      <c r="AR851">
        <v>33</v>
      </c>
      <c r="AS851">
        <v>89</v>
      </c>
      <c r="AT851">
        <v>1.82</v>
      </c>
      <c r="AU851">
        <v>4.72</v>
      </c>
      <c r="AV851" t="s">
        <v>2348</v>
      </c>
      <c r="AW851" t="s">
        <v>3197</v>
      </c>
      <c r="AX851" t="s">
        <v>3198</v>
      </c>
    </row>
    <row r="852" spans="1:50" x14ac:dyDescent="0.25">
      <c r="A852" t="s">
        <v>3199</v>
      </c>
      <c r="B852" t="s">
        <v>1679</v>
      </c>
      <c r="C852">
        <v>0</v>
      </c>
      <c r="D852">
        <v>1</v>
      </c>
      <c r="E852" t="s">
        <v>1740</v>
      </c>
      <c r="H852">
        <v>0</v>
      </c>
      <c r="N852">
        <v>0</v>
      </c>
      <c r="Q852">
        <v>1</v>
      </c>
      <c r="R852">
        <v>1</v>
      </c>
      <c r="U852" t="s">
        <v>72</v>
      </c>
      <c r="V852">
        <v>61</v>
      </c>
      <c r="W852" t="s">
        <v>79</v>
      </c>
      <c r="X852" t="s">
        <v>80</v>
      </c>
      <c r="Y852">
        <v>0</v>
      </c>
      <c r="AD852" t="s">
        <v>57</v>
      </c>
      <c r="AE852">
        <v>1</v>
      </c>
      <c r="AF852">
        <v>6</v>
      </c>
      <c r="AG852">
        <v>1</v>
      </c>
      <c r="AH852">
        <v>3</v>
      </c>
      <c r="AI852">
        <v>384</v>
      </c>
      <c r="AJ852">
        <v>384</v>
      </c>
      <c r="AK852">
        <v>80</v>
      </c>
      <c r="AL852" t="s">
        <v>1394</v>
      </c>
      <c r="AM852">
        <v>2.5</v>
      </c>
      <c r="AN852" t="s">
        <v>1114</v>
      </c>
      <c r="AO852" t="s">
        <v>59</v>
      </c>
      <c r="AP852" t="s">
        <v>1781</v>
      </c>
      <c r="AQ852">
        <v>11</v>
      </c>
      <c r="AR852">
        <v>50</v>
      </c>
      <c r="AS852">
        <v>137</v>
      </c>
      <c r="AT852">
        <v>1.37</v>
      </c>
      <c r="AU852">
        <v>4.32</v>
      </c>
      <c r="AV852" t="s">
        <v>3200</v>
      </c>
      <c r="AW852" t="s">
        <v>2318</v>
      </c>
      <c r="AX852" t="s">
        <v>3201</v>
      </c>
    </row>
    <row r="853" spans="1:50" x14ac:dyDescent="0.25">
      <c r="A853" t="s">
        <v>3202</v>
      </c>
      <c r="B853" t="s">
        <v>1679</v>
      </c>
      <c r="C853">
        <v>0</v>
      </c>
      <c r="D853">
        <v>0</v>
      </c>
      <c r="E853" t="s">
        <v>1740</v>
      </c>
      <c r="H853">
        <v>0</v>
      </c>
      <c r="N853">
        <v>0</v>
      </c>
      <c r="Q853">
        <v>0</v>
      </c>
      <c r="R853">
        <v>1</v>
      </c>
      <c r="U853" t="s">
        <v>65</v>
      </c>
      <c r="V853">
        <v>55</v>
      </c>
      <c r="X853" t="s">
        <v>80</v>
      </c>
      <c r="Y853">
        <v>0</v>
      </c>
      <c r="Z853">
        <v>104.32599999999999</v>
      </c>
      <c r="AB853" t="s">
        <v>56</v>
      </c>
      <c r="AD853" t="s">
        <v>57</v>
      </c>
      <c r="AE853">
        <v>0</v>
      </c>
      <c r="AF853">
        <v>6</v>
      </c>
      <c r="AG853">
        <v>1</v>
      </c>
      <c r="AH853">
        <v>1.5</v>
      </c>
      <c r="AI853">
        <v>512</v>
      </c>
      <c r="AJ853">
        <v>512</v>
      </c>
      <c r="AK853">
        <v>88</v>
      </c>
      <c r="AL853" t="s">
        <v>81</v>
      </c>
      <c r="AM853">
        <v>1.8</v>
      </c>
      <c r="AN853" t="s">
        <v>3147</v>
      </c>
      <c r="AO853" t="s">
        <v>67</v>
      </c>
      <c r="AP853" t="s">
        <v>68</v>
      </c>
      <c r="AQ853">
        <v>15</v>
      </c>
      <c r="AR853">
        <v>69</v>
      </c>
      <c r="AS853">
        <v>139</v>
      </c>
      <c r="AT853">
        <v>1.988</v>
      </c>
      <c r="AU853">
        <v>4.0919999999999996</v>
      </c>
      <c r="AV853" t="s">
        <v>3203</v>
      </c>
      <c r="AW853" t="s">
        <v>3204</v>
      </c>
      <c r="AX853" t="s">
        <v>3205</v>
      </c>
    </row>
    <row r="854" spans="1:50" x14ac:dyDescent="0.25">
      <c r="A854" t="s">
        <v>3206</v>
      </c>
      <c r="B854" t="s">
        <v>1679</v>
      </c>
      <c r="C854">
        <v>0</v>
      </c>
      <c r="D854">
        <v>0</v>
      </c>
      <c r="E854" t="s">
        <v>1698</v>
      </c>
      <c r="H854">
        <v>1</v>
      </c>
      <c r="N854">
        <v>1</v>
      </c>
      <c r="Q854">
        <v>0</v>
      </c>
      <c r="R854">
        <v>1</v>
      </c>
      <c r="U854" t="s">
        <v>1687</v>
      </c>
      <c r="V854">
        <v>53</v>
      </c>
      <c r="W854" t="s">
        <v>1688</v>
      </c>
      <c r="X854" t="s">
        <v>80</v>
      </c>
      <c r="Y854">
        <v>0</v>
      </c>
      <c r="Z854">
        <v>72.575000000000003</v>
      </c>
      <c r="AB854" t="s">
        <v>94</v>
      </c>
      <c r="AD854" t="s">
        <v>57</v>
      </c>
      <c r="AE854">
        <v>0</v>
      </c>
      <c r="AF854">
        <v>6</v>
      </c>
      <c r="AG854">
        <v>1</v>
      </c>
      <c r="AH854">
        <v>1.5</v>
      </c>
      <c r="AI854">
        <v>512</v>
      </c>
      <c r="AJ854">
        <v>512</v>
      </c>
      <c r="AK854">
        <v>72</v>
      </c>
      <c r="AL854" t="s">
        <v>119</v>
      </c>
      <c r="AM854">
        <v>2.2000000000000002</v>
      </c>
      <c r="AN854" t="s">
        <v>1072</v>
      </c>
      <c r="AO854" t="s">
        <v>67</v>
      </c>
      <c r="AP854" t="s">
        <v>68</v>
      </c>
      <c r="AQ854">
        <v>15</v>
      </c>
      <c r="AR854">
        <v>218</v>
      </c>
      <c r="AS854">
        <v>437</v>
      </c>
      <c r="AT854">
        <v>4.2359999999999998</v>
      </c>
      <c r="AU854">
        <v>8.6679999999999993</v>
      </c>
      <c r="AV854" t="s">
        <v>3207</v>
      </c>
      <c r="AW854" t="s">
        <v>3208</v>
      </c>
      <c r="AX854" t="s">
        <v>3209</v>
      </c>
    </row>
    <row r="855" spans="1:50" x14ac:dyDescent="0.25">
      <c r="A855" t="s">
        <v>3210</v>
      </c>
      <c r="B855" t="s">
        <v>1679</v>
      </c>
      <c r="C855">
        <v>1</v>
      </c>
      <c r="D855">
        <v>1</v>
      </c>
      <c r="E855" t="s">
        <v>1725</v>
      </c>
      <c r="H855">
        <v>0</v>
      </c>
      <c r="N855">
        <v>1</v>
      </c>
      <c r="Q855">
        <v>0</v>
      </c>
      <c r="R855">
        <v>0</v>
      </c>
      <c r="U855" t="s">
        <v>1687</v>
      </c>
      <c r="V855">
        <v>47</v>
      </c>
      <c r="W855" t="s">
        <v>1726</v>
      </c>
      <c r="X855" t="s">
        <v>55</v>
      </c>
      <c r="Y855">
        <v>0</v>
      </c>
      <c r="Z855">
        <v>66</v>
      </c>
      <c r="AB855" t="s">
        <v>74</v>
      </c>
      <c r="AD855" t="s">
        <v>57</v>
      </c>
      <c r="AE855">
        <v>1</v>
      </c>
      <c r="AF855">
        <v>6</v>
      </c>
      <c r="AG855">
        <v>1</v>
      </c>
      <c r="AH855">
        <v>3</v>
      </c>
      <c r="AI855">
        <v>384</v>
      </c>
      <c r="AJ855">
        <v>384</v>
      </c>
      <c r="AK855">
        <v>200</v>
      </c>
      <c r="AL855" t="s">
        <v>1394</v>
      </c>
      <c r="AM855">
        <v>2</v>
      </c>
      <c r="AN855" t="s">
        <v>1154</v>
      </c>
      <c r="AO855" t="s">
        <v>1155</v>
      </c>
      <c r="AP855" t="s">
        <v>1767</v>
      </c>
      <c r="AQ855">
        <v>15</v>
      </c>
      <c r="AR855">
        <v>350</v>
      </c>
      <c r="AS855">
        <v>608</v>
      </c>
      <c r="AT855">
        <v>2.302</v>
      </c>
      <c r="AU855">
        <v>4.4333</v>
      </c>
      <c r="AW855" t="s">
        <v>3211</v>
      </c>
      <c r="AX855" t="s">
        <v>3212</v>
      </c>
    </row>
    <row r="856" spans="1:50" x14ac:dyDescent="0.25">
      <c r="A856" t="s">
        <v>3213</v>
      </c>
      <c r="B856" t="s">
        <v>1679</v>
      </c>
      <c r="C856">
        <v>0</v>
      </c>
      <c r="D856">
        <v>1</v>
      </c>
      <c r="E856" t="s">
        <v>1780</v>
      </c>
      <c r="H856">
        <v>0</v>
      </c>
      <c r="N856">
        <v>1</v>
      </c>
      <c r="Q856">
        <v>0</v>
      </c>
      <c r="R856">
        <v>0</v>
      </c>
      <c r="U856" t="s">
        <v>1687</v>
      </c>
      <c r="V856">
        <v>43</v>
      </c>
      <c r="W856" t="s">
        <v>1726</v>
      </c>
      <c r="X856" t="s">
        <v>80</v>
      </c>
      <c r="Y856">
        <v>0</v>
      </c>
      <c r="Z856">
        <v>63</v>
      </c>
      <c r="AB856" t="s">
        <v>74</v>
      </c>
      <c r="AD856" t="s">
        <v>57</v>
      </c>
      <c r="AE856">
        <v>0</v>
      </c>
      <c r="AF856">
        <v>6</v>
      </c>
      <c r="AG856">
        <v>1</v>
      </c>
      <c r="AH856">
        <v>1.5</v>
      </c>
      <c r="AI856">
        <v>512</v>
      </c>
      <c r="AJ856">
        <v>512</v>
      </c>
      <c r="AK856">
        <v>80</v>
      </c>
      <c r="AL856" t="s">
        <v>113</v>
      </c>
      <c r="AM856">
        <v>2</v>
      </c>
      <c r="AN856" t="s">
        <v>996</v>
      </c>
      <c r="AO856" t="s">
        <v>67</v>
      </c>
      <c r="AP856" t="s">
        <v>68</v>
      </c>
      <c r="AQ856">
        <v>15</v>
      </c>
      <c r="AR856">
        <v>82</v>
      </c>
      <c r="AS856">
        <v>164</v>
      </c>
      <c r="AT856">
        <v>4.2</v>
      </c>
      <c r="AU856">
        <v>7</v>
      </c>
      <c r="AV856" t="s">
        <v>3214</v>
      </c>
      <c r="AW856" t="s">
        <v>3215</v>
      </c>
      <c r="AX856" t="s">
        <v>3216</v>
      </c>
    </row>
    <row r="857" spans="1:50" x14ac:dyDescent="0.25">
      <c r="A857" t="s">
        <v>3217</v>
      </c>
      <c r="B857" t="s">
        <v>1679</v>
      </c>
      <c r="C857">
        <v>0</v>
      </c>
      <c r="D857">
        <v>0</v>
      </c>
      <c r="E857" t="s">
        <v>1686</v>
      </c>
      <c r="H857">
        <v>0</v>
      </c>
      <c r="N857">
        <v>1</v>
      </c>
      <c r="Q857">
        <v>0</v>
      </c>
      <c r="R857">
        <v>1</v>
      </c>
      <c r="U857" t="s">
        <v>1687</v>
      </c>
      <c r="V857">
        <v>45</v>
      </c>
      <c r="W857" t="s">
        <v>1688</v>
      </c>
      <c r="X857" t="s">
        <v>80</v>
      </c>
      <c r="Y857">
        <v>0</v>
      </c>
      <c r="AD857" t="s">
        <v>57</v>
      </c>
      <c r="AE857">
        <v>1</v>
      </c>
      <c r="AF857">
        <v>6</v>
      </c>
      <c r="AG857">
        <v>1</v>
      </c>
      <c r="AH857">
        <v>1.5</v>
      </c>
      <c r="AI857">
        <v>384</v>
      </c>
      <c r="AJ857">
        <v>384</v>
      </c>
      <c r="AK857">
        <v>160</v>
      </c>
      <c r="AL857" t="s">
        <v>1835</v>
      </c>
      <c r="AM857">
        <v>1</v>
      </c>
      <c r="AN857" t="s">
        <v>1728</v>
      </c>
      <c r="AO857" t="s">
        <v>59</v>
      </c>
      <c r="AP857" t="s">
        <v>1729</v>
      </c>
      <c r="AQ857">
        <v>11</v>
      </c>
      <c r="AR857">
        <v>54</v>
      </c>
      <c r="AS857">
        <v>150</v>
      </c>
      <c r="AT857">
        <v>1.81</v>
      </c>
      <c r="AU857">
        <v>5.05</v>
      </c>
      <c r="AV857" t="s">
        <v>2106</v>
      </c>
      <c r="AW857" t="s">
        <v>3218</v>
      </c>
      <c r="AX857" t="s">
        <v>3219</v>
      </c>
    </row>
    <row r="858" spans="1:50" x14ac:dyDescent="0.25">
      <c r="A858" t="s">
        <v>3220</v>
      </c>
      <c r="B858" t="s">
        <v>1679</v>
      </c>
      <c r="C858">
        <v>0</v>
      </c>
      <c r="D858">
        <v>0</v>
      </c>
      <c r="E858" t="s">
        <v>1871</v>
      </c>
      <c r="H858">
        <v>1</v>
      </c>
      <c r="N858">
        <v>1</v>
      </c>
      <c r="Q858">
        <v>1</v>
      </c>
      <c r="R858">
        <v>0</v>
      </c>
      <c r="U858" t="s">
        <v>1735</v>
      </c>
      <c r="V858">
        <v>57</v>
      </c>
      <c r="X858" t="s">
        <v>80</v>
      </c>
      <c r="Y858">
        <v>0</v>
      </c>
      <c r="Z858">
        <v>76.203999999999994</v>
      </c>
      <c r="AB858" t="s">
        <v>94</v>
      </c>
      <c r="AD858" t="s">
        <v>57</v>
      </c>
      <c r="AE858">
        <v>0</v>
      </c>
      <c r="AF858">
        <v>6</v>
      </c>
      <c r="AG858">
        <v>1</v>
      </c>
      <c r="AH858">
        <v>1.5</v>
      </c>
      <c r="AI858">
        <v>512</v>
      </c>
      <c r="AJ858">
        <v>512</v>
      </c>
      <c r="AK858">
        <v>72</v>
      </c>
      <c r="AL858" t="s">
        <v>119</v>
      </c>
      <c r="AM858">
        <v>2.2000000000000002</v>
      </c>
      <c r="AN858" t="s">
        <v>1902</v>
      </c>
      <c r="AO858" t="s">
        <v>67</v>
      </c>
      <c r="AP858" t="s">
        <v>68</v>
      </c>
      <c r="AQ858">
        <v>15</v>
      </c>
      <c r="AR858">
        <v>259</v>
      </c>
      <c r="AS858">
        <v>518</v>
      </c>
      <c r="AT858">
        <v>3.1720000000000002</v>
      </c>
      <c r="AU858">
        <v>6.548</v>
      </c>
      <c r="AV858" t="s">
        <v>3221</v>
      </c>
      <c r="AW858" t="s">
        <v>3222</v>
      </c>
      <c r="AX858" t="s">
        <v>3223</v>
      </c>
    </row>
    <row r="859" spans="1:50" x14ac:dyDescent="0.25">
      <c r="A859" t="s">
        <v>3224</v>
      </c>
      <c r="B859" t="s">
        <v>1679</v>
      </c>
      <c r="C859">
        <v>0</v>
      </c>
      <c r="D859">
        <v>1</v>
      </c>
      <c r="E859" t="s">
        <v>1680</v>
      </c>
      <c r="H859">
        <v>0</v>
      </c>
      <c r="N859">
        <v>0</v>
      </c>
      <c r="Q859">
        <v>0</v>
      </c>
      <c r="R859">
        <v>1</v>
      </c>
      <c r="U859" t="s">
        <v>65</v>
      </c>
      <c r="V859">
        <v>56</v>
      </c>
      <c r="W859" t="s">
        <v>79</v>
      </c>
      <c r="X859" t="s">
        <v>55</v>
      </c>
      <c r="Y859">
        <v>0</v>
      </c>
      <c r="Z859">
        <v>56.698999999999998</v>
      </c>
      <c r="AB859" t="s">
        <v>74</v>
      </c>
      <c r="AD859" t="s">
        <v>57</v>
      </c>
      <c r="AE859">
        <v>0</v>
      </c>
      <c r="AF859">
        <v>6</v>
      </c>
      <c r="AG859">
        <v>1</v>
      </c>
      <c r="AH859">
        <v>1.5</v>
      </c>
      <c r="AI859">
        <v>512</v>
      </c>
      <c r="AJ859">
        <v>512</v>
      </c>
      <c r="AK859">
        <v>76</v>
      </c>
      <c r="AL859" t="s">
        <v>331</v>
      </c>
      <c r="AM859">
        <v>2.4</v>
      </c>
      <c r="AN859" t="s">
        <v>1942</v>
      </c>
      <c r="AO859" t="s">
        <v>67</v>
      </c>
      <c r="AP859" t="s">
        <v>68</v>
      </c>
      <c r="AQ859">
        <v>15</v>
      </c>
      <c r="AR859">
        <v>457</v>
      </c>
      <c r="AS859">
        <v>914</v>
      </c>
      <c r="AT859">
        <v>3.052</v>
      </c>
      <c r="AU859">
        <v>6.3</v>
      </c>
      <c r="AV859" t="s">
        <v>3225</v>
      </c>
      <c r="AW859" t="s">
        <v>3226</v>
      </c>
      <c r="AX859" t="s">
        <v>3227</v>
      </c>
    </row>
    <row r="860" spans="1:50" x14ac:dyDescent="0.25">
      <c r="A860" t="s">
        <v>3228</v>
      </c>
      <c r="B860" t="s">
        <v>1679</v>
      </c>
      <c r="C860">
        <v>0</v>
      </c>
      <c r="D860">
        <v>1</v>
      </c>
      <c r="E860" t="s">
        <v>1703</v>
      </c>
      <c r="H860">
        <v>1</v>
      </c>
      <c r="N860">
        <v>1</v>
      </c>
      <c r="Q860">
        <v>0</v>
      </c>
      <c r="R860">
        <v>0</v>
      </c>
      <c r="U860" t="s">
        <v>1687</v>
      </c>
      <c r="V860">
        <v>50</v>
      </c>
      <c r="W860" t="s">
        <v>1688</v>
      </c>
      <c r="X860" t="s">
        <v>80</v>
      </c>
      <c r="Y860">
        <v>0</v>
      </c>
      <c r="Z860">
        <v>70</v>
      </c>
      <c r="AB860" t="s">
        <v>94</v>
      </c>
      <c r="AD860" t="s">
        <v>57</v>
      </c>
      <c r="AE860">
        <v>0</v>
      </c>
      <c r="AF860">
        <v>6</v>
      </c>
      <c r="AG860">
        <v>1</v>
      </c>
      <c r="AH860">
        <v>1.5</v>
      </c>
      <c r="AI860">
        <v>512</v>
      </c>
      <c r="AJ860">
        <v>512</v>
      </c>
      <c r="AK860">
        <v>64</v>
      </c>
      <c r="AL860" t="s">
        <v>196</v>
      </c>
      <c r="AM860">
        <v>2.5</v>
      </c>
      <c r="AN860" t="s">
        <v>1705</v>
      </c>
      <c r="AO860" t="s">
        <v>67</v>
      </c>
      <c r="AP860" t="s">
        <v>89</v>
      </c>
      <c r="AQ860">
        <v>15</v>
      </c>
      <c r="AR860">
        <v>276</v>
      </c>
      <c r="AS860">
        <v>553</v>
      </c>
      <c r="AT860">
        <v>2.5640000000000001</v>
      </c>
      <c r="AU860">
        <v>5.7</v>
      </c>
      <c r="AV860" t="s">
        <v>3229</v>
      </c>
      <c r="AW860" t="s">
        <v>3230</v>
      </c>
      <c r="AX860" t="s">
        <v>3231</v>
      </c>
    </row>
    <row r="861" spans="1:50" x14ac:dyDescent="0.25">
      <c r="A861" t="s">
        <v>3232</v>
      </c>
      <c r="B861" t="s">
        <v>1679</v>
      </c>
      <c r="C861">
        <v>0</v>
      </c>
      <c r="D861">
        <v>0</v>
      </c>
      <c r="E861" t="s">
        <v>1686</v>
      </c>
      <c r="H861">
        <v>0</v>
      </c>
      <c r="N861">
        <v>0</v>
      </c>
      <c r="Q861">
        <v>0</v>
      </c>
      <c r="R861">
        <v>1</v>
      </c>
      <c r="U861" t="s">
        <v>65</v>
      </c>
      <c r="V861">
        <v>45</v>
      </c>
      <c r="W861" t="s">
        <v>1688</v>
      </c>
      <c r="X861" t="s">
        <v>111</v>
      </c>
      <c r="Y861">
        <v>0</v>
      </c>
      <c r="Z861">
        <v>52</v>
      </c>
      <c r="AB861" t="s">
        <v>74</v>
      </c>
      <c r="AD861" t="s">
        <v>57</v>
      </c>
      <c r="AE861">
        <v>0</v>
      </c>
      <c r="AF861">
        <v>6</v>
      </c>
      <c r="AG861">
        <v>1</v>
      </c>
      <c r="AH861">
        <v>3</v>
      </c>
      <c r="AI861">
        <v>512</v>
      </c>
      <c r="AJ861">
        <v>512</v>
      </c>
      <c r="AK861">
        <v>160</v>
      </c>
      <c r="AL861" t="s">
        <v>196</v>
      </c>
      <c r="AM861">
        <v>2</v>
      </c>
      <c r="AN861" t="s">
        <v>1419</v>
      </c>
      <c r="AO861" t="s">
        <v>1155</v>
      </c>
      <c r="AP861" t="s">
        <v>1767</v>
      </c>
      <c r="AQ861">
        <v>11</v>
      </c>
      <c r="AR861">
        <v>705</v>
      </c>
      <c r="AS861">
        <v>1226</v>
      </c>
      <c r="AT861">
        <v>2.371</v>
      </c>
      <c r="AU861">
        <v>4.6463999999999999</v>
      </c>
      <c r="AV861" t="s">
        <v>3233</v>
      </c>
      <c r="AW861" t="s">
        <v>3234</v>
      </c>
      <c r="AX861" t="s">
        <v>3235</v>
      </c>
    </row>
    <row r="862" spans="1:50" x14ac:dyDescent="0.25">
      <c r="A862" t="s">
        <v>3236</v>
      </c>
      <c r="B862" t="s">
        <v>1679</v>
      </c>
      <c r="C862">
        <v>0</v>
      </c>
      <c r="D862">
        <v>1</v>
      </c>
      <c r="E862" t="s">
        <v>1698</v>
      </c>
      <c r="H862">
        <v>0</v>
      </c>
      <c r="N862">
        <v>1</v>
      </c>
      <c r="Q862">
        <v>0</v>
      </c>
      <c r="R862">
        <v>0</v>
      </c>
      <c r="U862" t="s">
        <v>1687</v>
      </c>
      <c r="V862">
        <v>47</v>
      </c>
      <c r="W862" t="s">
        <v>1688</v>
      </c>
      <c r="X862" t="s">
        <v>80</v>
      </c>
      <c r="Y862">
        <v>0</v>
      </c>
      <c r="Z862">
        <v>82.554000000000002</v>
      </c>
      <c r="AB862" t="s">
        <v>118</v>
      </c>
      <c r="AD862" t="s">
        <v>57</v>
      </c>
      <c r="AE862">
        <v>0</v>
      </c>
      <c r="AF862">
        <v>6</v>
      </c>
      <c r="AG862">
        <v>1</v>
      </c>
      <c r="AH862">
        <v>3</v>
      </c>
      <c r="AI862">
        <v>512</v>
      </c>
      <c r="AJ862">
        <v>512</v>
      </c>
      <c r="AK862">
        <v>134</v>
      </c>
      <c r="AL862" t="s">
        <v>119</v>
      </c>
      <c r="AM862">
        <v>2.4</v>
      </c>
      <c r="AN862" t="s">
        <v>1786</v>
      </c>
      <c r="AO862" t="s">
        <v>67</v>
      </c>
      <c r="AP862" t="s">
        <v>68</v>
      </c>
      <c r="AQ862">
        <v>15</v>
      </c>
      <c r="AR862">
        <v>263</v>
      </c>
      <c r="AS862">
        <v>526</v>
      </c>
      <c r="AT862">
        <v>2.8039999999999998</v>
      </c>
      <c r="AU862">
        <v>7.3159999999999998</v>
      </c>
      <c r="AV862" t="s">
        <v>1817</v>
      </c>
      <c r="AW862" t="s">
        <v>3237</v>
      </c>
      <c r="AX862" t="s">
        <v>3238</v>
      </c>
    </row>
    <row r="863" spans="1:50" x14ac:dyDescent="0.25">
      <c r="A863" t="s">
        <v>3239</v>
      </c>
      <c r="B863" t="s">
        <v>1679</v>
      </c>
      <c r="C863">
        <v>0</v>
      </c>
      <c r="D863">
        <v>1</v>
      </c>
      <c r="E863" t="s">
        <v>1703</v>
      </c>
      <c r="H863">
        <v>0</v>
      </c>
      <c r="N863">
        <v>1</v>
      </c>
      <c r="Q863">
        <v>0</v>
      </c>
      <c r="R863">
        <v>0</v>
      </c>
      <c r="U863" t="s">
        <v>1687</v>
      </c>
      <c r="V863">
        <v>46</v>
      </c>
      <c r="X863" t="s">
        <v>111</v>
      </c>
      <c r="Y863">
        <v>0</v>
      </c>
      <c r="Z863">
        <v>62.6</v>
      </c>
      <c r="AB863" t="s">
        <v>74</v>
      </c>
      <c r="AD863" t="s">
        <v>57</v>
      </c>
      <c r="AE863">
        <v>0</v>
      </c>
      <c r="AF863">
        <v>6</v>
      </c>
      <c r="AG863">
        <v>1</v>
      </c>
      <c r="AH863">
        <v>3</v>
      </c>
      <c r="AI863">
        <v>512</v>
      </c>
      <c r="AJ863">
        <v>512</v>
      </c>
      <c r="AK863">
        <v>134</v>
      </c>
      <c r="AL863" t="s">
        <v>119</v>
      </c>
      <c r="AM863">
        <v>2.4</v>
      </c>
      <c r="AN863" t="s">
        <v>1786</v>
      </c>
      <c r="AO863" t="s">
        <v>67</v>
      </c>
      <c r="AP863" t="s">
        <v>1845</v>
      </c>
      <c r="AQ863">
        <v>15</v>
      </c>
      <c r="AR863">
        <v>890</v>
      </c>
      <c r="AS863">
        <v>1780</v>
      </c>
      <c r="AT863">
        <v>4.6639999999999997</v>
      </c>
      <c r="AU863">
        <v>8.8919999999999995</v>
      </c>
      <c r="AV863" t="s">
        <v>3240</v>
      </c>
      <c r="AW863" t="s">
        <v>3241</v>
      </c>
      <c r="AX863" t="s">
        <v>3242</v>
      </c>
    </row>
    <row r="864" spans="1:50" x14ac:dyDescent="0.25">
      <c r="A864" t="s">
        <v>3243</v>
      </c>
      <c r="B864" t="s">
        <v>1679</v>
      </c>
      <c r="C864">
        <v>0</v>
      </c>
      <c r="D864">
        <v>0</v>
      </c>
      <c r="E864" t="s">
        <v>1686</v>
      </c>
      <c r="H864">
        <v>0</v>
      </c>
      <c r="N864">
        <v>1</v>
      </c>
      <c r="Q864">
        <v>0</v>
      </c>
      <c r="R864">
        <v>1</v>
      </c>
      <c r="U864" t="s">
        <v>1687</v>
      </c>
      <c r="V864">
        <v>54</v>
      </c>
      <c r="X864" t="s">
        <v>80</v>
      </c>
      <c r="Y864">
        <v>0</v>
      </c>
      <c r="Z864">
        <v>92.986000000000004</v>
      </c>
      <c r="AB864" t="s">
        <v>118</v>
      </c>
      <c r="AD864" t="s">
        <v>57</v>
      </c>
      <c r="AE864">
        <v>0</v>
      </c>
      <c r="AF864">
        <v>6</v>
      </c>
      <c r="AG864">
        <v>1</v>
      </c>
      <c r="AH864">
        <v>1.5</v>
      </c>
      <c r="AI864">
        <v>512</v>
      </c>
      <c r="AJ864">
        <v>512</v>
      </c>
      <c r="AK864">
        <v>72</v>
      </c>
      <c r="AL864" t="s">
        <v>119</v>
      </c>
      <c r="AM864">
        <v>2.2000000000000002</v>
      </c>
      <c r="AN864" t="s">
        <v>1072</v>
      </c>
      <c r="AO864" t="s">
        <v>67</v>
      </c>
      <c r="AP864" t="s">
        <v>68</v>
      </c>
      <c r="AQ864">
        <v>15</v>
      </c>
      <c r="AR864">
        <v>155</v>
      </c>
      <c r="AS864">
        <v>310</v>
      </c>
      <c r="AT864">
        <v>4.2359999999999998</v>
      </c>
      <c r="AU864">
        <v>8.6679999999999993</v>
      </c>
      <c r="AV864" t="s">
        <v>3244</v>
      </c>
      <c r="AW864" t="s">
        <v>3245</v>
      </c>
      <c r="AX864" t="s">
        <v>3246</v>
      </c>
    </row>
    <row r="865" spans="1:50" x14ac:dyDescent="0.25">
      <c r="A865" t="s">
        <v>3247</v>
      </c>
      <c r="B865" t="s">
        <v>1679</v>
      </c>
      <c r="C865">
        <v>0</v>
      </c>
      <c r="D865">
        <v>1</v>
      </c>
      <c r="E865" t="s">
        <v>1680</v>
      </c>
      <c r="H865">
        <v>0</v>
      </c>
      <c r="N865">
        <v>1</v>
      </c>
      <c r="Q865">
        <v>0</v>
      </c>
      <c r="R865">
        <v>0</v>
      </c>
      <c r="U865" t="s">
        <v>1687</v>
      </c>
      <c r="V865">
        <v>45</v>
      </c>
      <c r="X865" t="s">
        <v>80</v>
      </c>
      <c r="Y865">
        <v>0</v>
      </c>
      <c r="Z865">
        <v>90.718000000000004</v>
      </c>
      <c r="AB865" t="s">
        <v>118</v>
      </c>
      <c r="AD865" t="s">
        <v>57</v>
      </c>
      <c r="AE865">
        <v>0</v>
      </c>
      <c r="AF865">
        <v>6</v>
      </c>
      <c r="AG865">
        <v>1</v>
      </c>
      <c r="AH865">
        <v>3</v>
      </c>
      <c r="AI865">
        <v>512</v>
      </c>
      <c r="AJ865">
        <v>512</v>
      </c>
      <c r="AK865">
        <v>134</v>
      </c>
      <c r="AL865" t="s">
        <v>128</v>
      </c>
      <c r="AM865">
        <v>2.4</v>
      </c>
      <c r="AN865" t="s">
        <v>1786</v>
      </c>
      <c r="AO865" t="s">
        <v>67</v>
      </c>
      <c r="AP865" t="s">
        <v>68</v>
      </c>
      <c r="AQ865">
        <v>15</v>
      </c>
      <c r="AR865">
        <v>229</v>
      </c>
      <c r="AS865">
        <v>458</v>
      </c>
      <c r="AT865">
        <v>2.8359999999999999</v>
      </c>
      <c r="AU865">
        <v>7.5339999999999998</v>
      </c>
      <c r="AV865" t="s">
        <v>3248</v>
      </c>
      <c r="AW865" t="s">
        <v>3249</v>
      </c>
      <c r="AX865" t="s">
        <v>3250</v>
      </c>
    </row>
    <row r="866" spans="1:50" x14ac:dyDescent="0.25">
      <c r="A866" t="s">
        <v>3251</v>
      </c>
      <c r="B866" t="s">
        <v>1679</v>
      </c>
      <c r="C866">
        <v>0</v>
      </c>
      <c r="D866">
        <v>0</v>
      </c>
      <c r="E866" t="s">
        <v>1703</v>
      </c>
      <c r="H866">
        <v>1</v>
      </c>
      <c r="N866">
        <v>1</v>
      </c>
      <c r="Q866">
        <v>0</v>
      </c>
      <c r="R866">
        <v>0</v>
      </c>
      <c r="U866" t="s">
        <v>1687</v>
      </c>
      <c r="V866">
        <v>61</v>
      </c>
      <c r="W866" t="s">
        <v>79</v>
      </c>
      <c r="X866" t="s">
        <v>80</v>
      </c>
      <c r="Y866">
        <v>0</v>
      </c>
      <c r="Z866">
        <v>88.450999999999993</v>
      </c>
      <c r="AB866" t="s">
        <v>118</v>
      </c>
      <c r="AD866" t="s">
        <v>57</v>
      </c>
      <c r="AE866">
        <v>0</v>
      </c>
      <c r="AF866">
        <v>6</v>
      </c>
      <c r="AG866">
        <v>1</v>
      </c>
      <c r="AH866">
        <v>1.5</v>
      </c>
      <c r="AI866">
        <v>512</v>
      </c>
      <c r="AJ866">
        <v>512</v>
      </c>
      <c r="AK866">
        <v>70</v>
      </c>
      <c r="AL866" t="s">
        <v>128</v>
      </c>
      <c r="AM866">
        <v>2.2999999999999998</v>
      </c>
      <c r="AN866" t="s">
        <v>996</v>
      </c>
      <c r="AO866" t="s">
        <v>67</v>
      </c>
      <c r="AP866" t="s">
        <v>68</v>
      </c>
      <c r="AQ866">
        <v>15</v>
      </c>
      <c r="AR866">
        <v>57</v>
      </c>
      <c r="AS866">
        <v>115</v>
      </c>
      <c r="AT866">
        <v>4.2</v>
      </c>
      <c r="AU866">
        <v>7</v>
      </c>
      <c r="AV866" t="s">
        <v>3252</v>
      </c>
      <c r="AW866" t="s">
        <v>3253</v>
      </c>
      <c r="AX866" t="s">
        <v>3254</v>
      </c>
    </row>
    <row r="867" spans="1:50" x14ac:dyDescent="0.25">
      <c r="A867" t="s">
        <v>3255</v>
      </c>
      <c r="B867" t="s">
        <v>1679</v>
      </c>
      <c r="C867">
        <v>0</v>
      </c>
      <c r="D867">
        <v>1</v>
      </c>
      <c r="E867" t="s">
        <v>1686</v>
      </c>
      <c r="H867">
        <v>0</v>
      </c>
      <c r="N867">
        <v>1</v>
      </c>
      <c r="Q867">
        <v>0</v>
      </c>
      <c r="R867">
        <v>1</v>
      </c>
      <c r="U867" t="s">
        <v>1687</v>
      </c>
      <c r="V867">
        <v>50</v>
      </c>
      <c r="X867" t="s">
        <v>55</v>
      </c>
      <c r="Y867">
        <v>0</v>
      </c>
      <c r="Z867">
        <v>73.099999999999994</v>
      </c>
      <c r="AB867" t="s">
        <v>94</v>
      </c>
      <c r="AD867" t="s">
        <v>57</v>
      </c>
      <c r="AE867">
        <v>0</v>
      </c>
      <c r="AF867">
        <v>6</v>
      </c>
      <c r="AG867">
        <v>1</v>
      </c>
      <c r="AH867">
        <v>1.5</v>
      </c>
      <c r="AI867">
        <v>512</v>
      </c>
      <c r="AJ867">
        <v>512</v>
      </c>
      <c r="AK867">
        <v>64</v>
      </c>
      <c r="AL867" t="s">
        <v>196</v>
      </c>
      <c r="AM867">
        <v>2.5</v>
      </c>
      <c r="AN867" t="s">
        <v>1705</v>
      </c>
      <c r="AO867" t="s">
        <v>67</v>
      </c>
      <c r="AP867" t="s">
        <v>89</v>
      </c>
      <c r="AQ867">
        <v>15</v>
      </c>
      <c r="AR867">
        <v>162</v>
      </c>
      <c r="AS867">
        <v>324</v>
      </c>
      <c r="AT867">
        <v>2.5640000000000001</v>
      </c>
      <c r="AU867">
        <v>5.7</v>
      </c>
      <c r="AV867" t="s">
        <v>3256</v>
      </c>
      <c r="AW867" t="s">
        <v>3257</v>
      </c>
      <c r="AX867" t="s">
        <v>3258</v>
      </c>
    </row>
    <row r="868" spans="1:50" x14ac:dyDescent="0.25">
      <c r="A868" t="s">
        <v>3259</v>
      </c>
      <c r="B868" t="s">
        <v>1679</v>
      </c>
      <c r="C868">
        <v>0</v>
      </c>
      <c r="D868">
        <v>0</v>
      </c>
      <c r="E868" t="s">
        <v>1780</v>
      </c>
      <c r="H868">
        <v>0</v>
      </c>
      <c r="N868">
        <v>0</v>
      </c>
      <c r="Q868">
        <v>0</v>
      </c>
      <c r="R868">
        <v>0</v>
      </c>
      <c r="U868" t="s">
        <v>65</v>
      </c>
      <c r="V868">
        <v>36</v>
      </c>
      <c r="W868" t="s">
        <v>1726</v>
      </c>
      <c r="X868" t="s">
        <v>80</v>
      </c>
      <c r="Y868">
        <v>0</v>
      </c>
      <c r="Z868">
        <v>77.111000000000004</v>
      </c>
      <c r="AB868" t="s">
        <v>94</v>
      </c>
      <c r="AD868" t="s">
        <v>57</v>
      </c>
      <c r="AE868">
        <v>0</v>
      </c>
      <c r="AF868">
        <v>6</v>
      </c>
      <c r="AG868">
        <v>1</v>
      </c>
      <c r="AH868">
        <v>1.5</v>
      </c>
      <c r="AI868">
        <v>512</v>
      </c>
      <c r="AJ868">
        <v>512</v>
      </c>
      <c r="AK868">
        <v>66</v>
      </c>
      <c r="AL868" t="s">
        <v>66</v>
      </c>
      <c r="AM868">
        <v>2.4</v>
      </c>
      <c r="AN868" t="s">
        <v>1942</v>
      </c>
      <c r="AO868" t="s">
        <v>67</v>
      </c>
      <c r="AP868" t="s">
        <v>68</v>
      </c>
      <c r="AQ868">
        <v>15</v>
      </c>
      <c r="AR868">
        <v>593</v>
      </c>
      <c r="AS868">
        <v>1186</v>
      </c>
      <c r="AT868">
        <v>3.02</v>
      </c>
      <c r="AU868">
        <v>6.2480000000000002</v>
      </c>
      <c r="AV868" t="s">
        <v>3260</v>
      </c>
      <c r="AW868" t="s">
        <v>3261</v>
      </c>
      <c r="AX868" t="s">
        <v>3262</v>
      </c>
    </row>
    <row r="869" spans="1:50" x14ac:dyDescent="0.25">
      <c r="A869" t="s">
        <v>3263</v>
      </c>
      <c r="B869" t="s">
        <v>1679</v>
      </c>
      <c r="C869">
        <v>0</v>
      </c>
      <c r="D869">
        <v>0</v>
      </c>
      <c r="E869" t="s">
        <v>1686</v>
      </c>
      <c r="H869">
        <v>0</v>
      </c>
      <c r="N869">
        <v>0</v>
      </c>
      <c r="Q869">
        <v>0</v>
      </c>
      <c r="R869">
        <v>1</v>
      </c>
      <c r="U869" t="s">
        <v>65</v>
      </c>
      <c r="V869">
        <v>69</v>
      </c>
      <c r="W869" t="s">
        <v>79</v>
      </c>
      <c r="X869" t="s">
        <v>55</v>
      </c>
      <c r="Y869">
        <v>0</v>
      </c>
      <c r="Z869">
        <v>66</v>
      </c>
      <c r="AB869" t="s">
        <v>74</v>
      </c>
      <c r="AD869" t="s">
        <v>57</v>
      </c>
      <c r="AE869">
        <v>0</v>
      </c>
      <c r="AF869">
        <v>6</v>
      </c>
      <c r="AG869">
        <v>1</v>
      </c>
      <c r="AH869">
        <v>3</v>
      </c>
      <c r="AI869">
        <v>416</v>
      </c>
      <c r="AJ869">
        <v>416</v>
      </c>
      <c r="AK869">
        <v>64</v>
      </c>
      <c r="AL869" t="s">
        <v>2564</v>
      </c>
      <c r="AM869">
        <v>2.5</v>
      </c>
      <c r="AN869" t="s">
        <v>1114</v>
      </c>
      <c r="AO869" t="s">
        <v>59</v>
      </c>
      <c r="AP869" t="s">
        <v>1781</v>
      </c>
      <c r="AQ869">
        <v>11</v>
      </c>
      <c r="AR869">
        <v>170</v>
      </c>
      <c r="AS869">
        <v>302</v>
      </c>
      <c r="AT869">
        <v>1.52</v>
      </c>
      <c r="AU869">
        <v>4.74</v>
      </c>
      <c r="AV869" t="s">
        <v>3264</v>
      </c>
      <c r="AW869" t="s">
        <v>3234</v>
      </c>
      <c r="AX869" t="s">
        <v>3265</v>
      </c>
    </row>
    <row r="870" spans="1:50" x14ac:dyDescent="0.25">
      <c r="A870" t="s">
        <v>3266</v>
      </c>
      <c r="B870" t="s">
        <v>1679</v>
      </c>
      <c r="C870">
        <v>0</v>
      </c>
      <c r="D870">
        <v>1</v>
      </c>
      <c r="E870" t="s">
        <v>1703</v>
      </c>
      <c r="H870">
        <v>0</v>
      </c>
      <c r="N870">
        <v>1</v>
      </c>
      <c r="Q870">
        <v>0</v>
      </c>
      <c r="R870">
        <v>0</v>
      </c>
      <c r="U870" t="s">
        <v>1687</v>
      </c>
      <c r="V870">
        <v>55</v>
      </c>
      <c r="W870" t="s">
        <v>79</v>
      </c>
      <c r="X870" t="s">
        <v>80</v>
      </c>
      <c r="Y870">
        <v>0</v>
      </c>
      <c r="Z870">
        <v>74.388999999999996</v>
      </c>
      <c r="AB870" t="s">
        <v>94</v>
      </c>
      <c r="AD870" t="s">
        <v>57</v>
      </c>
      <c r="AE870">
        <v>0</v>
      </c>
      <c r="AF870">
        <v>6</v>
      </c>
      <c r="AG870">
        <v>1</v>
      </c>
      <c r="AH870">
        <v>1.5</v>
      </c>
      <c r="AI870">
        <v>512</v>
      </c>
      <c r="AJ870">
        <v>512</v>
      </c>
      <c r="AK870">
        <v>72</v>
      </c>
      <c r="AL870" t="s">
        <v>119</v>
      </c>
      <c r="AM870">
        <v>2.2000000000000002</v>
      </c>
      <c r="AN870" t="s">
        <v>1072</v>
      </c>
      <c r="AO870" t="s">
        <v>67</v>
      </c>
      <c r="AP870" t="s">
        <v>68</v>
      </c>
      <c r="AQ870">
        <v>15</v>
      </c>
      <c r="AR870">
        <v>276</v>
      </c>
      <c r="AS870">
        <v>552</v>
      </c>
      <c r="AT870">
        <v>4.2359999999999998</v>
      </c>
      <c r="AU870">
        <v>8.6679999999999993</v>
      </c>
      <c r="AV870" t="s">
        <v>3267</v>
      </c>
      <c r="AW870" t="s">
        <v>1972</v>
      </c>
      <c r="AX870" t="s">
        <v>3268</v>
      </c>
    </row>
    <row r="871" spans="1:50" x14ac:dyDescent="0.25">
      <c r="A871" t="s">
        <v>3269</v>
      </c>
      <c r="B871" t="s">
        <v>1679</v>
      </c>
      <c r="C871">
        <v>0</v>
      </c>
      <c r="D871">
        <v>0</v>
      </c>
      <c r="E871" t="s">
        <v>1871</v>
      </c>
      <c r="H871">
        <v>1</v>
      </c>
      <c r="N871">
        <v>0</v>
      </c>
      <c r="Q871">
        <v>1</v>
      </c>
      <c r="R871">
        <v>1</v>
      </c>
      <c r="U871" t="s">
        <v>72</v>
      </c>
      <c r="V871">
        <v>46</v>
      </c>
      <c r="W871" t="s">
        <v>1688</v>
      </c>
      <c r="X871" t="s">
        <v>80</v>
      </c>
      <c r="Y871">
        <v>0</v>
      </c>
      <c r="Z871">
        <v>111.11</v>
      </c>
      <c r="AB871" t="s">
        <v>269</v>
      </c>
      <c r="AD871" t="s">
        <v>57</v>
      </c>
      <c r="AE871">
        <v>1</v>
      </c>
      <c r="AF871">
        <v>6</v>
      </c>
      <c r="AG871">
        <v>1</v>
      </c>
      <c r="AH871">
        <v>1.5</v>
      </c>
      <c r="AI871">
        <v>384</v>
      </c>
      <c r="AJ871">
        <v>384</v>
      </c>
      <c r="AK871">
        <v>176</v>
      </c>
      <c r="AL871" t="s">
        <v>1719</v>
      </c>
      <c r="AM871">
        <v>1.1000000238000001</v>
      </c>
      <c r="AN871" t="s">
        <v>1720</v>
      </c>
      <c r="AO871" t="s">
        <v>59</v>
      </c>
      <c r="AP871" t="s">
        <v>60</v>
      </c>
      <c r="AQ871">
        <v>11</v>
      </c>
      <c r="AR871">
        <v>129</v>
      </c>
      <c r="AS871">
        <v>338</v>
      </c>
      <c r="AT871">
        <v>1.46</v>
      </c>
      <c r="AU871">
        <v>4.0999999999999996</v>
      </c>
      <c r="AV871" t="s">
        <v>3270</v>
      </c>
      <c r="AW871" t="s">
        <v>3271</v>
      </c>
      <c r="AX871" t="s">
        <v>3272</v>
      </c>
    </row>
    <row r="872" spans="1:50" x14ac:dyDescent="0.25">
      <c r="A872" t="s">
        <v>3273</v>
      </c>
      <c r="B872" t="s">
        <v>1679</v>
      </c>
      <c r="C872">
        <v>0</v>
      </c>
      <c r="D872">
        <v>1</v>
      </c>
      <c r="E872" t="s">
        <v>1839</v>
      </c>
      <c r="H872">
        <v>1</v>
      </c>
      <c r="N872">
        <v>1</v>
      </c>
      <c r="Q872">
        <v>1</v>
      </c>
      <c r="R872">
        <v>1</v>
      </c>
      <c r="U872" t="s">
        <v>1735</v>
      </c>
      <c r="V872">
        <v>41</v>
      </c>
      <c r="W872" t="s">
        <v>1688</v>
      </c>
      <c r="X872" t="s">
        <v>80</v>
      </c>
      <c r="Y872">
        <v>0</v>
      </c>
      <c r="Z872">
        <v>51</v>
      </c>
      <c r="AB872" t="s">
        <v>74</v>
      </c>
      <c r="AD872" t="s">
        <v>57</v>
      </c>
      <c r="AE872">
        <v>1</v>
      </c>
      <c r="AF872">
        <v>6</v>
      </c>
      <c r="AG872">
        <v>1</v>
      </c>
      <c r="AH872">
        <v>3</v>
      </c>
      <c r="AI872">
        <v>384</v>
      </c>
      <c r="AJ872">
        <v>384</v>
      </c>
      <c r="AK872">
        <v>64</v>
      </c>
      <c r="AL872" t="s">
        <v>1394</v>
      </c>
      <c r="AM872">
        <v>2.5</v>
      </c>
      <c r="AN872" t="s">
        <v>1114</v>
      </c>
      <c r="AO872" t="s">
        <v>59</v>
      </c>
      <c r="AP872" t="s">
        <v>1781</v>
      </c>
      <c r="AQ872">
        <v>11</v>
      </c>
      <c r="AR872">
        <v>106</v>
      </c>
      <c r="AS872">
        <v>277</v>
      </c>
      <c r="AT872">
        <v>1.37</v>
      </c>
      <c r="AU872">
        <v>4.32</v>
      </c>
      <c r="AV872" t="s">
        <v>3274</v>
      </c>
      <c r="AW872" t="s">
        <v>3275</v>
      </c>
      <c r="AX872" t="s">
        <v>3276</v>
      </c>
    </row>
    <row r="873" spans="1:50" x14ac:dyDescent="0.25">
      <c r="A873" t="s">
        <v>3277</v>
      </c>
      <c r="B873" t="s">
        <v>1679</v>
      </c>
      <c r="C873">
        <v>0</v>
      </c>
      <c r="D873">
        <v>0</v>
      </c>
      <c r="E873" t="s">
        <v>1680</v>
      </c>
      <c r="H873">
        <v>0</v>
      </c>
      <c r="N873">
        <v>1</v>
      </c>
      <c r="Q873">
        <v>0</v>
      </c>
      <c r="R873">
        <v>1</v>
      </c>
      <c r="U873" t="s">
        <v>1687</v>
      </c>
      <c r="V873">
        <v>62</v>
      </c>
      <c r="X873" t="s">
        <v>80</v>
      </c>
      <c r="Y873">
        <v>0</v>
      </c>
      <c r="Z873">
        <v>88.450999999999993</v>
      </c>
      <c r="AB873" t="s">
        <v>118</v>
      </c>
      <c r="AD873" t="s">
        <v>57</v>
      </c>
      <c r="AE873">
        <v>0</v>
      </c>
      <c r="AF873">
        <v>6</v>
      </c>
      <c r="AG873">
        <v>1</v>
      </c>
      <c r="AH873">
        <v>1.5</v>
      </c>
      <c r="AI873">
        <v>512</v>
      </c>
      <c r="AJ873">
        <v>512</v>
      </c>
      <c r="AK873">
        <v>72</v>
      </c>
      <c r="AL873" t="s">
        <v>119</v>
      </c>
      <c r="AM873">
        <v>2.2000000000000002</v>
      </c>
      <c r="AN873" t="s">
        <v>1072</v>
      </c>
      <c r="AO873" t="s">
        <v>67</v>
      </c>
      <c r="AP873" t="s">
        <v>68</v>
      </c>
      <c r="AQ873">
        <v>15</v>
      </c>
      <c r="AR873">
        <v>168</v>
      </c>
      <c r="AS873">
        <v>337</v>
      </c>
      <c r="AT873">
        <v>4.28</v>
      </c>
      <c r="AU873">
        <v>8.7439999999999998</v>
      </c>
      <c r="AV873" t="s">
        <v>3278</v>
      </c>
      <c r="AW873" t="s">
        <v>3279</v>
      </c>
      <c r="AX873" t="s">
        <v>3280</v>
      </c>
    </row>
    <row r="874" spans="1:50" x14ac:dyDescent="0.25">
      <c r="A874" t="s">
        <v>3281</v>
      </c>
      <c r="B874" t="s">
        <v>1679</v>
      </c>
      <c r="C874">
        <v>0</v>
      </c>
      <c r="D874">
        <v>0</v>
      </c>
      <c r="E874" t="s">
        <v>1686</v>
      </c>
      <c r="H874">
        <v>1</v>
      </c>
      <c r="N874">
        <v>0</v>
      </c>
      <c r="Q874">
        <v>0</v>
      </c>
      <c r="R874">
        <v>1</v>
      </c>
      <c r="U874" t="s">
        <v>65</v>
      </c>
      <c r="V874">
        <v>51</v>
      </c>
      <c r="W874" t="s">
        <v>79</v>
      </c>
      <c r="X874" t="s">
        <v>80</v>
      </c>
      <c r="Y874">
        <v>1</v>
      </c>
      <c r="AD874" t="s">
        <v>57</v>
      </c>
      <c r="AE874">
        <v>1</v>
      </c>
      <c r="AF874">
        <v>6</v>
      </c>
      <c r="AG874">
        <v>1</v>
      </c>
      <c r="AH874">
        <v>1.5</v>
      </c>
      <c r="AI874">
        <v>384</v>
      </c>
      <c r="AJ874">
        <v>384</v>
      </c>
      <c r="AK874">
        <v>160</v>
      </c>
      <c r="AL874" t="s">
        <v>2036</v>
      </c>
      <c r="AM874">
        <v>1</v>
      </c>
      <c r="AN874" t="s">
        <v>1728</v>
      </c>
      <c r="AO874" t="s">
        <v>59</v>
      </c>
      <c r="AP874" t="s">
        <v>1729</v>
      </c>
      <c r="AQ874">
        <v>11</v>
      </c>
      <c r="AR874">
        <v>54</v>
      </c>
      <c r="AS874">
        <v>145</v>
      </c>
      <c r="AT874">
        <v>1.81</v>
      </c>
      <c r="AU874">
        <v>5.05</v>
      </c>
      <c r="AV874" t="s">
        <v>1817</v>
      </c>
      <c r="AW874" t="s">
        <v>3282</v>
      </c>
      <c r="AX874" t="s">
        <v>3283</v>
      </c>
    </row>
    <row r="875" spans="1:50" x14ac:dyDescent="0.25">
      <c r="A875" t="s">
        <v>3284</v>
      </c>
      <c r="B875" t="s">
        <v>1679</v>
      </c>
      <c r="C875">
        <v>0</v>
      </c>
      <c r="D875">
        <v>1</v>
      </c>
      <c r="E875" t="s">
        <v>1680</v>
      </c>
      <c r="H875">
        <v>0</v>
      </c>
      <c r="N875">
        <v>1</v>
      </c>
      <c r="Q875">
        <v>0</v>
      </c>
      <c r="R875">
        <v>1</v>
      </c>
      <c r="U875" t="s">
        <v>1687</v>
      </c>
      <c r="V875">
        <v>42</v>
      </c>
      <c r="W875" t="s">
        <v>1688</v>
      </c>
      <c r="X875" t="s">
        <v>80</v>
      </c>
      <c r="Y875">
        <v>0</v>
      </c>
      <c r="Z875">
        <v>70</v>
      </c>
      <c r="AB875" t="s">
        <v>94</v>
      </c>
      <c r="AD875" t="s">
        <v>57</v>
      </c>
      <c r="AE875">
        <v>0</v>
      </c>
      <c r="AF875">
        <v>6</v>
      </c>
      <c r="AG875">
        <v>1</v>
      </c>
      <c r="AH875">
        <v>1.5</v>
      </c>
      <c r="AI875">
        <v>400</v>
      </c>
      <c r="AJ875">
        <v>400</v>
      </c>
      <c r="AK875">
        <v>64</v>
      </c>
      <c r="AL875" t="s">
        <v>1924</v>
      </c>
      <c r="AM875">
        <v>2.5</v>
      </c>
      <c r="AN875" t="s">
        <v>1531</v>
      </c>
      <c r="AO875" t="s">
        <v>1155</v>
      </c>
      <c r="AP875" t="s">
        <v>1767</v>
      </c>
      <c r="AQ875">
        <v>11</v>
      </c>
      <c r="AR875">
        <v>50.65</v>
      </c>
      <c r="AS875">
        <v>88.06</v>
      </c>
      <c r="AT875">
        <v>2.5979999999999999</v>
      </c>
      <c r="AU875">
        <v>5.2080000000000002</v>
      </c>
      <c r="AV875" t="s">
        <v>3285</v>
      </c>
      <c r="AW875" t="s">
        <v>1985</v>
      </c>
      <c r="AX875" t="s">
        <v>3286</v>
      </c>
    </row>
    <row r="876" spans="1:50" x14ac:dyDescent="0.25">
      <c r="A876" t="s">
        <v>3287</v>
      </c>
      <c r="B876" t="s">
        <v>1679</v>
      </c>
      <c r="C876">
        <v>0</v>
      </c>
      <c r="D876">
        <v>1</v>
      </c>
      <c r="E876" t="s">
        <v>1680</v>
      </c>
      <c r="H876">
        <v>1</v>
      </c>
      <c r="N876">
        <v>1</v>
      </c>
      <c r="Q876">
        <v>0</v>
      </c>
      <c r="R876">
        <v>1</v>
      </c>
      <c r="U876" t="s">
        <v>1687</v>
      </c>
      <c r="V876">
        <v>37</v>
      </c>
      <c r="W876" t="s">
        <v>1688</v>
      </c>
      <c r="X876" t="s">
        <v>80</v>
      </c>
      <c r="Y876">
        <v>0</v>
      </c>
      <c r="Z876">
        <v>49.895000000000003</v>
      </c>
      <c r="AB876" t="s">
        <v>247</v>
      </c>
      <c r="AD876" t="s">
        <v>57</v>
      </c>
      <c r="AE876">
        <v>0</v>
      </c>
      <c r="AF876">
        <v>6</v>
      </c>
      <c r="AG876">
        <v>0</v>
      </c>
      <c r="AH876">
        <v>1.5</v>
      </c>
      <c r="AI876">
        <v>512</v>
      </c>
      <c r="AJ876">
        <v>512</v>
      </c>
      <c r="AK876">
        <v>80</v>
      </c>
      <c r="AL876" t="s">
        <v>196</v>
      </c>
      <c r="AM876">
        <v>2</v>
      </c>
      <c r="AN876" t="s">
        <v>996</v>
      </c>
      <c r="AO876" t="s">
        <v>67</v>
      </c>
      <c r="AP876" t="s">
        <v>68</v>
      </c>
      <c r="AQ876">
        <v>15</v>
      </c>
      <c r="AR876">
        <v>242</v>
      </c>
      <c r="AS876">
        <v>484</v>
      </c>
      <c r="AT876">
        <v>4.2</v>
      </c>
      <c r="AU876">
        <v>7</v>
      </c>
      <c r="AV876" t="s">
        <v>3288</v>
      </c>
      <c r="AW876" t="s">
        <v>3289</v>
      </c>
      <c r="AX876" t="s">
        <v>3290</v>
      </c>
    </row>
    <row r="877" spans="1:50" x14ac:dyDescent="0.25">
      <c r="A877" t="s">
        <v>3291</v>
      </c>
      <c r="B877" t="s">
        <v>1679</v>
      </c>
      <c r="C877">
        <v>0</v>
      </c>
      <c r="D877">
        <v>1</v>
      </c>
      <c r="E877" t="s">
        <v>1871</v>
      </c>
      <c r="H877">
        <v>1</v>
      </c>
      <c r="N877">
        <v>0</v>
      </c>
      <c r="Q877">
        <v>1</v>
      </c>
      <c r="R877">
        <v>1</v>
      </c>
      <c r="U877" t="s">
        <v>72</v>
      </c>
      <c r="V877">
        <v>63</v>
      </c>
      <c r="W877" t="s">
        <v>79</v>
      </c>
      <c r="X877" t="s">
        <v>321</v>
      </c>
      <c r="Y877">
        <v>0</v>
      </c>
      <c r="Z877">
        <v>100.7</v>
      </c>
      <c r="AB877" t="s">
        <v>56</v>
      </c>
      <c r="AD877" t="s">
        <v>57</v>
      </c>
      <c r="AE877">
        <v>0</v>
      </c>
      <c r="AF877">
        <v>6</v>
      </c>
      <c r="AG877">
        <v>1</v>
      </c>
      <c r="AH877">
        <v>3</v>
      </c>
      <c r="AI877">
        <v>512</v>
      </c>
      <c r="AJ877">
        <v>512</v>
      </c>
      <c r="AK877">
        <v>134</v>
      </c>
      <c r="AL877" t="s">
        <v>81</v>
      </c>
      <c r="AM877">
        <v>2.4</v>
      </c>
      <c r="AN877" t="s">
        <v>1786</v>
      </c>
      <c r="AO877" t="s">
        <v>67</v>
      </c>
      <c r="AP877" t="s">
        <v>1845</v>
      </c>
      <c r="AQ877">
        <v>15</v>
      </c>
      <c r="AR877">
        <v>297</v>
      </c>
      <c r="AS877">
        <v>595</v>
      </c>
      <c r="AT877">
        <v>4.7</v>
      </c>
      <c r="AU877">
        <v>8.952</v>
      </c>
      <c r="AV877" t="s">
        <v>3292</v>
      </c>
      <c r="AW877" t="s">
        <v>3257</v>
      </c>
      <c r="AX877" t="s">
        <v>3293</v>
      </c>
    </row>
    <row r="878" spans="1:50" x14ac:dyDescent="0.25">
      <c r="A878" t="s">
        <v>3294</v>
      </c>
      <c r="B878" t="s">
        <v>1679</v>
      </c>
      <c r="C878">
        <v>0</v>
      </c>
      <c r="D878">
        <v>0</v>
      </c>
      <c r="E878" t="s">
        <v>1698</v>
      </c>
      <c r="H878">
        <v>0</v>
      </c>
      <c r="N878">
        <v>1</v>
      </c>
      <c r="Q878">
        <v>0</v>
      </c>
      <c r="R878">
        <v>0</v>
      </c>
      <c r="U878" t="s">
        <v>1687</v>
      </c>
      <c r="V878">
        <v>63</v>
      </c>
      <c r="W878" t="s">
        <v>79</v>
      </c>
      <c r="X878" t="s">
        <v>80</v>
      </c>
      <c r="Y878">
        <v>0</v>
      </c>
      <c r="Z878">
        <v>58.06</v>
      </c>
      <c r="AB878" t="s">
        <v>74</v>
      </c>
      <c r="AD878" t="s">
        <v>57</v>
      </c>
      <c r="AE878">
        <v>0</v>
      </c>
      <c r="AF878">
        <v>6</v>
      </c>
      <c r="AG878">
        <v>1</v>
      </c>
      <c r="AH878">
        <v>1.5</v>
      </c>
      <c r="AI878">
        <v>512</v>
      </c>
      <c r="AJ878">
        <v>512</v>
      </c>
      <c r="AK878">
        <v>72</v>
      </c>
      <c r="AL878" t="s">
        <v>119</v>
      </c>
      <c r="AM878">
        <v>2.2000000000000002</v>
      </c>
      <c r="AN878" t="s">
        <v>1072</v>
      </c>
      <c r="AO878" t="s">
        <v>67</v>
      </c>
      <c r="AP878" t="s">
        <v>68</v>
      </c>
      <c r="AQ878">
        <v>15</v>
      </c>
      <c r="AR878">
        <v>264</v>
      </c>
      <c r="AS878">
        <v>528</v>
      </c>
      <c r="AT878">
        <v>4.2359999999999998</v>
      </c>
      <c r="AU878">
        <v>8.6679999999999993</v>
      </c>
      <c r="AV878" t="s">
        <v>3295</v>
      </c>
      <c r="AW878" t="s">
        <v>3296</v>
      </c>
      <c r="AX878" t="s">
        <v>3297</v>
      </c>
    </row>
    <row r="879" spans="1:50" x14ac:dyDescent="0.25">
      <c r="A879" t="s">
        <v>3298</v>
      </c>
      <c r="B879" t="s">
        <v>1679</v>
      </c>
      <c r="C879">
        <v>0</v>
      </c>
      <c r="D879">
        <v>0</v>
      </c>
      <c r="E879" t="s">
        <v>1686</v>
      </c>
      <c r="H879">
        <v>0</v>
      </c>
      <c r="N879">
        <v>0</v>
      </c>
      <c r="Q879">
        <v>0</v>
      </c>
      <c r="R879">
        <v>1</v>
      </c>
      <c r="U879" t="s">
        <v>65</v>
      </c>
      <c r="V879">
        <v>54</v>
      </c>
      <c r="W879" t="s">
        <v>79</v>
      </c>
      <c r="X879" t="s">
        <v>55</v>
      </c>
      <c r="Y879">
        <v>0</v>
      </c>
      <c r="Z879">
        <v>43.545000000000002</v>
      </c>
      <c r="AB879" t="s">
        <v>247</v>
      </c>
      <c r="AD879" t="s">
        <v>57</v>
      </c>
      <c r="AE879">
        <v>0</v>
      </c>
      <c r="AF879">
        <v>6</v>
      </c>
      <c r="AG879">
        <v>1</v>
      </c>
      <c r="AH879">
        <v>1.5</v>
      </c>
      <c r="AI879">
        <v>512</v>
      </c>
      <c r="AJ879">
        <v>512</v>
      </c>
      <c r="AK879">
        <v>66</v>
      </c>
      <c r="AL879" t="s">
        <v>2022</v>
      </c>
      <c r="AM879">
        <v>2.4</v>
      </c>
      <c r="AN879" t="s">
        <v>1942</v>
      </c>
      <c r="AO879" t="s">
        <v>67</v>
      </c>
      <c r="AP879" t="s">
        <v>68</v>
      </c>
      <c r="AQ879">
        <v>15</v>
      </c>
      <c r="AR879">
        <v>453</v>
      </c>
      <c r="AS879">
        <v>907</v>
      </c>
      <c r="AT879">
        <v>3.0840000000000001</v>
      </c>
      <c r="AU879">
        <v>6.3520000000000003</v>
      </c>
      <c r="AV879" t="s">
        <v>3299</v>
      </c>
      <c r="AW879" t="s">
        <v>3300</v>
      </c>
      <c r="AX879" t="s">
        <v>3301</v>
      </c>
    </row>
    <row r="880" spans="1:50" x14ac:dyDescent="0.25">
      <c r="A880" t="s">
        <v>3302</v>
      </c>
      <c r="B880" t="s">
        <v>1679</v>
      </c>
      <c r="C880">
        <v>0</v>
      </c>
      <c r="D880">
        <v>0</v>
      </c>
      <c r="E880" t="s">
        <v>1698</v>
      </c>
      <c r="H880">
        <v>0</v>
      </c>
      <c r="N880">
        <v>1</v>
      </c>
      <c r="Q880">
        <v>0</v>
      </c>
      <c r="R880">
        <v>1</v>
      </c>
      <c r="U880" t="s">
        <v>1687</v>
      </c>
      <c r="V880">
        <v>56</v>
      </c>
      <c r="W880" t="s">
        <v>79</v>
      </c>
      <c r="X880" t="s">
        <v>55</v>
      </c>
      <c r="Y880">
        <v>0</v>
      </c>
      <c r="Z880">
        <v>90.72</v>
      </c>
      <c r="AB880" t="s">
        <v>118</v>
      </c>
      <c r="AD880" t="s">
        <v>57</v>
      </c>
      <c r="AE880">
        <v>1</v>
      </c>
      <c r="AF880">
        <v>6</v>
      </c>
      <c r="AG880">
        <v>1</v>
      </c>
      <c r="AH880">
        <v>1.5</v>
      </c>
      <c r="AI880">
        <v>256</v>
      </c>
      <c r="AJ880">
        <v>256</v>
      </c>
      <c r="AK880">
        <v>256</v>
      </c>
      <c r="AL880" t="s">
        <v>446</v>
      </c>
      <c r="AM880">
        <v>0.80000099999999996</v>
      </c>
      <c r="AN880" t="s">
        <v>1720</v>
      </c>
      <c r="AO880" t="s">
        <v>67</v>
      </c>
      <c r="AP880" t="s">
        <v>89</v>
      </c>
      <c r="AQ880">
        <v>15</v>
      </c>
      <c r="AR880">
        <v>153</v>
      </c>
      <c r="AS880">
        <v>306</v>
      </c>
      <c r="AT880">
        <v>1.944</v>
      </c>
      <c r="AU880">
        <v>4.18</v>
      </c>
      <c r="AV880" t="s">
        <v>3303</v>
      </c>
      <c r="AW880" t="s">
        <v>3304</v>
      </c>
      <c r="AX880" t="s">
        <v>3305</v>
      </c>
    </row>
    <row r="881" spans="1:50" x14ac:dyDescent="0.25">
      <c r="A881" t="s">
        <v>3306</v>
      </c>
      <c r="B881" t="s">
        <v>1679</v>
      </c>
      <c r="C881">
        <v>0</v>
      </c>
      <c r="D881">
        <v>1</v>
      </c>
      <c r="E881" t="s">
        <v>1871</v>
      </c>
      <c r="H881">
        <v>1</v>
      </c>
      <c r="N881">
        <v>0</v>
      </c>
      <c r="Q881">
        <v>1</v>
      </c>
      <c r="R881">
        <v>0</v>
      </c>
      <c r="U881" t="s">
        <v>72</v>
      </c>
      <c r="V881">
        <v>41</v>
      </c>
      <c r="X881" t="s">
        <v>80</v>
      </c>
      <c r="Y881">
        <v>0</v>
      </c>
      <c r="Z881">
        <v>76.203999999999994</v>
      </c>
      <c r="AB881" t="s">
        <v>94</v>
      </c>
      <c r="AD881" t="s">
        <v>57</v>
      </c>
      <c r="AE881">
        <v>0</v>
      </c>
      <c r="AF881">
        <v>6</v>
      </c>
      <c r="AG881">
        <v>1</v>
      </c>
      <c r="AH881">
        <v>3</v>
      </c>
      <c r="AI881">
        <v>512</v>
      </c>
      <c r="AJ881">
        <v>512</v>
      </c>
      <c r="AK881">
        <v>80</v>
      </c>
      <c r="AL881" t="s">
        <v>66</v>
      </c>
      <c r="AM881">
        <v>2</v>
      </c>
      <c r="AN881" t="s">
        <v>1915</v>
      </c>
      <c r="AO881" t="s">
        <v>67</v>
      </c>
      <c r="AP881" t="s">
        <v>68</v>
      </c>
      <c r="AQ881">
        <v>15</v>
      </c>
      <c r="AR881">
        <v>403</v>
      </c>
      <c r="AS881">
        <v>806</v>
      </c>
      <c r="AT881">
        <v>2.1800000000000002</v>
      </c>
      <c r="AU881">
        <v>5.4470000000000001</v>
      </c>
      <c r="AV881" t="s">
        <v>3307</v>
      </c>
      <c r="AW881" t="s">
        <v>3249</v>
      </c>
      <c r="AX881" t="s">
        <v>3308</v>
      </c>
    </row>
    <row r="882" spans="1:50" x14ac:dyDescent="0.25">
      <c r="A882" t="s">
        <v>3309</v>
      </c>
      <c r="B882" t="s">
        <v>1679</v>
      </c>
      <c r="C882">
        <v>0</v>
      </c>
      <c r="D882">
        <v>0</v>
      </c>
      <c r="E882" t="s">
        <v>1703</v>
      </c>
      <c r="H882">
        <v>0</v>
      </c>
      <c r="N882">
        <v>1</v>
      </c>
      <c r="Q882">
        <v>0</v>
      </c>
      <c r="R882">
        <v>0</v>
      </c>
      <c r="U882" t="s">
        <v>1687</v>
      </c>
      <c r="V882">
        <v>39</v>
      </c>
      <c r="W882" t="s">
        <v>1726</v>
      </c>
      <c r="X882" t="s">
        <v>55</v>
      </c>
      <c r="Y882">
        <v>0</v>
      </c>
      <c r="Z882">
        <v>90.718485540000003</v>
      </c>
      <c r="AB882" t="s">
        <v>118</v>
      </c>
      <c r="AD882" t="s">
        <v>57</v>
      </c>
      <c r="AE882">
        <v>1</v>
      </c>
      <c r="AF882">
        <v>6</v>
      </c>
      <c r="AG882">
        <v>1</v>
      </c>
      <c r="AH882">
        <v>1.5</v>
      </c>
      <c r="AI882">
        <v>384</v>
      </c>
      <c r="AJ882">
        <v>384</v>
      </c>
      <c r="AK882">
        <v>160</v>
      </c>
      <c r="AL882" t="s">
        <v>1800</v>
      </c>
      <c r="AM882">
        <v>1</v>
      </c>
      <c r="AN882" t="s">
        <v>1741</v>
      </c>
      <c r="AO882" t="s">
        <v>59</v>
      </c>
      <c r="AP882" t="s">
        <v>60</v>
      </c>
      <c r="AQ882">
        <v>11</v>
      </c>
      <c r="AR882">
        <v>74</v>
      </c>
      <c r="AS882">
        <v>194</v>
      </c>
      <c r="AT882">
        <v>2.3199999999999998</v>
      </c>
      <c r="AU882">
        <v>5.15</v>
      </c>
      <c r="AV882" t="s">
        <v>3310</v>
      </c>
      <c r="AW882" t="s">
        <v>1759</v>
      </c>
      <c r="AX882" t="s">
        <v>3311</v>
      </c>
    </row>
    <row r="883" spans="1:50" x14ac:dyDescent="0.25">
      <c r="A883" t="s">
        <v>3312</v>
      </c>
      <c r="B883" t="s">
        <v>1679</v>
      </c>
      <c r="C883">
        <v>0</v>
      </c>
      <c r="D883">
        <v>0</v>
      </c>
      <c r="E883" t="s">
        <v>1734</v>
      </c>
      <c r="H883">
        <v>1</v>
      </c>
      <c r="N883">
        <v>1</v>
      </c>
      <c r="Q883">
        <v>1</v>
      </c>
      <c r="R883">
        <v>1</v>
      </c>
      <c r="U883" t="s">
        <v>1735</v>
      </c>
      <c r="V883">
        <v>54</v>
      </c>
      <c r="W883" t="s">
        <v>1688</v>
      </c>
      <c r="X883" t="s">
        <v>80</v>
      </c>
      <c r="Y883">
        <v>0</v>
      </c>
      <c r="Z883">
        <v>50.348999999999997</v>
      </c>
      <c r="AB883" t="s">
        <v>74</v>
      </c>
      <c r="AD883" t="s">
        <v>57</v>
      </c>
      <c r="AE883">
        <v>0</v>
      </c>
      <c r="AF883">
        <v>6</v>
      </c>
      <c r="AG883">
        <v>1</v>
      </c>
      <c r="AH883">
        <v>3</v>
      </c>
      <c r="AI883">
        <v>512</v>
      </c>
      <c r="AJ883">
        <v>512</v>
      </c>
      <c r="AK883">
        <v>134</v>
      </c>
      <c r="AL883" t="s">
        <v>66</v>
      </c>
      <c r="AM883">
        <v>2.4</v>
      </c>
      <c r="AN883" t="s">
        <v>1786</v>
      </c>
      <c r="AO883" t="s">
        <v>67</v>
      </c>
      <c r="AP883" t="s">
        <v>68</v>
      </c>
      <c r="AQ883">
        <v>15</v>
      </c>
      <c r="AR883">
        <v>581</v>
      </c>
      <c r="AS883">
        <v>1162</v>
      </c>
      <c r="AT883">
        <v>4.25</v>
      </c>
      <c r="AU883">
        <v>9.2780000000000005</v>
      </c>
      <c r="AV883" t="s">
        <v>3313</v>
      </c>
      <c r="AW883" t="s">
        <v>2302</v>
      </c>
      <c r="AX883" t="s">
        <v>3314</v>
      </c>
    </row>
    <row r="884" spans="1:50" x14ac:dyDescent="0.25">
      <c r="A884" t="s">
        <v>3315</v>
      </c>
      <c r="B884" t="s">
        <v>1679</v>
      </c>
      <c r="C884">
        <v>0</v>
      </c>
      <c r="D884">
        <v>1</v>
      </c>
      <c r="E884" t="s">
        <v>1703</v>
      </c>
      <c r="H884">
        <v>0</v>
      </c>
      <c r="N884">
        <v>1</v>
      </c>
      <c r="Q884">
        <v>0</v>
      </c>
      <c r="R884">
        <v>0</v>
      </c>
      <c r="U884" t="s">
        <v>1687</v>
      </c>
      <c r="V884">
        <v>31</v>
      </c>
      <c r="W884" t="s">
        <v>1688</v>
      </c>
      <c r="X884" t="s">
        <v>55</v>
      </c>
      <c r="Y884">
        <v>0</v>
      </c>
      <c r="AD884" t="s">
        <v>57</v>
      </c>
      <c r="AE884">
        <v>0</v>
      </c>
      <c r="AF884">
        <v>6</v>
      </c>
      <c r="AG884">
        <v>1</v>
      </c>
      <c r="AH884">
        <v>1.5</v>
      </c>
      <c r="AI884">
        <v>512</v>
      </c>
      <c r="AJ884">
        <v>512</v>
      </c>
      <c r="AK884">
        <v>64</v>
      </c>
      <c r="AL884" t="s">
        <v>81</v>
      </c>
      <c r="AM884">
        <v>2.5</v>
      </c>
      <c r="AN884" t="s">
        <v>1705</v>
      </c>
      <c r="AO884" t="s">
        <v>67</v>
      </c>
      <c r="AP884" t="s">
        <v>89</v>
      </c>
      <c r="AQ884">
        <v>15</v>
      </c>
      <c r="AR884">
        <v>274</v>
      </c>
      <c r="AS884">
        <v>548</v>
      </c>
      <c r="AT884">
        <v>2.528</v>
      </c>
      <c r="AU884">
        <v>5.3540000000000001</v>
      </c>
      <c r="AV884" t="s">
        <v>3316</v>
      </c>
      <c r="AW884" t="s">
        <v>3317</v>
      </c>
      <c r="AX884" t="s">
        <v>3318</v>
      </c>
    </row>
    <row r="885" spans="1:50" x14ac:dyDescent="0.25">
      <c r="A885" t="s">
        <v>3319</v>
      </c>
      <c r="B885" t="s">
        <v>1679</v>
      </c>
      <c r="C885">
        <v>0</v>
      </c>
      <c r="D885">
        <v>0</v>
      </c>
      <c r="E885" t="s">
        <v>1740</v>
      </c>
      <c r="H885">
        <v>0</v>
      </c>
      <c r="N885">
        <v>0</v>
      </c>
      <c r="Q885">
        <v>0</v>
      </c>
      <c r="R885">
        <v>0</v>
      </c>
      <c r="U885" t="s">
        <v>65</v>
      </c>
      <c r="V885">
        <v>64</v>
      </c>
      <c r="W885" t="s">
        <v>79</v>
      </c>
      <c r="X885" t="s">
        <v>111</v>
      </c>
      <c r="Y885">
        <v>0</v>
      </c>
      <c r="Z885">
        <v>48.081000000000003</v>
      </c>
      <c r="AB885" t="s">
        <v>247</v>
      </c>
      <c r="AD885" t="s">
        <v>57</v>
      </c>
      <c r="AE885">
        <v>0</v>
      </c>
      <c r="AF885">
        <v>6</v>
      </c>
      <c r="AG885">
        <v>1</v>
      </c>
      <c r="AH885">
        <v>1.5</v>
      </c>
      <c r="AI885">
        <v>512</v>
      </c>
      <c r="AJ885">
        <v>512</v>
      </c>
      <c r="AK885">
        <v>80</v>
      </c>
      <c r="AL885" t="s">
        <v>497</v>
      </c>
      <c r="AM885">
        <v>2</v>
      </c>
      <c r="AN885" t="s">
        <v>996</v>
      </c>
      <c r="AO885" t="s">
        <v>67</v>
      </c>
      <c r="AP885" t="s">
        <v>68</v>
      </c>
      <c r="AQ885">
        <v>15</v>
      </c>
      <c r="AR885">
        <v>136</v>
      </c>
      <c r="AS885">
        <v>272</v>
      </c>
      <c r="AT885">
        <v>2.7280000000000002</v>
      </c>
      <c r="AU885">
        <v>6.7720000000000002</v>
      </c>
      <c r="AV885" t="s">
        <v>3320</v>
      </c>
      <c r="AW885" t="s">
        <v>3321</v>
      </c>
      <c r="AX885" t="s">
        <v>3322</v>
      </c>
    </row>
    <row r="886" spans="1:50" x14ac:dyDescent="0.25">
      <c r="A886" t="s">
        <v>3323</v>
      </c>
      <c r="B886" t="s">
        <v>1679</v>
      </c>
      <c r="C886">
        <v>0</v>
      </c>
      <c r="D886">
        <v>0</v>
      </c>
      <c r="E886" t="s">
        <v>1698</v>
      </c>
      <c r="H886">
        <v>1</v>
      </c>
      <c r="N886">
        <v>0</v>
      </c>
      <c r="Q886">
        <v>0</v>
      </c>
      <c r="R886">
        <v>1</v>
      </c>
      <c r="U886" t="s">
        <v>65</v>
      </c>
      <c r="V886">
        <v>52</v>
      </c>
      <c r="W886" t="s">
        <v>79</v>
      </c>
      <c r="X886" t="s">
        <v>80</v>
      </c>
      <c r="Y886">
        <v>0</v>
      </c>
      <c r="Z886">
        <v>68.040000000000006</v>
      </c>
      <c r="AB886" t="s">
        <v>74</v>
      </c>
      <c r="AD886" t="s">
        <v>57</v>
      </c>
      <c r="AE886">
        <v>0</v>
      </c>
      <c r="AF886">
        <v>6</v>
      </c>
      <c r="AG886">
        <v>1</v>
      </c>
      <c r="AH886">
        <v>3</v>
      </c>
      <c r="AI886">
        <v>512</v>
      </c>
      <c r="AJ886">
        <v>512</v>
      </c>
      <c r="AK886">
        <v>134</v>
      </c>
      <c r="AL886" t="s">
        <v>119</v>
      </c>
      <c r="AM886">
        <v>2.4</v>
      </c>
      <c r="AN886" t="s">
        <v>1786</v>
      </c>
      <c r="AO886" t="s">
        <v>67</v>
      </c>
      <c r="AP886" t="s">
        <v>1979</v>
      </c>
      <c r="AQ886">
        <v>15</v>
      </c>
      <c r="AR886">
        <v>764</v>
      </c>
      <c r="AS886">
        <v>1528</v>
      </c>
      <c r="AT886">
        <v>4.78</v>
      </c>
      <c r="AU886">
        <v>9.06</v>
      </c>
      <c r="AV886" t="s">
        <v>3324</v>
      </c>
      <c r="AW886" t="s">
        <v>3325</v>
      </c>
      <c r="AX886" t="s">
        <v>3326</v>
      </c>
    </row>
    <row r="887" spans="1:50" x14ac:dyDescent="0.25">
      <c r="A887" t="s">
        <v>3327</v>
      </c>
      <c r="B887" t="s">
        <v>1679</v>
      </c>
      <c r="C887">
        <v>0</v>
      </c>
      <c r="D887">
        <v>1</v>
      </c>
      <c r="E887" t="s">
        <v>1780</v>
      </c>
      <c r="H887">
        <v>1</v>
      </c>
      <c r="N887">
        <v>0</v>
      </c>
      <c r="Q887">
        <v>0</v>
      </c>
      <c r="R887">
        <v>1</v>
      </c>
      <c r="U887" t="s">
        <v>65</v>
      </c>
      <c r="V887">
        <v>49</v>
      </c>
      <c r="W887" t="s">
        <v>79</v>
      </c>
      <c r="X887" t="s">
        <v>80</v>
      </c>
      <c r="Y887">
        <v>0</v>
      </c>
      <c r="AD887" t="s">
        <v>57</v>
      </c>
      <c r="AE887">
        <v>0</v>
      </c>
      <c r="AF887">
        <v>6</v>
      </c>
      <c r="AG887">
        <v>1</v>
      </c>
      <c r="AH887">
        <v>1.5</v>
      </c>
      <c r="AI887">
        <v>512</v>
      </c>
      <c r="AJ887">
        <v>512</v>
      </c>
      <c r="AK887">
        <v>80</v>
      </c>
      <c r="AL887" t="s">
        <v>81</v>
      </c>
      <c r="AM887">
        <v>2</v>
      </c>
      <c r="AN887" t="s">
        <v>1681</v>
      </c>
      <c r="AO887" t="s">
        <v>67</v>
      </c>
      <c r="AP887" t="s">
        <v>68</v>
      </c>
      <c r="AQ887">
        <v>15</v>
      </c>
      <c r="AR887">
        <v>291</v>
      </c>
      <c r="AS887">
        <v>582</v>
      </c>
      <c r="AT887">
        <v>2.6040000000000001</v>
      </c>
      <c r="AU887">
        <v>5.6239999999999997</v>
      </c>
      <c r="AV887" t="s">
        <v>3328</v>
      </c>
      <c r="AW887" t="s">
        <v>3329</v>
      </c>
      <c r="AX887" t="s">
        <v>3330</v>
      </c>
    </row>
    <row r="888" spans="1:50" x14ac:dyDescent="0.25">
      <c r="A888" t="s">
        <v>3331</v>
      </c>
      <c r="B888" t="s">
        <v>1679</v>
      </c>
      <c r="C888">
        <v>0</v>
      </c>
      <c r="D888">
        <v>1</v>
      </c>
      <c r="E888" t="s">
        <v>1871</v>
      </c>
      <c r="H888">
        <v>0</v>
      </c>
      <c r="N888">
        <v>1</v>
      </c>
      <c r="Q888">
        <v>1</v>
      </c>
      <c r="R888">
        <v>0</v>
      </c>
      <c r="U888" t="s">
        <v>1735</v>
      </c>
      <c r="V888">
        <v>46</v>
      </c>
      <c r="W888" t="s">
        <v>1688</v>
      </c>
      <c r="X888" t="s">
        <v>80</v>
      </c>
      <c r="Y888">
        <v>1</v>
      </c>
      <c r="Z888">
        <v>80</v>
      </c>
      <c r="AB888" t="s">
        <v>94</v>
      </c>
      <c r="AD888" t="s">
        <v>57</v>
      </c>
      <c r="AE888">
        <v>0</v>
      </c>
      <c r="AF888">
        <v>6</v>
      </c>
      <c r="AG888">
        <v>1</v>
      </c>
      <c r="AH888">
        <v>1.5</v>
      </c>
      <c r="AI888">
        <v>512</v>
      </c>
      <c r="AJ888">
        <v>512</v>
      </c>
      <c r="AK888">
        <v>160</v>
      </c>
      <c r="AL888" t="s">
        <v>1876</v>
      </c>
      <c r="AM888">
        <v>2</v>
      </c>
      <c r="AN888" t="s">
        <v>1877</v>
      </c>
      <c r="AO888" t="s">
        <v>1155</v>
      </c>
      <c r="AP888" t="s">
        <v>1767</v>
      </c>
      <c r="AQ888">
        <v>11</v>
      </c>
      <c r="AR888">
        <v>226</v>
      </c>
      <c r="AS888">
        <v>392</v>
      </c>
      <c r="AT888">
        <v>3.5459999999999998</v>
      </c>
      <c r="AU888">
        <v>7.1877000000000004</v>
      </c>
      <c r="AV888" t="s">
        <v>3332</v>
      </c>
      <c r="AW888" t="s">
        <v>3333</v>
      </c>
      <c r="AX888" t="s">
        <v>3334</v>
      </c>
    </row>
    <row r="889" spans="1:50" x14ac:dyDescent="0.25">
      <c r="A889" t="s">
        <v>3335</v>
      </c>
      <c r="B889" t="s">
        <v>1679</v>
      </c>
      <c r="C889">
        <v>0</v>
      </c>
      <c r="D889">
        <v>0</v>
      </c>
      <c r="E889" t="s">
        <v>1698</v>
      </c>
      <c r="H889">
        <v>0</v>
      </c>
      <c r="N889">
        <v>0</v>
      </c>
      <c r="Q889">
        <v>0</v>
      </c>
      <c r="R889">
        <v>0</v>
      </c>
      <c r="U889" t="s">
        <v>65</v>
      </c>
      <c r="V889">
        <v>50</v>
      </c>
      <c r="W889" t="s">
        <v>1688</v>
      </c>
      <c r="X889" t="s">
        <v>111</v>
      </c>
      <c r="Y889">
        <v>0</v>
      </c>
      <c r="Z889">
        <v>58.97</v>
      </c>
      <c r="AB889" t="s">
        <v>74</v>
      </c>
      <c r="AD889" t="s">
        <v>57</v>
      </c>
      <c r="AE889">
        <v>1</v>
      </c>
      <c r="AF889">
        <v>6</v>
      </c>
      <c r="AG889">
        <v>1</v>
      </c>
      <c r="AH889">
        <v>1.5</v>
      </c>
      <c r="AI889">
        <v>256</v>
      </c>
      <c r="AJ889">
        <v>256</v>
      </c>
      <c r="AK889">
        <v>248</v>
      </c>
      <c r="AL889" t="s">
        <v>446</v>
      </c>
      <c r="AM889">
        <v>0.89999799999999996</v>
      </c>
      <c r="AN889" t="s">
        <v>1720</v>
      </c>
      <c r="AO889" t="s">
        <v>67</v>
      </c>
      <c r="AP889" t="s">
        <v>89</v>
      </c>
      <c r="AQ889">
        <v>15</v>
      </c>
      <c r="AR889">
        <v>89</v>
      </c>
      <c r="AS889">
        <v>178</v>
      </c>
      <c r="AT889">
        <v>1.9239999999999999</v>
      </c>
      <c r="AU889">
        <v>4.1159999999999997</v>
      </c>
      <c r="AV889" t="s">
        <v>3336</v>
      </c>
      <c r="AW889" t="s">
        <v>3337</v>
      </c>
      <c r="AX889" t="s">
        <v>3338</v>
      </c>
    </row>
    <row r="890" spans="1:50" x14ac:dyDescent="0.25">
      <c r="A890" t="s">
        <v>3339</v>
      </c>
      <c r="B890" t="s">
        <v>1679</v>
      </c>
      <c r="C890">
        <v>0</v>
      </c>
      <c r="D890">
        <v>1</v>
      </c>
      <c r="E890" t="s">
        <v>1740</v>
      </c>
      <c r="H890">
        <v>0</v>
      </c>
      <c r="N890">
        <v>1</v>
      </c>
      <c r="Q890">
        <v>1</v>
      </c>
      <c r="R890">
        <v>0</v>
      </c>
      <c r="U890" t="s">
        <v>1735</v>
      </c>
      <c r="V890">
        <v>51</v>
      </c>
      <c r="X890" t="s">
        <v>80</v>
      </c>
      <c r="Y890">
        <v>0</v>
      </c>
      <c r="Z890">
        <v>86.183000000000007</v>
      </c>
      <c r="AB890" t="s">
        <v>118</v>
      </c>
      <c r="AD890" t="s">
        <v>57</v>
      </c>
      <c r="AE890">
        <v>0</v>
      </c>
      <c r="AF890">
        <v>6</v>
      </c>
      <c r="AG890">
        <v>1</v>
      </c>
      <c r="AH890">
        <v>1.5</v>
      </c>
      <c r="AI890">
        <v>512</v>
      </c>
      <c r="AJ890">
        <v>512</v>
      </c>
      <c r="AK890">
        <v>80</v>
      </c>
      <c r="AL890" t="s">
        <v>153</v>
      </c>
      <c r="AM890">
        <v>2</v>
      </c>
      <c r="AN890" t="s">
        <v>996</v>
      </c>
      <c r="AO890" t="s">
        <v>67</v>
      </c>
      <c r="AP890" t="s">
        <v>68</v>
      </c>
      <c r="AQ890">
        <v>15</v>
      </c>
      <c r="AR890">
        <v>96</v>
      </c>
      <c r="AS890">
        <v>193</v>
      </c>
      <c r="AT890">
        <v>4.2</v>
      </c>
      <c r="AU890">
        <v>7</v>
      </c>
      <c r="AV890" t="s">
        <v>3340</v>
      </c>
      <c r="AW890" t="s">
        <v>3341</v>
      </c>
      <c r="AX890" t="s">
        <v>3342</v>
      </c>
    </row>
    <row r="891" spans="1:50" x14ac:dyDescent="0.25">
      <c r="A891" t="s">
        <v>3343</v>
      </c>
      <c r="B891" t="s">
        <v>1679</v>
      </c>
      <c r="C891">
        <v>0</v>
      </c>
      <c r="D891">
        <v>0</v>
      </c>
      <c r="E891" t="s">
        <v>1703</v>
      </c>
      <c r="H891">
        <v>0</v>
      </c>
      <c r="N891">
        <v>1</v>
      </c>
      <c r="Q891">
        <v>0</v>
      </c>
      <c r="R891">
        <v>0</v>
      </c>
      <c r="U891" t="s">
        <v>1687</v>
      </c>
      <c r="V891">
        <v>31</v>
      </c>
      <c r="W891" t="s">
        <v>1688</v>
      </c>
      <c r="X891" t="s">
        <v>80</v>
      </c>
      <c r="Y891">
        <v>0</v>
      </c>
      <c r="Z891">
        <v>71.668000000000006</v>
      </c>
      <c r="AB891" t="s">
        <v>94</v>
      </c>
      <c r="AD891" t="s">
        <v>57</v>
      </c>
      <c r="AE891">
        <v>0</v>
      </c>
      <c r="AF891">
        <v>6</v>
      </c>
      <c r="AG891">
        <v>1</v>
      </c>
      <c r="AH891">
        <v>1.5</v>
      </c>
      <c r="AI891">
        <v>512</v>
      </c>
      <c r="AJ891">
        <v>512</v>
      </c>
      <c r="AK891">
        <v>72</v>
      </c>
      <c r="AL891" t="s">
        <v>119</v>
      </c>
      <c r="AM891">
        <v>2.2000000000000002</v>
      </c>
      <c r="AN891" t="s">
        <v>1072</v>
      </c>
      <c r="AO891" t="s">
        <v>67</v>
      </c>
      <c r="AP891" t="s">
        <v>68</v>
      </c>
      <c r="AQ891">
        <v>15</v>
      </c>
      <c r="AR891">
        <v>252</v>
      </c>
      <c r="AS891">
        <v>505</v>
      </c>
      <c r="AT891">
        <v>4.2359999999999998</v>
      </c>
      <c r="AU891">
        <v>8.6679999999999993</v>
      </c>
      <c r="AV891" t="s">
        <v>3344</v>
      </c>
      <c r="AW891" t="s">
        <v>3345</v>
      </c>
      <c r="AX891" t="s">
        <v>3346</v>
      </c>
    </row>
    <row r="892" spans="1:50" x14ac:dyDescent="0.25">
      <c r="A892" t="s">
        <v>3347</v>
      </c>
      <c r="B892" t="s">
        <v>1679</v>
      </c>
      <c r="C892">
        <v>0</v>
      </c>
      <c r="D892">
        <v>0</v>
      </c>
      <c r="E892" t="s">
        <v>1698</v>
      </c>
      <c r="H892">
        <v>0</v>
      </c>
      <c r="N892">
        <v>0</v>
      </c>
      <c r="Q892">
        <v>0</v>
      </c>
      <c r="R892">
        <v>0</v>
      </c>
      <c r="U892" t="s">
        <v>65</v>
      </c>
      <c r="V892">
        <v>54</v>
      </c>
      <c r="W892" t="s">
        <v>1704</v>
      </c>
      <c r="X892" t="s">
        <v>80</v>
      </c>
      <c r="Y892">
        <v>0</v>
      </c>
      <c r="Z892">
        <v>86.18</v>
      </c>
      <c r="AB892" t="s">
        <v>118</v>
      </c>
      <c r="AD892" t="s">
        <v>57</v>
      </c>
      <c r="AE892">
        <v>1</v>
      </c>
      <c r="AF892">
        <v>6</v>
      </c>
      <c r="AG892">
        <v>1</v>
      </c>
      <c r="AH892">
        <v>1.5</v>
      </c>
      <c r="AI892">
        <v>256</v>
      </c>
      <c r="AJ892">
        <v>256</v>
      </c>
      <c r="AK892">
        <v>248</v>
      </c>
      <c r="AL892" t="s">
        <v>3348</v>
      </c>
      <c r="AM892">
        <v>0.80000099999999996</v>
      </c>
      <c r="AN892" t="s">
        <v>1720</v>
      </c>
      <c r="AO892" t="s">
        <v>67</v>
      </c>
      <c r="AP892" t="s">
        <v>89</v>
      </c>
      <c r="AQ892">
        <v>15</v>
      </c>
      <c r="AR892">
        <v>382</v>
      </c>
      <c r="AS892">
        <v>764</v>
      </c>
      <c r="AT892">
        <v>1.9</v>
      </c>
      <c r="AU892">
        <v>4.1280000000000001</v>
      </c>
      <c r="AV892" t="s">
        <v>3349</v>
      </c>
      <c r="AW892" t="s">
        <v>3350</v>
      </c>
      <c r="AX892" t="s">
        <v>3351</v>
      </c>
    </row>
    <row r="893" spans="1:50" x14ac:dyDescent="0.25">
      <c r="A893" t="s">
        <v>3352</v>
      </c>
      <c r="B893" t="s">
        <v>1679</v>
      </c>
      <c r="C893">
        <v>0</v>
      </c>
      <c r="D893">
        <v>1</v>
      </c>
      <c r="E893" t="s">
        <v>1698</v>
      </c>
      <c r="H893">
        <v>1</v>
      </c>
      <c r="N893">
        <v>1</v>
      </c>
      <c r="Q893">
        <v>0</v>
      </c>
      <c r="R893">
        <v>1</v>
      </c>
      <c r="U893" t="s">
        <v>1687</v>
      </c>
      <c r="V893">
        <v>33</v>
      </c>
      <c r="W893" t="s">
        <v>1688</v>
      </c>
      <c r="X893" t="s">
        <v>80</v>
      </c>
      <c r="Y893">
        <v>0</v>
      </c>
      <c r="Z893">
        <v>70.307000000000002</v>
      </c>
      <c r="AB893" t="s">
        <v>94</v>
      </c>
      <c r="AD893" t="s">
        <v>57</v>
      </c>
      <c r="AE893">
        <v>0</v>
      </c>
      <c r="AF893">
        <v>6</v>
      </c>
      <c r="AG893">
        <v>1</v>
      </c>
      <c r="AH893">
        <v>1.5</v>
      </c>
      <c r="AI893">
        <v>512</v>
      </c>
      <c r="AJ893">
        <v>512</v>
      </c>
      <c r="AK893">
        <v>72</v>
      </c>
      <c r="AL893" t="s">
        <v>119</v>
      </c>
      <c r="AM893">
        <v>2.2000000000000002</v>
      </c>
      <c r="AN893" t="s">
        <v>1072</v>
      </c>
      <c r="AO893" t="s">
        <v>67</v>
      </c>
      <c r="AP893" t="s">
        <v>68</v>
      </c>
      <c r="AQ893">
        <v>15</v>
      </c>
      <c r="AR893">
        <v>305</v>
      </c>
      <c r="AS893">
        <v>611</v>
      </c>
      <c r="AT893">
        <v>4.2359999999999998</v>
      </c>
      <c r="AU893">
        <v>8.6679999999999993</v>
      </c>
      <c r="AV893" t="s">
        <v>3353</v>
      </c>
      <c r="AW893" t="s">
        <v>3354</v>
      </c>
      <c r="AX893" t="s">
        <v>3355</v>
      </c>
    </row>
    <row r="894" spans="1:50" x14ac:dyDescent="0.25">
      <c r="A894" t="s">
        <v>3356</v>
      </c>
      <c r="B894" t="s">
        <v>1679</v>
      </c>
      <c r="C894">
        <v>0</v>
      </c>
      <c r="D894">
        <v>1</v>
      </c>
      <c r="E894" t="s">
        <v>1703</v>
      </c>
      <c r="H894">
        <v>1</v>
      </c>
      <c r="N894">
        <v>0</v>
      </c>
      <c r="Q894">
        <v>0</v>
      </c>
      <c r="R894">
        <v>1</v>
      </c>
      <c r="U894" t="s">
        <v>65</v>
      </c>
      <c r="V894">
        <v>47</v>
      </c>
      <c r="W894" t="s">
        <v>1704</v>
      </c>
      <c r="X894" t="s">
        <v>80</v>
      </c>
      <c r="Y894">
        <v>0</v>
      </c>
      <c r="Z894">
        <v>72.575000000000003</v>
      </c>
      <c r="AB894" t="s">
        <v>94</v>
      </c>
      <c r="AD894" t="s">
        <v>57</v>
      </c>
      <c r="AE894">
        <v>0</v>
      </c>
      <c r="AF894">
        <v>6</v>
      </c>
      <c r="AG894">
        <v>1</v>
      </c>
      <c r="AH894">
        <v>1.5</v>
      </c>
      <c r="AI894">
        <v>512</v>
      </c>
      <c r="AJ894">
        <v>512</v>
      </c>
      <c r="AK894">
        <v>80</v>
      </c>
      <c r="AL894" t="s">
        <v>196</v>
      </c>
      <c r="AM894">
        <v>2</v>
      </c>
      <c r="AN894" t="s">
        <v>996</v>
      </c>
      <c r="AO894" t="s">
        <v>67</v>
      </c>
      <c r="AP894" t="s">
        <v>68</v>
      </c>
      <c r="AQ894">
        <v>15</v>
      </c>
      <c r="AR894">
        <v>90</v>
      </c>
      <c r="AS894">
        <v>180</v>
      </c>
      <c r="AT894">
        <v>4.2</v>
      </c>
      <c r="AU894">
        <v>7</v>
      </c>
      <c r="AV894" t="s">
        <v>3357</v>
      </c>
      <c r="AW894" t="s">
        <v>3183</v>
      </c>
      <c r="AX894" t="s">
        <v>3358</v>
      </c>
    </row>
    <row r="895" spans="1:50" x14ac:dyDescent="0.25">
      <c r="A895" t="s">
        <v>3359</v>
      </c>
      <c r="B895" t="s">
        <v>1679</v>
      </c>
      <c r="C895">
        <v>0</v>
      </c>
      <c r="D895">
        <v>0</v>
      </c>
      <c r="E895" t="s">
        <v>1725</v>
      </c>
      <c r="H895">
        <v>0</v>
      </c>
      <c r="N895">
        <v>0</v>
      </c>
      <c r="Q895">
        <v>0</v>
      </c>
      <c r="R895">
        <v>1</v>
      </c>
      <c r="U895" t="s">
        <v>65</v>
      </c>
      <c r="V895">
        <v>39</v>
      </c>
      <c r="X895" t="s">
        <v>55</v>
      </c>
      <c r="Y895">
        <v>0</v>
      </c>
      <c r="Z895">
        <v>84</v>
      </c>
      <c r="AB895" t="s">
        <v>118</v>
      </c>
      <c r="AD895" t="s">
        <v>57</v>
      </c>
      <c r="AE895">
        <v>0</v>
      </c>
      <c r="AF895">
        <v>6</v>
      </c>
      <c r="AG895">
        <v>1</v>
      </c>
      <c r="AH895">
        <v>1.5</v>
      </c>
      <c r="AI895">
        <v>400</v>
      </c>
      <c r="AJ895">
        <v>400</v>
      </c>
      <c r="AK895">
        <v>64</v>
      </c>
      <c r="AL895" t="s">
        <v>1924</v>
      </c>
      <c r="AM895">
        <v>2.5</v>
      </c>
      <c r="AN895" t="s">
        <v>1531</v>
      </c>
      <c r="AO895" t="s">
        <v>1155</v>
      </c>
      <c r="AP895" t="s">
        <v>1767</v>
      </c>
      <c r="AQ895">
        <v>11</v>
      </c>
      <c r="AR895">
        <v>527.70000000000005</v>
      </c>
      <c r="AS895">
        <v>917.59</v>
      </c>
      <c r="AT895">
        <v>4.6040000000000001</v>
      </c>
      <c r="AU895">
        <v>7.2138</v>
      </c>
      <c r="AV895" t="s">
        <v>3360</v>
      </c>
      <c r="AW895" t="s">
        <v>3361</v>
      </c>
      <c r="AX895" t="s">
        <v>3362</v>
      </c>
    </row>
    <row r="896" spans="1:50" x14ac:dyDescent="0.25">
      <c r="A896" t="s">
        <v>3363</v>
      </c>
      <c r="B896" t="s">
        <v>1679</v>
      </c>
      <c r="C896">
        <v>0</v>
      </c>
      <c r="D896">
        <v>1</v>
      </c>
      <c r="E896" t="s">
        <v>1734</v>
      </c>
      <c r="H896">
        <v>1</v>
      </c>
      <c r="N896">
        <v>0</v>
      </c>
      <c r="Q896">
        <v>1</v>
      </c>
      <c r="R896">
        <v>1</v>
      </c>
      <c r="U896" t="s">
        <v>72</v>
      </c>
      <c r="V896">
        <v>34</v>
      </c>
      <c r="W896" t="s">
        <v>1688</v>
      </c>
      <c r="X896" t="s">
        <v>80</v>
      </c>
      <c r="Y896">
        <v>0</v>
      </c>
      <c r="Z896">
        <v>69.853233865799993</v>
      </c>
      <c r="AB896" t="s">
        <v>94</v>
      </c>
      <c r="AD896" t="s">
        <v>57</v>
      </c>
      <c r="AE896">
        <v>0</v>
      </c>
      <c r="AF896">
        <v>6</v>
      </c>
      <c r="AG896">
        <v>1</v>
      </c>
      <c r="AH896">
        <v>1.5</v>
      </c>
      <c r="AI896">
        <v>512</v>
      </c>
      <c r="AJ896">
        <v>512</v>
      </c>
      <c r="AK896">
        <v>80</v>
      </c>
      <c r="AL896" t="s">
        <v>1010</v>
      </c>
      <c r="AM896">
        <v>2</v>
      </c>
      <c r="AN896" t="s">
        <v>1011</v>
      </c>
      <c r="AO896" t="s">
        <v>59</v>
      </c>
      <c r="AP896" t="s">
        <v>60</v>
      </c>
      <c r="AQ896">
        <v>11</v>
      </c>
      <c r="AR896">
        <v>57</v>
      </c>
      <c r="AS896">
        <v>153</v>
      </c>
      <c r="AT896">
        <v>1.67</v>
      </c>
      <c r="AU896">
        <v>4.51</v>
      </c>
      <c r="AV896" t="s">
        <v>3364</v>
      </c>
      <c r="AW896" t="s">
        <v>3365</v>
      </c>
      <c r="AX896" t="s">
        <v>3366</v>
      </c>
    </row>
    <row r="897" spans="1:50" x14ac:dyDescent="0.25">
      <c r="A897" t="s">
        <v>3367</v>
      </c>
      <c r="B897" t="s">
        <v>1679</v>
      </c>
      <c r="C897">
        <v>0</v>
      </c>
      <c r="D897">
        <v>1</v>
      </c>
      <c r="E897" t="s">
        <v>1839</v>
      </c>
      <c r="H897">
        <v>1</v>
      </c>
      <c r="N897">
        <v>1</v>
      </c>
      <c r="Q897">
        <v>1</v>
      </c>
      <c r="R897">
        <v>0</v>
      </c>
      <c r="U897" t="s">
        <v>1735</v>
      </c>
      <c r="V897">
        <v>42</v>
      </c>
      <c r="W897" t="s">
        <v>1688</v>
      </c>
      <c r="X897" t="s">
        <v>80</v>
      </c>
      <c r="Y897">
        <v>0</v>
      </c>
      <c r="Z897">
        <v>49.442</v>
      </c>
      <c r="AB897" t="s">
        <v>247</v>
      </c>
      <c r="AD897" t="s">
        <v>57</v>
      </c>
      <c r="AE897">
        <v>0</v>
      </c>
      <c r="AF897">
        <v>6</v>
      </c>
      <c r="AG897">
        <v>1</v>
      </c>
      <c r="AH897">
        <v>1.5</v>
      </c>
      <c r="AI897">
        <v>512</v>
      </c>
      <c r="AJ897">
        <v>512</v>
      </c>
      <c r="AK897">
        <v>72</v>
      </c>
      <c r="AL897" t="s">
        <v>66</v>
      </c>
      <c r="AM897">
        <v>2.2000000000000002</v>
      </c>
      <c r="AN897" t="s">
        <v>1072</v>
      </c>
      <c r="AO897" t="s">
        <v>67</v>
      </c>
      <c r="AP897" t="s">
        <v>68</v>
      </c>
      <c r="AQ897">
        <v>15</v>
      </c>
      <c r="AR897">
        <v>407</v>
      </c>
      <c r="AS897">
        <v>814</v>
      </c>
      <c r="AT897">
        <v>4.3959999999999999</v>
      </c>
      <c r="AU897">
        <v>8.9640000000000004</v>
      </c>
      <c r="AV897" t="s">
        <v>3368</v>
      </c>
      <c r="AW897" t="s">
        <v>2769</v>
      </c>
      <c r="AX897" t="s">
        <v>3369</v>
      </c>
    </row>
    <row r="898" spans="1:50" x14ac:dyDescent="0.25">
      <c r="A898" t="s">
        <v>3370</v>
      </c>
      <c r="B898" t="s">
        <v>1679</v>
      </c>
      <c r="C898">
        <v>0</v>
      </c>
      <c r="D898">
        <v>1</v>
      </c>
      <c r="E898" t="s">
        <v>1703</v>
      </c>
      <c r="H898">
        <v>0</v>
      </c>
      <c r="N898">
        <v>1</v>
      </c>
      <c r="Q898">
        <v>0</v>
      </c>
      <c r="R898">
        <v>0</v>
      </c>
      <c r="U898" t="s">
        <v>1687</v>
      </c>
      <c r="V898">
        <v>71</v>
      </c>
      <c r="W898" t="s">
        <v>79</v>
      </c>
      <c r="X898" t="s">
        <v>80</v>
      </c>
      <c r="Y898">
        <v>0</v>
      </c>
      <c r="AD898" t="s">
        <v>57</v>
      </c>
      <c r="AE898">
        <v>0</v>
      </c>
      <c r="AF898">
        <v>6</v>
      </c>
      <c r="AG898">
        <v>1</v>
      </c>
      <c r="AH898">
        <v>1.5</v>
      </c>
      <c r="AI898">
        <v>512</v>
      </c>
      <c r="AJ898">
        <v>512</v>
      </c>
      <c r="AK898">
        <v>80</v>
      </c>
      <c r="AL898" t="s">
        <v>196</v>
      </c>
      <c r="AM898">
        <v>2</v>
      </c>
      <c r="AN898" t="s">
        <v>1681</v>
      </c>
      <c r="AO898" t="s">
        <v>67</v>
      </c>
      <c r="AP898" t="s">
        <v>68</v>
      </c>
      <c r="AQ898">
        <v>15</v>
      </c>
      <c r="AR898">
        <v>360</v>
      </c>
      <c r="AS898">
        <v>721</v>
      </c>
      <c r="AT898">
        <v>2.6440000000000001</v>
      </c>
      <c r="AU898">
        <v>6.0659999999999998</v>
      </c>
      <c r="AV898" t="s">
        <v>3371</v>
      </c>
      <c r="AW898" t="s">
        <v>3372</v>
      </c>
      <c r="AX898" t="s">
        <v>3373</v>
      </c>
    </row>
    <row r="899" spans="1:50" x14ac:dyDescent="0.25">
      <c r="A899" t="s">
        <v>3374</v>
      </c>
      <c r="B899" t="s">
        <v>1679</v>
      </c>
      <c r="C899">
        <v>0</v>
      </c>
      <c r="D899">
        <v>1</v>
      </c>
      <c r="E899" t="s">
        <v>1839</v>
      </c>
      <c r="H899">
        <v>1</v>
      </c>
      <c r="N899">
        <v>1</v>
      </c>
      <c r="Q899">
        <v>1</v>
      </c>
      <c r="R899">
        <v>1</v>
      </c>
      <c r="U899" t="s">
        <v>1735</v>
      </c>
      <c r="V899">
        <v>70</v>
      </c>
      <c r="W899" t="s">
        <v>79</v>
      </c>
      <c r="X899" t="s">
        <v>80</v>
      </c>
      <c r="Y899">
        <v>0</v>
      </c>
      <c r="AD899" t="s">
        <v>57</v>
      </c>
      <c r="AE899">
        <v>1</v>
      </c>
      <c r="AF899">
        <v>6</v>
      </c>
      <c r="AG899">
        <v>1</v>
      </c>
      <c r="AH899">
        <v>1.5</v>
      </c>
      <c r="AI899">
        <v>384</v>
      </c>
      <c r="AJ899">
        <v>384</v>
      </c>
      <c r="AK899">
        <v>160</v>
      </c>
      <c r="AL899" t="s">
        <v>1394</v>
      </c>
      <c r="AM899">
        <v>1</v>
      </c>
      <c r="AN899" t="s">
        <v>1728</v>
      </c>
      <c r="AO899" t="s">
        <v>59</v>
      </c>
      <c r="AP899" t="s">
        <v>1729</v>
      </c>
      <c r="AQ899">
        <v>11</v>
      </c>
      <c r="AR899">
        <v>55</v>
      </c>
      <c r="AS899">
        <v>152</v>
      </c>
      <c r="AT899">
        <v>1.81</v>
      </c>
      <c r="AU899">
        <v>5.05</v>
      </c>
      <c r="AV899" t="s">
        <v>1730</v>
      </c>
      <c r="AW899" t="s">
        <v>3375</v>
      </c>
      <c r="AX899" t="s">
        <v>3376</v>
      </c>
    </row>
    <row r="900" spans="1:50" x14ac:dyDescent="0.25">
      <c r="A900" t="s">
        <v>3377</v>
      </c>
      <c r="B900" t="s">
        <v>1679</v>
      </c>
      <c r="C900">
        <v>0</v>
      </c>
      <c r="D900">
        <v>0</v>
      </c>
      <c r="E900" t="s">
        <v>1703</v>
      </c>
      <c r="H900">
        <v>0</v>
      </c>
      <c r="N900">
        <v>0</v>
      </c>
      <c r="Q900">
        <v>0</v>
      </c>
      <c r="R900">
        <v>1</v>
      </c>
      <c r="U900" t="s">
        <v>65</v>
      </c>
      <c r="V900">
        <v>37</v>
      </c>
      <c r="W900" t="s">
        <v>1688</v>
      </c>
      <c r="X900" t="s">
        <v>80</v>
      </c>
      <c r="Y900">
        <v>0</v>
      </c>
      <c r="Z900">
        <v>102.06</v>
      </c>
      <c r="AB900" t="s">
        <v>56</v>
      </c>
      <c r="AD900" t="s">
        <v>57</v>
      </c>
      <c r="AE900">
        <v>0</v>
      </c>
      <c r="AF900">
        <v>6</v>
      </c>
      <c r="AG900">
        <v>1</v>
      </c>
      <c r="AH900">
        <v>1.5</v>
      </c>
      <c r="AI900">
        <v>512</v>
      </c>
      <c r="AJ900">
        <v>512</v>
      </c>
      <c r="AK900">
        <v>76</v>
      </c>
      <c r="AL900" t="s">
        <v>196</v>
      </c>
      <c r="AM900">
        <v>2.1</v>
      </c>
      <c r="AN900" t="s">
        <v>996</v>
      </c>
      <c r="AO900" t="s">
        <v>67</v>
      </c>
      <c r="AP900" t="s">
        <v>68</v>
      </c>
      <c r="AQ900">
        <v>15</v>
      </c>
      <c r="AR900">
        <v>48</v>
      </c>
      <c r="AS900">
        <v>97</v>
      </c>
      <c r="AT900">
        <v>4.2</v>
      </c>
      <c r="AU900">
        <v>7.032</v>
      </c>
      <c r="AV900" t="s">
        <v>3378</v>
      </c>
      <c r="AW900" t="s">
        <v>3379</v>
      </c>
      <c r="AX900" t="s">
        <v>3380</v>
      </c>
    </row>
    <row r="901" spans="1:50" x14ac:dyDescent="0.25">
      <c r="A901" t="s">
        <v>3381</v>
      </c>
      <c r="B901" t="s">
        <v>1679</v>
      </c>
      <c r="C901">
        <v>0</v>
      </c>
      <c r="D901">
        <v>1</v>
      </c>
      <c r="E901" t="s">
        <v>1686</v>
      </c>
      <c r="H901">
        <v>0</v>
      </c>
      <c r="N901">
        <v>1</v>
      </c>
      <c r="Q901">
        <v>0</v>
      </c>
      <c r="R901">
        <v>0</v>
      </c>
      <c r="U901" t="s">
        <v>1687</v>
      </c>
      <c r="V901">
        <v>66</v>
      </c>
      <c r="W901" t="s">
        <v>79</v>
      </c>
      <c r="X901" t="s">
        <v>80</v>
      </c>
      <c r="Y901">
        <v>0</v>
      </c>
      <c r="Z901">
        <v>63.502939877999999</v>
      </c>
      <c r="AA901">
        <v>1.6002032024999999</v>
      </c>
      <c r="AB901" t="s">
        <v>74</v>
      </c>
      <c r="AD901" t="s">
        <v>57</v>
      </c>
      <c r="AE901">
        <v>0</v>
      </c>
      <c r="AF901">
        <v>6</v>
      </c>
      <c r="AG901">
        <v>1</v>
      </c>
      <c r="AH901">
        <v>3</v>
      </c>
      <c r="AI901">
        <v>512</v>
      </c>
      <c r="AJ901">
        <v>512</v>
      </c>
      <c r="AK901">
        <v>124</v>
      </c>
      <c r="AL901" t="s">
        <v>1861</v>
      </c>
      <c r="AM901">
        <v>1.2999999523000001</v>
      </c>
      <c r="AN901" t="s">
        <v>1741</v>
      </c>
      <c r="AO901" t="s">
        <v>59</v>
      </c>
      <c r="AP901" t="s">
        <v>1862</v>
      </c>
      <c r="AQ901">
        <v>11</v>
      </c>
      <c r="AR901">
        <v>68</v>
      </c>
      <c r="AS901">
        <v>187</v>
      </c>
      <c r="AT901">
        <v>1.82</v>
      </c>
      <c r="AU901">
        <v>4.72</v>
      </c>
      <c r="AV901" t="s">
        <v>2348</v>
      </c>
      <c r="AW901" t="s">
        <v>3382</v>
      </c>
      <c r="AX901" t="s">
        <v>3383</v>
      </c>
    </row>
    <row r="902" spans="1:50" x14ac:dyDescent="0.25">
      <c r="A902" t="s">
        <v>3384</v>
      </c>
      <c r="B902" t="s">
        <v>1679</v>
      </c>
      <c r="C902">
        <v>0</v>
      </c>
      <c r="D902">
        <v>1</v>
      </c>
      <c r="E902" t="s">
        <v>1703</v>
      </c>
      <c r="H902">
        <v>0</v>
      </c>
      <c r="N902">
        <v>1</v>
      </c>
      <c r="Q902">
        <v>0</v>
      </c>
      <c r="R902">
        <v>0</v>
      </c>
      <c r="U902" t="s">
        <v>1687</v>
      </c>
      <c r="V902">
        <v>40</v>
      </c>
      <c r="W902" t="s">
        <v>1688</v>
      </c>
      <c r="X902" t="s">
        <v>80</v>
      </c>
      <c r="Y902">
        <v>0</v>
      </c>
      <c r="AD902" t="s">
        <v>57</v>
      </c>
      <c r="AE902">
        <v>1</v>
      </c>
      <c r="AF902">
        <v>6</v>
      </c>
      <c r="AG902">
        <v>1</v>
      </c>
      <c r="AH902">
        <v>1.5</v>
      </c>
      <c r="AI902">
        <v>384</v>
      </c>
      <c r="AJ902">
        <v>384</v>
      </c>
      <c r="AK902">
        <v>160</v>
      </c>
      <c r="AL902" t="s">
        <v>2036</v>
      </c>
      <c r="AM902">
        <v>1</v>
      </c>
      <c r="AN902" t="s">
        <v>1728</v>
      </c>
      <c r="AO902" t="s">
        <v>59</v>
      </c>
      <c r="AP902" t="s">
        <v>1729</v>
      </c>
      <c r="AQ902">
        <v>11</v>
      </c>
      <c r="AR902">
        <v>64</v>
      </c>
      <c r="AS902">
        <v>172</v>
      </c>
      <c r="AT902">
        <v>1.81</v>
      </c>
      <c r="AU902">
        <v>5.05</v>
      </c>
      <c r="AV902" t="s">
        <v>1817</v>
      </c>
      <c r="AW902" t="s">
        <v>3385</v>
      </c>
      <c r="AX902" t="s">
        <v>3386</v>
      </c>
    </row>
    <row r="903" spans="1:50" x14ac:dyDescent="0.25">
      <c r="A903" t="s">
        <v>3387</v>
      </c>
      <c r="B903" t="s">
        <v>1679</v>
      </c>
      <c r="C903">
        <v>0</v>
      </c>
      <c r="D903">
        <v>1</v>
      </c>
      <c r="E903" t="s">
        <v>1686</v>
      </c>
      <c r="H903">
        <v>1</v>
      </c>
      <c r="N903">
        <v>0</v>
      </c>
      <c r="Q903">
        <v>0</v>
      </c>
      <c r="R903">
        <v>1</v>
      </c>
      <c r="U903" t="s">
        <v>65</v>
      </c>
      <c r="V903">
        <v>41</v>
      </c>
      <c r="W903" t="s">
        <v>1688</v>
      </c>
      <c r="X903" t="s">
        <v>80</v>
      </c>
      <c r="Y903">
        <v>0</v>
      </c>
      <c r="Z903">
        <v>113.39810692499999</v>
      </c>
      <c r="AB903" t="s">
        <v>269</v>
      </c>
      <c r="AD903" t="s">
        <v>57</v>
      </c>
      <c r="AE903">
        <v>0</v>
      </c>
      <c r="AF903">
        <v>6</v>
      </c>
      <c r="AG903">
        <v>1</v>
      </c>
      <c r="AH903">
        <v>1.5</v>
      </c>
      <c r="AI903">
        <v>512</v>
      </c>
      <c r="AJ903">
        <v>512</v>
      </c>
      <c r="AK903">
        <v>80</v>
      </c>
      <c r="AL903" t="s">
        <v>1010</v>
      </c>
      <c r="AM903">
        <v>2</v>
      </c>
      <c r="AN903" t="s">
        <v>1011</v>
      </c>
      <c r="AO903" t="s">
        <v>59</v>
      </c>
      <c r="AP903" t="s">
        <v>60</v>
      </c>
      <c r="AQ903">
        <v>11</v>
      </c>
      <c r="AR903">
        <v>146</v>
      </c>
      <c r="AS903">
        <v>350</v>
      </c>
      <c r="AT903">
        <v>1.81</v>
      </c>
      <c r="AU903">
        <v>4.33</v>
      </c>
      <c r="AV903" t="s">
        <v>3388</v>
      </c>
      <c r="AW903" t="s">
        <v>3389</v>
      </c>
      <c r="AX903" t="s">
        <v>3390</v>
      </c>
    </row>
    <row r="904" spans="1:50" x14ac:dyDescent="0.25">
      <c r="A904" t="s">
        <v>3391</v>
      </c>
      <c r="B904" t="s">
        <v>1679</v>
      </c>
      <c r="C904">
        <v>0</v>
      </c>
      <c r="D904">
        <v>1</v>
      </c>
      <c r="E904" t="s">
        <v>1839</v>
      </c>
      <c r="H904">
        <v>0</v>
      </c>
      <c r="N904">
        <v>0</v>
      </c>
      <c r="Q904">
        <v>1</v>
      </c>
      <c r="R904">
        <v>1</v>
      </c>
      <c r="U904" t="s">
        <v>72</v>
      </c>
      <c r="V904">
        <v>58</v>
      </c>
      <c r="W904" t="s">
        <v>79</v>
      </c>
      <c r="X904" t="s">
        <v>111</v>
      </c>
      <c r="Y904">
        <v>1</v>
      </c>
      <c r="AD904" t="s">
        <v>57</v>
      </c>
      <c r="AE904">
        <v>0</v>
      </c>
      <c r="AF904">
        <v>6</v>
      </c>
      <c r="AG904">
        <v>1</v>
      </c>
      <c r="AH904">
        <v>3</v>
      </c>
      <c r="AI904">
        <v>416</v>
      </c>
      <c r="AJ904">
        <v>416</v>
      </c>
      <c r="AK904">
        <v>64</v>
      </c>
      <c r="AL904" t="s">
        <v>3392</v>
      </c>
      <c r="AM904">
        <v>2.5</v>
      </c>
      <c r="AN904" t="s">
        <v>1114</v>
      </c>
      <c r="AO904" t="s">
        <v>59</v>
      </c>
      <c r="AP904" t="s">
        <v>1781</v>
      </c>
      <c r="AQ904">
        <v>11</v>
      </c>
      <c r="AR904">
        <v>37</v>
      </c>
      <c r="AS904">
        <v>102</v>
      </c>
      <c r="AT904">
        <v>1.46</v>
      </c>
      <c r="AU904">
        <v>4.74</v>
      </c>
      <c r="AV904" t="s">
        <v>3393</v>
      </c>
      <c r="AW904" t="s">
        <v>3394</v>
      </c>
      <c r="AX904" t="s">
        <v>3395</v>
      </c>
    </row>
    <row r="905" spans="1:50" x14ac:dyDescent="0.25">
      <c r="A905" t="s">
        <v>3396</v>
      </c>
      <c r="B905" t="s">
        <v>1679</v>
      </c>
      <c r="C905">
        <v>0</v>
      </c>
      <c r="D905">
        <v>1</v>
      </c>
      <c r="E905" t="s">
        <v>1698</v>
      </c>
      <c r="H905">
        <v>0</v>
      </c>
      <c r="N905">
        <v>1</v>
      </c>
      <c r="Q905">
        <v>0</v>
      </c>
      <c r="R905">
        <v>0</v>
      </c>
      <c r="U905" t="s">
        <v>1687</v>
      </c>
      <c r="V905">
        <v>50</v>
      </c>
      <c r="W905" t="s">
        <v>1688</v>
      </c>
      <c r="X905" t="s">
        <v>80</v>
      </c>
      <c r="Y905">
        <v>0</v>
      </c>
      <c r="Z905">
        <v>56.7</v>
      </c>
      <c r="AB905" t="s">
        <v>74</v>
      </c>
      <c r="AD905" t="s">
        <v>57</v>
      </c>
      <c r="AE905">
        <v>0</v>
      </c>
      <c r="AF905">
        <v>6</v>
      </c>
      <c r="AG905">
        <v>1</v>
      </c>
      <c r="AH905">
        <v>1.5</v>
      </c>
      <c r="AI905">
        <v>512</v>
      </c>
      <c r="AJ905">
        <v>512</v>
      </c>
      <c r="AK905">
        <v>80</v>
      </c>
      <c r="AL905" t="s">
        <v>497</v>
      </c>
      <c r="AM905">
        <v>2</v>
      </c>
      <c r="AN905" t="s">
        <v>996</v>
      </c>
      <c r="AO905" t="s">
        <v>67</v>
      </c>
      <c r="AP905" t="s">
        <v>68</v>
      </c>
      <c r="AQ905">
        <v>15</v>
      </c>
      <c r="AR905">
        <v>64</v>
      </c>
      <c r="AS905">
        <v>129</v>
      </c>
      <c r="AT905">
        <v>4.2</v>
      </c>
      <c r="AU905">
        <v>7.0960000000000001</v>
      </c>
      <c r="AV905" t="s">
        <v>3397</v>
      </c>
      <c r="AW905" t="s">
        <v>3398</v>
      </c>
      <c r="AX905" t="s">
        <v>3399</v>
      </c>
    </row>
    <row r="906" spans="1:50" x14ac:dyDescent="0.25">
      <c r="A906" t="s">
        <v>3400</v>
      </c>
      <c r="B906" t="s">
        <v>1679</v>
      </c>
      <c r="C906">
        <v>0</v>
      </c>
      <c r="D906">
        <v>0</v>
      </c>
      <c r="E906" t="s">
        <v>1698</v>
      </c>
      <c r="H906">
        <v>1</v>
      </c>
      <c r="N906">
        <v>0</v>
      </c>
      <c r="Q906">
        <v>0</v>
      </c>
      <c r="R906">
        <v>1</v>
      </c>
      <c r="U906" t="s">
        <v>65</v>
      </c>
      <c r="V906">
        <v>51</v>
      </c>
      <c r="W906" t="s">
        <v>79</v>
      </c>
      <c r="X906" t="s">
        <v>80</v>
      </c>
      <c r="Y906">
        <v>0</v>
      </c>
      <c r="Z906">
        <v>63.64</v>
      </c>
      <c r="AB906" t="s">
        <v>74</v>
      </c>
      <c r="AD906" t="s">
        <v>57</v>
      </c>
      <c r="AE906">
        <v>0</v>
      </c>
      <c r="AF906">
        <v>6</v>
      </c>
      <c r="AG906">
        <v>1</v>
      </c>
      <c r="AH906">
        <v>1.5</v>
      </c>
      <c r="AI906">
        <v>512</v>
      </c>
      <c r="AJ906">
        <v>512</v>
      </c>
      <c r="AK906">
        <v>80</v>
      </c>
      <c r="AL906" t="s">
        <v>1010</v>
      </c>
      <c r="AM906">
        <v>2</v>
      </c>
      <c r="AN906" t="s">
        <v>1011</v>
      </c>
      <c r="AO906" t="s">
        <v>59</v>
      </c>
      <c r="AP906" t="s">
        <v>60</v>
      </c>
      <c r="AQ906">
        <v>11</v>
      </c>
      <c r="AR906">
        <v>76</v>
      </c>
      <c r="AS906">
        <v>196</v>
      </c>
      <c r="AT906">
        <v>1.81</v>
      </c>
      <c r="AU906">
        <v>4.33</v>
      </c>
      <c r="AV906" t="s">
        <v>3401</v>
      </c>
      <c r="AW906" t="s">
        <v>3402</v>
      </c>
      <c r="AX906" t="s">
        <v>3403</v>
      </c>
    </row>
    <row r="907" spans="1:50" x14ac:dyDescent="0.25">
      <c r="A907" t="s">
        <v>3404</v>
      </c>
      <c r="B907" t="s">
        <v>1679</v>
      </c>
      <c r="C907">
        <v>0</v>
      </c>
      <c r="D907">
        <v>1</v>
      </c>
      <c r="E907" t="s">
        <v>1703</v>
      </c>
      <c r="H907">
        <v>0</v>
      </c>
      <c r="N907">
        <v>1</v>
      </c>
      <c r="Q907">
        <v>0</v>
      </c>
      <c r="R907">
        <v>0</v>
      </c>
      <c r="U907" t="s">
        <v>1687</v>
      </c>
      <c r="V907">
        <v>49</v>
      </c>
      <c r="W907" t="s">
        <v>1726</v>
      </c>
      <c r="X907" t="s">
        <v>80</v>
      </c>
      <c r="Y907">
        <v>0</v>
      </c>
      <c r="Z907">
        <v>77.5643051367</v>
      </c>
      <c r="AB907" t="s">
        <v>94</v>
      </c>
      <c r="AD907" t="s">
        <v>57</v>
      </c>
      <c r="AE907">
        <v>0</v>
      </c>
      <c r="AF907">
        <v>6</v>
      </c>
      <c r="AG907">
        <v>1</v>
      </c>
      <c r="AH907">
        <v>1.5</v>
      </c>
      <c r="AI907">
        <v>512</v>
      </c>
      <c r="AJ907">
        <v>512</v>
      </c>
      <c r="AK907">
        <v>80</v>
      </c>
      <c r="AL907" t="s">
        <v>1010</v>
      </c>
      <c r="AM907">
        <v>2</v>
      </c>
      <c r="AN907" t="s">
        <v>1011</v>
      </c>
      <c r="AO907" t="s">
        <v>59</v>
      </c>
      <c r="AP907" t="s">
        <v>60</v>
      </c>
      <c r="AQ907">
        <v>11</v>
      </c>
      <c r="AR907">
        <v>53</v>
      </c>
      <c r="AS907">
        <v>140</v>
      </c>
      <c r="AT907">
        <v>1.67</v>
      </c>
      <c r="AU907">
        <v>4.51</v>
      </c>
      <c r="AV907" t="s">
        <v>3405</v>
      </c>
      <c r="AW907" t="s">
        <v>3406</v>
      </c>
      <c r="AX907" t="s">
        <v>3407</v>
      </c>
    </row>
    <row r="908" spans="1:50" x14ac:dyDescent="0.25">
      <c r="A908" t="s">
        <v>3408</v>
      </c>
      <c r="B908" t="s">
        <v>1679</v>
      </c>
      <c r="C908">
        <v>0</v>
      </c>
      <c r="D908">
        <v>1</v>
      </c>
      <c r="E908" t="s">
        <v>1725</v>
      </c>
      <c r="H908">
        <v>1</v>
      </c>
      <c r="N908">
        <v>1</v>
      </c>
      <c r="Q908">
        <v>0</v>
      </c>
      <c r="R908">
        <v>0</v>
      </c>
      <c r="U908" t="s">
        <v>1687</v>
      </c>
      <c r="V908">
        <v>68</v>
      </c>
      <c r="W908" t="s">
        <v>79</v>
      </c>
      <c r="X908" t="s">
        <v>80</v>
      </c>
      <c r="Y908">
        <v>0</v>
      </c>
      <c r="Z908">
        <v>79</v>
      </c>
      <c r="AB908" t="s">
        <v>94</v>
      </c>
      <c r="AD908" t="s">
        <v>57</v>
      </c>
      <c r="AE908">
        <v>0</v>
      </c>
      <c r="AF908">
        <v>6</v>
      </c>
      <c r="AG908">
        <v>1</v>
      </c>
      <c r="AH908">
        <v>3</v>
      </c>
      <c r="AI908">
        <v>512</v>
      </c>
      <c r="AJ908">
        <v>512</v>
      </c>
      <c r="AK908">
        <v>80</v>
      </c>
      <c r="AL908" t="s">
        <v>81</v>
      </c>
      <c r="AM908">
        <v>2</v>
      </c>
      <c r="AN908" t="s">
        <v>1915</v>
      </c>
      <c r="AO908" t="s">
        <v>67</v>
      </c>
      <c r="AP908" t="s">
        <v>68</v>
      </c>
      <c r="AQ908">
        <v>15</v>
      </c>
      <c r="AR908">
        <v>190</v>
      </c>
      <c r="AS908">
        <v>381</v>
      </c>
      <c r="AT908">
        <v>2.1080000000000001</v>
      </c>
      <c r="AU908">
        <v>4.6399999999999997</v>
      </c>
      <c r="AV908" t="s">
        <v>3409</v>
      </c>
      <c r="AW908" t="s">
        <v>3410</v>
      </c>
      <c r="AX908" t="s">
        <v>3411</v>
      </c>
    </row>
    <row r="909" spans="1:50" x14ac:dyDescent="0.25">
      <c r="A909" t="s">
        <v>3412</v>
      </c>
      <c r="B909" t="s">
        <v>1679</v>
      </c>
      <c r="C909">
        <v>0</v>
      </c>
      <c r="D909">
        <v>1</v>
      </c>
      <c r="E909" t="s">
        <v>1698</v>
      </c>
      <c r="H909">
        <v>1</v>
      </c>
      <c r="N909">
        <v>0</v>
      </c>
      <c r="Q909">
        <v>0</v>
      </c>
      <c r="R909">
        <v>1</v>
      </c>
      <c r="U909" t="s">
        <v>65</v>
      </c>
      <c r="V909">
        <v>31</v>
      </c>
      <c r="W909" t="s">
        <v>1688</v>
      </c>
      <c r="X909" t="s">
        <v>80</v>
      </c>
      <c r="Y909">
        <v>0</v>
      </c>
      <c r="Z909">
        <v>87.543999999999997</v>
      </c>
      <c r="AB909" t="s">
        <v>118</v>
      </c>
      <c r="AD909" t="s">
        <v>57</v>
      </c>
      <c r="AE909">
        <v>0</v>
      </c>
      <c r="AF909">
        <v>6</v>
      </c>
      <c r="AG909">
        <v>1</v>
      </c>
      <c r="AH909">
        <v>1.5</v>
      </c>
      <c r="AI909">
        <v>512</v>
      </c>
      <c r="AJ909">
        <v>512</v>
      </c>
      <c r="AK909">
        <v>80</v>
      </c>
      <c r="AL909" t="s">
        <v>1010</v>
      </c>
      <c r="AM909">
        <v>2</v>
      </c>
      <c r="AN909" t="s">
        <v>1011</v>
      </c>
      <c r="AO909" t="s">
        <v>59</v>
      </c>
      <c r="AP909" t="s">
        <v>60</v>
      </c>
      <c r="AQ909">
        <v>11</v>
      </c>
      <c r="AR909">
        <v>62</v>
      </c>
      <c r="AS909">
        <v>164</v>
      </c>
      <c r="AT909">
        <v>1.81</v>
      </c>
      <c r="AU909">
        <v>4.33</v>
      </c>
      <c r="AV909" t="s">
        <v>3413</v>
      </c>
      <c r="AW909" t="s">
        <v>3414</v>
      </c>
      <c r="AX909" t="s">
        <v>3415</v>
      </c>
    </row>
    <row r="910" spans="1:50" x14ac:dyDescent="0.25">
      <c r="A910" t="s">
        <v>3416</v>
      </c>
      <c r="B910" t="s">
        <v>1679</v>
      </c>
      <c r="C910">
        <v>0</v>
      </c>
      <c r="D910">
        <v>0</v>
      </c>
      <c r="E910" t="s">
        <v>1686</v>
      </c>
      <c r="H910">
        <v>0</v>
      </c>
      <c r="N910">
        <v>0</v>
      </c>
      <c r="Q910">
        <v>0</v>
      </c>
      <c r="R910">
        <v>1</v>
      </c>
      <c r="U910" t="s">
        <v>65</v>
      </c>
      <c r="V910">
        <v>57</v>
      </c>
      <c r="W910" t="s">
        <v>79</v>
      </c>
      <c r="X910" t="s">
        <v>80</v>
      </c>
      <c r="Y910">
        <v>0</v>
      </c>
      <c r="Z910">
        <v>63.05</v>
      </c>
      <c r="AB910" t="s">
        <v>74</v>
      </c>
      <c r="AD910" t="s">
        <v>57</v>
      </c>
      <c r="AE910">
        <v>0</v>
      </c>
      <c r="AF910">
        <v>6</v>
      </c>
      <c r="AG910">
        <v>1</v>
      </c>
      <c r="AH910">
        <v>1.5</v>
      </c>
      <c r="AI910">
        <v>512</v>
      </c>
      <c r="AJ910">
        <v>512</v>
      </c>
      <c r="AK910">
        <v>72</v>
      </c>
      <c r="AL910" t="s">
        <v>66</v>
      </c>
      <c r="AM910">
        <v>2.2000000000000002</v>
      </c>
      <c r="AN910" t="s">
        <v>996</v>
      </c>
      <c r="AO910" t="s">
        <v>67</v>
      </c>
      <c r="AP910" t="s">
        <v>68</v>
      </c>
      <c r="AQ910">
        <v>15</v>
      </c>
      <c r="AR910">
        <v>69</v>
      </c>
      <c r="AS910">
        <v>139</v>
      </c>
      <c r="AT910">
        <v>4.2</v>
      </c>
      <c r="AU910">
        <v>7.0679999999999996</v>
      </c>
      <c r="AV910" t="s">
        <v>3417</v>
      </c>
      <c r="AW910" t="s">
        <v>3418</v>
      </c>
      <c r="AX910" t="s">
        <v>3419</v>
      </c>
    </row>
    <row r="911" spans="1:50" x14ac:dyDescent="0.25">
      <c r="A911" t="s">
        <v>3420</v>
      </c>
      <c r="B911" t="s">
        <v>1679</v>
      </c>
      <c r="C911">
        <v>0</v>
      </c>
      <c r="D911">
        <v>1</v>
      </c>
      <c r="E911" t="s">
        <v>2035</v>
      </c>
      <c r="H911">
        <v>0</v>
      </c>
      <c r="N911">
        <v>1</v>
      </c>
      <c r="Q911">
        <v>1</v>
      </c>
      <c r="R911">
        <v>0</v>
      </c>
      <c r="U911" t="s">
        <v>1735</v>
      </c>
      <c r="V911">
        <v>25</v>
      </c>
      <c r="W911" t="s">
        <v>1688</v>
      </c>
      <c r="X911" t="s">
        <v>80</v>
      </c>
      <c r="Y911">
        <v>0</v>
      </c>
      <c r="Z911">
        <v>68</v>
      </c>
      <c r="AA911">
        <v>1.65</v>
      </c>
      <c r="AB911" t="s">
        <v>74</v>
      </c>
      <c r="AD911" t="s">
        <v>57</v>
      </c>
      <c r="AE911">
        <v>1</v>
      </c>
      <c r="AF911">
        <v>6</v>
      </c>
      <c r="AG911">
        <v>1</v>
      </c>
      <c r="AH911">
        <v>3</v>
      </c>
      <c r="AI911">
        <v>384</v>
      </c>
      <c r="AJ911">
        <v>384</v>
      </c>
      <c r="AK911">
        <v>72</v>
      </c>
      <c r="AL911" t="s">
        <v>1394</v>
      </c>
      <c r="AM911">
        <v>2.5</v>
      </c>
      <c r="AN911" t="s">
        <v>1114</v>
      </c>
      <c r="AO911" t="s">
        <v>59</v>
      </c>
      <c r="AP911" t="s">
        <v>1781</v>
      </c>
      <c r="AQ911">
        <v>11</v>
      </c>
      <c r="AR911">
        <v>52</v>
      </c>
      <c r="AS911">
        <v>145</v>
      </c>
      <c r="AT911">
        <v>1.37</v>
      </c>
      <c r="AU911">
        <v>4.32</v>
      </c>
      <c r="AV911" t="s">
        <v>3421</v>
      </c>
      <c r="AW911" t="s">
        <v>3028</v>
      </c>
      <c r="AX911" t="s">
        <v>3422</v>
      </c>
    </row>
    <row r="912" spans="1:50" x14ac:dyDescent="0.25">
      <c r="A912" t="s">
        <v>3423</v>
      </c>
      <c r="B912" t="s">
        <v>1679</v>
      </c>
      <c r="C912">
        <v>0</v>
      </c>
      <c r="D912">
        <v>1</v>
      </c>
      <c r="E912" t="s">
        <v>1698</v>
      </c>
      <c r="H912">
        <v>0</v>
      </c>
      <c r="N912">
        <v>1</v>
      </c>
      <c r="Q912">
        <v>0</v>
      </c>
      <c r="R912">
        <v>0</v>
      </c>
      <c r="U912" t="s">
        <v>1687</v>
      </c>
      <c r="V912">
        <v>69</v>
      </c>
      <c r="W912" t="s">
        <v>79</v>
      </c>
      <c r="X912" t="s">
        <v>80</v>
      </c>
      <c r="Y912">
        <v>0</v>
      </c>
      <c r="Z912">
        <v>85.275000000000006</v>
      </c>
      <c r="AB912" t="s">
        <v>118</v>
      </c>
      <c r="AD912" t="s">
        <v>57</v>
      </c>
      <c r="AE912">
        <v>0</v>
      </c>
      <c r="AF912">
        <v>6</v>
      </c>
      <c r="AG912">
        <v>1</v>
      </c>
      <c r="AH912">
        <v>1.5</v>
      </c>
      <c r="AI912">
        <v>512</v>
      </c>
      <c r="AJ912">
        <v>512</v>
      </c>
      <c r="AK912">
        <v>72</v>
      </c>
      <c r="AL912" t="s">
        <v>119</v>
      </c>
      <c r="AM912">
        <v>2.2000000000000002</v>
      </c>
      <c r="AN912" t="s">
        <v>1072</v>
      </c>
      <c r="AO912" t="s">
        <v>67</v>
      </c>
      <c r="AP912" t="s">
        <v>68</v>
      </c>
      <c r="AQ912">
        <v>15</v>
      </c>
      <c r="AR912">
        <v>278</v>
      </c>
      <c r="AS912">
        <v>556</v>
      </c>
      <c r="AT912">
        <v>4.2359999999999998</v>
      </c>
      <c r="AU912">
        <v>8.6679999999999993</v>
      </c>
      <c r="AV912" t="s">
        <v>3424</v>
      </c>
      <c r="AW912" t="s">
        <v>3425</v>
      </c>
      <c r="AX912" t="s">
        <v>3426</v>
      </c>
    </row>
    <row r="913" spans="1:50" x14ac:dyDescent="0.25">
      <c r="A913" t="s">
        <v>3427</v>
      </c>
      <c r="B913" t="s">
        <v>1679</v>
      </c>
      <c r="C913">
        <v>0</v>
      </c>
      <c r="D913">
        <v>1</v>
      </c>
      <c r="E913" t="s">
        <v>1791</v>
      </c>
      <c r="H913">
        <v>1</v>
      </c>
      <c r="N913">
        <v>0</v>
      </c>
      <c r="Q913">
        <v>1</v>
      </c>
      <c r="R913">
        <v>1</v>
      </c>
      <c r="U913" t="s">
        <v>72</v>
      </c>
      <c r="V913">
        <v>47</v>
      </c>
      <c r="W913" t="s">
        <v>1688</v>
      </c>
      <c r="X913" t="s">
        <v>111</v>
      </c>
      <c r="Y913">
        <v>0</v>
      </c>
      <c r="Z913">
        <v>52.616999999999997</v>
      </c>
      <c r="AB913" t="s">
        <v>74</v>
      </c>
      <c r="AD913" t="s">
        <v>57</v>
      </c>
      <c r="AE913">
        <v>0</v>
      </c>
      <c r="AF913">
        <v>6</v>
      </c>
      <c r="AG913">
        <v>1</v>
      </c>
      <c r="AH913">
        <v>3</v>
      </c>
      <c r="AI913">
        <v>512</v>
      </c>
      <c r="AJ913">
        <v>512</v>
      </c>
      <c r="AK913">
        <v>128</v>
      </c>
      <c r="AL913" t="s">
        <v>81</v>
      </c>
      <c r="AM913">
        <v>2.4</v>
      </c>
      <c r="AN913" t="s">
        <v>1786</v>
      </c>
      <c r="AO913" t="s">
        <v>67</v>
      </c>
      <c r="AP913" t="s">
        <v>68</v>
      </c>
      <c r="AQ913">
        <v>15</v>
      </c>
      <c r="AR913">
        <v>384</v>
      </c>
      <c r="AS913">
        <v>768</v>
      </c>
      <c r="AT913">
        <v>2.8479999999999999</v>
      </c>
      <c r="AU913">
        <v>7.7949999999999999</v>
      </c>
      <c r="AV913" t="s">
        <v>1817</v>
      </c>
      <c r="AW913" t="s">
        <v>3428</v>
      </c>
      <c r="AX913" t="s">
        <v>3429</v>
      </c>
    </row>
    <row r="914" spans="1:50" x14ac:dyDescent="0.25">
      <c r="A914" t="s">
        <v>3430</v>
      </c>
      <c r="B914" t="s">
        <v>1679</v>
      </c>
      <c r="C914">
        <v>0</v>
      </c>
      <c r="D914">
        <v>0</v>
      </c>
      <c r="E914" t="s">
        <v>1703</v>
      </c>
      <c r="H914">
        <v>0</v>
      </c>
      <c r="N914">
        <v>0</v>
      </c>
      <c r="Q914">
        <v>0</v>
      </c>
      <c r="R914">
        <v>1</v>
      </c>
      <c r="U914" t="s">
        <v>65</v>
      </c>
      <c r="V914">
        <v>28</v>
      </c>
      <c r="W914" t="s">
        <v>1688</v>
      </c>
      <c r="X914" t="s">
        <v>80</v>
      </c>
      <c r="Y914">
        <v>0</v>
      </c>
      <c r="Z914">
        <v>74.843000000000004</v>
      </c>
      <c r="AB914" t="s">
        <v>94</v>
      </c>
      <c r="AD914" t="s">
        <v>57</v>
      </c>
      <c r="AE914">
        <v>0</v>
      </c>
      <c r="AF914">
        <v>6</v>
      </c>
      <c r="AG914">
        <v>1</v>
      </c>
      <c r="AH914">
        <v>1.5</v>
      </c>
      <c r="AI914">
        <v>512</v>
      </c>
      <c r="AJ914">
        <v>512</v>
      </c>
      <c r="AK914">
        <v>80</v>
      </c>
      <c r="AL914" t="s">
        <v>196</v>
      </c>
      <c r="AM914">
        <v>2</v>
      </c>
      <c r="AN914" t="s">
        <v>1681</v>
      </c>
      <c r="AO914" t="s">
        <v>67</v>
      </c>
      <c r="AP914" t="s">
        <v>68</v>
      </c>
      <c r="AQ914">
        <v>15</v>
      </c>
      <c r="AR914">
        <v>220</v>
      </c>
      <c r="AS914">
        <v>441</v>
      </c>
      <c r="AT914">
        <v>2.6440000000000001</v>
      </c>
      <c r="AU914">
        <v>6.0739999999999998</v>
      </c>
      <c r="AV914" t="s">
        <v>3431</v>
      </c>
      <c r="AW914" t="s">
        <v>3197</v>
      </c>
      <c r="AX914" t="s">
        <v>3432</v>
      </c>
    </row>
    <row r="915" spans="1:50" x14ac:dyDescent="0.25">
      <c r="A915" t="s">
        <v>3433</v>
      </c>
      <c r="B915" t="s">
        <v>1679</v>
      </c>
      <c r="C915">
        <v>0</v>
      </c>
      <c r="D915">
        <v>1</v>
      </c>
      <c r="E915" t="s">
        <v>1871</v>
      </c>
      <c r="H915">
        <v>0</v>
      </c>
      <c r="N915">
        <v>0</v>
      </c>
      <c r="Q915">
        <v>1</v>
      </c>
      <c r="R915">
        <v>0</v>
      </c>
      <c r="U915" t="s">
        <v>72</v>
      </c>
      <c r="V915">
        <v>42</v>
      </c>
      <c r="W915" t="s">
        <v>1688</v>
      </c>
      <c r="X915" t="s">
        <v>80</v>
      </c>
      <c r="Y915">
        <v>0</v>
      </c>
      <c r="Z915">
        <v>100.245</v>
      </c>
      <c r="AB915" t="s">
        <v>56</v>
      </c>
      <c r="AD915" t="s">
        <v>57</v>
      </c>
      <c r="AE915">
        <v>0</v>
      </c>
      <c r="AF915">
        <v>6</v>
      </c>
      <c r="AG915">
        <v>1</v>
      </c>
      <c r="AH915">
        <v>1.5</v>
      </c>
      <c r="AI915">
        <v>512</v>
      </c>
      <c r="AJ915">
        <v>512</v>
      </c>
      <c r="AK915">
        <v>80</v>
      </c>
      <c r="AL915" t="s">
        <v>1010</v>
      </c>
      <c r="AM915">
        <v>2</v>
      </c>
      <c r="AN915" t="s">
        <v>1011</v>
      </c>
      <c r="AO915" t="s">
        <v>59</v>
      </c>
      <c r="AP915" t="s">
        <v>60</v>
      </c>
      <c r="AQ915">
        <v>11</v>
      </c>
      <c r="AR915">
        <v>152</v>
      </c>
      <c r="AS915">
        <v>364</v>
      </c>
      <c r="AT915">
        <v>1.81</v>
      </c>
      <c r="AU915">
        <v>4.33</v>
      </c>
      <c r="AV915" t="s">
        <v>3434</v>
      </c>
      <c r="AW915" t="s">
        <v>1832</v>
      </c>
      <c r="AX915" t="s">
        <v>3435</v>
      </c>
    </row>
    <row r="916" spans="1:50" x14ac:dyDescent="0.25">
      <c r="A916" t="s">
        <v>3436</v>
      </c>
      <c r="B916" t="s">
        <v>1679</v>
      </c>
      <c r="C916">
        <v>0</v>
      </c>
      <c r="D916">
        <v>1</v>
      </c>
      <c r="E916" t="s">
        <v>1703</v>
      </c>
      <c r="H916">
        <v>0</v>
      </c>
      <c r="N916">
        <v>0</v>
      </c>
      <c r="Q916">
        <v>0</v>
      </c>
      <c r="R916">
        <v>0</v>
      </c>
      <c r="U916" t="s">
        <v>65</v>
      </c>
      <c r="V916">
        <v>69</v>
      </c>
      <c r="X916" t="s">
        <v>80</v>
      </c>
      <c r="Y916">
        <v>0</v>
      </c>
      <c r="AD916" t="s">
        <v>57</v>
      </c>
      <c r="AE916">
        <v>1</v>
      </c>
      <c r="AF916">
        <v>6</v>
      </c>
      <c r="AG916">
        <v>1</v>
      </c>
      <c r="AH916">
        <v>1.5</v>
      </c>
      <c r="AI916">
        <v>384</v>
      </c>
      <c r="AJ916">
        <v>384</v>
      </c>
      <c r="AK916">
        <v>160</v>
      </c>
      <c r="AL916" t="s">
        <v>2036</v>
      </c>
      <c r="AM916">
        <v>1</v>
      </c>
      <c r="AN916" t="s">
        <v>1728</v>
      </c>
      <c r="AO916" t="s">
        <v>59</v>
      </c>
      <c r="AP916" t="s">
        <v>1729</v>
      </c>
      <c r="AQ916">
        <v>11</v>
      </c>
      <c r="AR916">
        <v>62</v>
      </c>
      <c r="AS916">
        <v>166</v>
      </c>
      <c r="AT916">
        <v>1.81</v>
      </c>
      <c r="AU916">
        <v>5.05</v>
      </c>
      <c r="AV916" t="s">
        <v>1787</v>
      </c>
      <c r="AW916" t="s">
        <v>2127</v>
      </c>
      <c r="AX916" t="s">
        <v>3437</v>
      </c>
    </row>
    <row r="917" spans="1:50" x14ac:dyDescent="0.25">
      <c r="A917" t="s">
        <v>3438</v>
      </c>
      <c r="B917" t="s">
        <v>1679</v>
      </c>
      <c r="C917">
        <v>0</v>
      </c>
      <c r="D917">
        <v>1</v>
      </c>
      <c r="E917" t="s">
        <v>1693</v>
      </c>
      <c r="H917">
        <v>0</v>
      </c>
      <c r="N917">
        <v>0</v>
      </c>
      <c r="Q917">
        <v>0</v>
      </c>
      <c r="R917">
        <v>1</v>
      </c>
      <c r="U917" t="s">
        <v>65</v>
      </c>
      <c r="V917">
        <v>69</v>
      </c>
      <c r="W917" t="s">
        <v>79</v>
      </c>
      <c r="X917" t="s">
        <v>80</v>
      </c>
      <c r="Y917">
        <v>0</v>
      </c>
      <c r="Z917">
        <v>79.379000000000005</v>
      </c>
      <c r="AB917" t="s">
        <v>94</v>
      </c>
      <c r="AD917" t="s">
        <v>57</v>
      </c>
      <c r="AE917">
        <v>0</v>
      </c>
      <c r="AF917">
        <v>6</v>
      </c>
      <c r="AG917">
        <v>1</v>
      </c>
      <c r="AH917">
        <v>3</v>
      </c>
      <c r="AI917">
        <v>512</v>
      </c>
      <c r="AJ917">
        <v>512</v>
      </c>
      <c r="AK917">
        <v>80</v>
      </c>
      <c r="AL917" t="s">
        <v>81</v>
      </c>
      <c r="AM917">
        <v>2</v>
      </c>
      <c r="AN917" t="s">
        <v>1915</v>
      </c>
      <c r="AO917" t="s">
        <v>67</v>
      </c>
      <c r="AP917" t="s">
        <v>68</v>
      </c>
      <c r="AQ917">
        <v>15</v>
      </c>
      <c r="AR917">
        <v>417</v>
      </c>
      <c r="AS917">
        <v>835</v>
      </c>
      <c r="AT917">
        <v>2.1</v>
      </c>
      <c r="AU917">
        <v>4.742</v>
      </c>
      <c r="AV917" t="s">
        <v>3439</v>
      </c>
      <c r="AW917" t="s">
        <v>3440</v>
      </c>
      <c r="AX917" t="s">
        <v>3441</v>
      </c>
    </row>
    <row r="918" spans="1:50" x14ac:dyDescent="0.25">
      <c r="A918" t="s">
        <v>3442</v>
      </c>
      <c r="B918" t="s">
        <v>1679</v>
      </c>
      <c r="C918">
        <v>0</v>
      </c>
      <c r="D918">
        <v>0</v>
      </c>
      <c r="E918" t="s">
        <v>1703</v>
      </c>
      <c r="H918">
        <v>0</v>
      </c>
      <c r="N918">
        <v>0</v>
      </c>
      <c r="Q918">
        <v>0</v>
      </c>
      <c r="R918">
        <v>1</v>
      </c>
      <c r="U918" t="s">
        <v>65</v>
      </c>
      <c r="V918">
        <v>44</v>
      </c>
      <c r="W918" t="s">
        <v>1726</v>
      </c>
      <c r="X918" t="s">
        <v>80</v>
      </c>
      <c r="Y918">
        <v>0</v>
      </c>
      <c r="Z918">
        <v>61.234999999999999</v>
      </c>
      <c r="AB918" t="s">
        <v>74</v>
      </c>
      <c r="AD918" t="s">
        <v>57</v>
      </c>
      <c r="AE918">
        <v>0</v>
      </c>
      <c r="AF918">
        <v>6</v>
      </c>
      <c r="AG918">
        <v>1</v>
      </c>
      <c r="AH918">
        <v>1.5</v>
      </c>
      <c r="AI918">
        <v>512</v>
      </c>
      <c r="AJ918">
        <v>512</v>
      </c>
      <c r="AK918">
        <v>90</v>
      </c>
      <c r="AL918" t="s">
        <v>153</v>
      </c>
      <c r="AM918">
        <v>2</v>
      </c>
      <c r="AN918" t="s">
        <v>996</v>
      </c>
      <c r="AO918" t="s">
        <v>67</v>
      </c>
      <c r="AP918" t="s">
        <v>68</v>
      </c>
      <c r="AQ918">
        <v>15</v>
      </c>
      <c r="AR918">
        <v>94</v>
      </c>
      <c r="AS918">
        <v>188</v>
      </c>
      <c r="AT918">
        <v>4.2</v>
      </c>
      <c r="AU918">
        <v>7</v>
      </c>
      <c r="AV918" t="s">
        <v>3443</v>
      </c>
      <c r="AW918" t="s">
        <v>2428</v>
      </c>
      <c r="AX918" t="s">
        <v>3444</v>
      </c>
    </row>
    <row r="919" spans="1:50" x14ac:dyDescent="0.25">
      <c r="A919" t="s">
        <v>3445</v>
      </c>
      <c r="B919" t="s">
        <v>1679</v>
      </c>
      <c r="C919">
        <v>0</v>
      </c>
      <c r="D919">
        <v>0</v>
      </c>
      <c r="E919" t="s">
        <v>1871</v>
      </c>
      <c r="H919">
        <v>0</v>
      </c>
      <c r="N919">
        <v>1</v>
      </c>
      <c r="Q919">
        <v>1</v>
      </c>
      <c r="R919">
        <v>0</v>
      </c>
      <c r="U919" t="s">
        <v>1735</v>
      </c>
      <c r="V919">
        <v>37</v>
      </c>
      <c r="W919" t="s">
        <v>1688</v>
      </c>
      <c r="X919" t="s">
        <v>80</v>
      </c>
      <c r="Y919">
        <v>0</v>
      </c>
      <c r="AD919" t="s">
        <v>57</v>
      </c>
      <c r="AE919">
        <v>1</v>
      </c>
      <c r="AF919">
        <v>6</v>
      </c>
      <c r="AG919">
        <v>1</v>
      </c>
      <c r="AH919">
        <v>1.5</v>
      </c>
      <c r="AI919">
        <v>384</v>
      </c>
      <c r="AJ919">
        <v>384</v>
      </c>
      <c r="AK919">
        <v>160</v>
      </c>
      <c r="AL919" t="s">
        <v>1800</v>
      </c>
      <c r="AM919">
        <v>1</v>
      </c>
      <c r="AN919" t="s">
        <v>1728</v>
      </c>
      <c r="AO919" t="s">
        <v>59</v>
      </c>
      <c r="AP919" t="s">
        <v>1729</v>
      </c>
      <c r="AQ919">
        <v>11</v>
      </c>
      <c r="AR919">
        <v>51</v>
      </c>
      <c r="AS919">
        <v>139</v>
      </c>
      <c r="AT919">
        <v>1.81</v>
      </c>
      <c r="AU919">
        <v>5.05</v>
      </c>
      <c r="AV919" t="s">
        <v>1817</v>
      </c>
      <c r="AW919" t="s">
        <v>2649</v>
      </c>
      <c r="AX919" t="s">
        <v>3446</v>
      </c>
    </row>
    <row r="920" spans="1:50" x14ac:dyDescent="0.25">
      <c r="A920" t="s">
        <v>3447</v>
      </c>
      <c r="B920" t="s">
        <v>1679</v>
      </c>
      <c r="C920">
        <v>0</v>
      </c>
      <c r="D920">
        <v>0</v>
      </c>
      <c r="E920" t="s">
        <v>1680</v>
      </c>
      <c r="H920">
        <v>1</v>
      </c>
      <c r="N920">
        <v>0</v>
      </c>
      <c r="Q920">
        <v>0</v>
      </c>
      <c r="R920">
        <v>1</v>
      </c>
      <c r="U920" t="s">
        <v>65</v>
      </c>
      <c r="V920">
        <v>52</v>
      </c>
      <c r="W920" t="s">
        <v>79</v>
      </c>
      <c r="X920" t="s">
        <v>80</v>
      </c>
      <c r="Y920">
        <v>1</v>
      </c>
      <c r="Z920">
        <v>69</v>
      </c>
      <c r="AA920">
        <v>1.68</v>
      </c>
      <c r="AB920" t="s">
        <v>74</v>
      </c>
      <c r="AD920" t="s">
        <v>57</v>
      </c>
      <c r="AE920">
        <v>1</v>
      </c>
      <c r="AF920">
        <v>6</v>
      </c>
      <c r="AG920">
        <v>1</v>
      </c>
      <c r="AH920">
        <v>3</v>
      </c>
      <c r="AI920">
        <v>384</v>
      </c>
      <c r="AJ920">
        <v>384</v>
      </c>
      <c r="AK920">
        <v>80</v>
      </c>
      <c r="AL920" t="s">
        <v>1727</v>
      </c>
      <c r="AM920">
        <v>2.5</v>
      </c>
      <c r="AN920" t="s">
        <v>1114</v>
      </c>
      <c r="AO920" t="s">
        <v>59</v>
      </c>
      <c r="AP920" t="s">
        <v>1781</v>
      </c>
      <c r="AQ920">
        <v>11</v>
      </c>
      <c r="AR920">
        <v>47</v>
      </c>
      <c r="AS920">
        <v>128</v>
      </c>
      <c r="AT920">
        <v>1.4</v>
      </c>
      <c r="AU920">
        <v>4.32</v>
      </c>
      <c r="AV920" t="s">
        <v>3448</v>
      </c>
      <c r="AW920" t="s">
        <v>2781</v>
      </c>
      <c r="AX920" t="s">
        <v>3449</v>
      </c>
    </row>
    <row r="921" spans="1:50" x14ac:dyDescent="0.25">
      <c r="A921" t="s">
        <v>3450</v>
      </c>
      <c r="B921" t="s">
        <v>1679</v>
      </c>
      <c r="C921">
        <v>0</v>
      </c>
      <c r="D921">
        <v>0</v>
      </c>
      <c r="E921" t="s">
        <v>1686</v>
      </c>
      <c r="H921">
        <v>0</v>
      </c>
      <c r="N921">
        <v>1</v>
      </c>
      <c r="Q921">
        <v>0</v>
      </c>
      <c r="R921">
        <v>1</v>
      </c>
      <c r="U921" t="s">
        <v>1687</v>
      </c>
      <c r="V921">
        <v>62</v>
      </c>
      <c r="X921" t="s">
        <v>80</v>
      </c>
      <c r="Y921">
        <v>0</v>
      </c>
      <c r="Z921">
        <v>63.5</v>
      </c>
      <c r="AB921" t="s">
        <v>74</v>
      </c>
      <c r="AD921" t="s">
        <v>57</v>
      </c>
      <c r="AE921">
        <v>0</v>
      </c>
      <c r="AF921">
        <v>6</v>
      </c>
      <c r="AG921">
        <v>1</v>
      </c>
      <c r="AH921">
        <v>3</v>
      </c>
      <c r="AI921">
        <v>512</v>
      </c>
      <c r="AJ921">
        <v>512</v>
      </c>
      <c r="AK921">
        <v>134</v>
      </c>
      <c r="AL921" t="s">
        <v>119</v>
      </c>
      <c r="AM921">
        <v>2.4</v>
      </c>
      <c r="AN921" t="s">
        <v>1786</v>
      </c>
      <c r="AO921" t="s">
        <v>67</v>
      </c>
      <c r="AP921" t="s">
        <v>1979</v>
      </c>
      <c r="AQ921">
        <v>15</v>
      </c>
      <c r="AR921">
        <v>723</v>
      </c>
      <c r="AS921">
        <v>1447</v>
      </c>
      <c r="AT921">
        <v>4.78</v>
      </c>
      <c r="AU921">
        <v>9.06</v>
      </c>
      <c r="AV921" t="s">
        <v>2521</v>
      </c>
      <c r="AW921" t="s">
        <v>3451</v>
      </c>
      <c r="AX921" t="s">
        <v>3452</v>
      </c>
    </row>
    <row r="922" spans="1:50" x14ac:dyDescent="0.25">
      <c r="A922" t="s">
        <v>3453</v>
      </c>
      <c r="B922" t="s">
        <v>1679</v>
      </c>
      <c r="C922">
        <v>0</v>
      </c>
      <c r="D922">
        <v>1</v>
      </c>
      <c r="E922" t="s">
        <v>1680</v>
      </c>
      <c r="H922">
        <v>0</v>
      </c>
      <c r="N922">
        <v>1</v>
      </c>
      <c r="Q922">
        <v>0</v>
      </c>
      <c r="R922">
        <v>0</v>
      </c>
      <c r="U922" t="s">
        <v>1687</v>
      </c>
      <c r="V922">
        <v>48</v>
      </c>
      <c r="W922" t="s">
        <v>79</v>
      </c>
      <c r="X922" t="s">
        <v>80</v>
      </c>
      <c r="Y922">
        <v>0</v>
      </c>
      <c r="Z922">
        <v>71.668000000000006</v>
      </c>
      <c r="AB922" t="s">
        <v>94</v>
      </c>
      <c r="AD922" t="s">
        <v>57</v>
      </c>
      <c r="AE922">
        <v>0</v>
      </c>
      <c r="AF922">
        <v>6</v>
      </c>
      <c r="AG922">
        <v>1</v>
      </c>
      <c r="AH922">
        <v>3</v>
      </c>
      <c r="AI922">
        <v>512</v>
      </c>
      <c r="AJ922">
        <v>512</v>
      </c>
      <c r="AK922">
        <v>80</v>
      </c>
      <c r="AL922" t="s">
        <v>66</v>
      </c>
      <c r="AM922">
        <v>2</v>
      </c>
      <c r="AN922" t="s">
        <v>1915</v>
      </c>
      <c r="AO922" t="s">
        <v>67</v>
      </c>
      <c r="AP922" t="s">
        <v>68</v>
      </c>
      <c r="AQ922">
        <v>15</v>
      </c>
      <c r="AR922">
        <v>484</v>
      </c>
      <c r="AS922">
        <v>968</v>
      </c>
      <c r="AT922">
        <v>2.1840000000000002</v>
      </c>
      <c r="AU922">
        <v>5.4290000000000003</v>
      </c>
      <c r="AV922" t="s">
        <v>3454</v>
      </c>
      <c r="AW922" t="s">
        <v>3455</v>
      </c>
      <c r="AX922" t="s">
        <v>3456</v>
      </c>
    </row>
    <row r="923" spans="1:50" x14ac:dyDescent="0.25">
      <c r="A923" t="s">
        <v>3457</v>
      </c>
      <c r="B923" t="s">
        <v>1679</v>
      </c>
      <c r="C923">
        <v>0</v>
      </c>
      <c r="D923">
        <v>1</v>
      </c>
      <c r="E923" t="s">
        <v>1740</v>
      </c>
      <c r="H923">
        <v>0</v>
      </c>
      <c r="N923">
        <v>1</v>
      </c>
      <c r="Q923">
        <v>1</v>
      </c>
      <c r="R923">
        <v>0</v>
      </c>
      <c r="U923" t="s">
        <v>1735</v>
      </c>
      <c r="V923">
        <v>38</v>
      </c>
      <c r="W923" t="s">
        <v>1688</v>
      </c>
      <c r="X923" t="s">
        <v>80</v>
      </c>
      <c r="Y923">
        <v>0</v>
      </c>
      <c r="AD923" t="s">
        <v>57</v>
      </c>
      <c r="AE923">
        <v>0</v>
      </c>
      <c r="AF923">
        <v>6</v>
      </c>
      <c r="AG923">
        <v>1</v>
      </c>
      <c r="AH923">
        <v>3</v>
      </c>
      <c r="AI923">
        <v>512</v>
      </c>
      <c r="AJ923">
        <v>512</v>
      </c>
      <c r="AK923">
        <v>134</v>
      </c>
      <c r="AL923" t="s">
        <v>350</v>
      </c>
      <c r="AM923">
        <v>2.4</v>
      </c>
      <c r="AN923" t="s">
        <v>1786</v>
      </c>
      <c r="AO923" t="s">
        <v>67</v>
      </c>
      <c r="AP923" t="s">
        <v>68</v>
      </c>
      <c r="AQ923">
        <v>15</v>
      </c>
      <c r="AR923">
        <v>273</v>
      </c>
      <c r="AS923">
        <v>546</v>
      </c>
      <c r="AT923">
        <v>2.7120000000000002</v>
      </c>
      <c r="AU923">
        <v>6.476</v>
      </c>
      <c r="AV923" t="s">
        <v>1817</v>
      </c>
      <c r="AW923" t="s">
        <v>2428</v>
      </c>
      <c r="AX923" t="s">
        <v>3458</v>
      </c>
    </row>
    <row r="924" spans="1:50" x14ac:dyDescent="0.25">
      <c r="A924" t="s">
        <v>3459</v>
      </c>
      <c r="B924" t="s">
        <v>1679</v>
      </c>
      <c r="C924">
        <v>0</v>
      </c>
      <c r="D924">
        <v>0</v>
      </c>
      <c r="E924" t="s">
        <v>1725</v>
      </c>
      <c r="H924">
        <v>1</v>
      </c>
      <c r="N924">
        <v>0</v>
      </c>
      <c r="Q924">
        <v>0</v>
      </c>
      <c r="R924">
        <v>0</v>
      </c>
      <c r="U924" t="s">
        <v>65</v>
      </c>
      <c r="V924">
        <v>43</v>
      </c>
      <c r="W924" t="s">
        <v>1726</v>
      </c>
      <c r="X924" t="s">
        <v>80</v>
      </c>
      <c r="Y924">
        <v>0</v>
      </c>
      <c r="Z924">
        <v>61.234977739500003</v>
      </c>
      <c r="AB924" t="s">
        <v>74</v>
      </c>
      <c r="AD924" t="s">
        <v>57</v>
      </c>
      <c r="AE924">
        <v>1</v>
      </c>
      <c r="AF924">
        <v>6</v>
      </c>
      <c r="AG924">
        <v>1</v>
      </c>
      <c r="AH924">
        <v>1.5</v>
      </c>
      <c r="AI924">
        <v>384</v>
      </c>
      <c r="AJ924">
        <v>384</v>
      </c>
      <c r="AK924">
        <v>144</v>
      </c>
      <c r="AL924" t="s">
        <v>3460</v>
      </c>
      <c r="AM924">
        <v>1.2000000476999999</v>
      </c>
      <c r="AN924" t="s">
        <v>2146</v>
      </c>
      <c r="AO924" t="s">
        <v>59</v>
      </c>
      <c r="AP924" t="s">
        <v>2147</v>
      </c>
      <c r="AQ924">
        <v>11</v>
      </c>
      <c r="AR924">
        <v>23</v>
      </c>
      <c r="AS924">
        <v>59</v>
      </c>
      <c r="AT924">
        <v>1.64</v>
      </c>
      <c r="AU924">
        <v>4.57</v>
      </c>
      <c r="AV924" t="s">
        <v>3461</v>
      </c>
      <c r="AW924" t="s">
        <v>3462</v>
      </c>
      <c r="AX924" t="s">
        <v>3463</v>
      </c>
    </row>
    <row r="925" spans="1:50" x14ac:dyDescent="0.25">
      <c r="A925" t="s">
        <v>3464</v>
      </c>
      <c r="B925" t="s">
        <v>1679</v>
      </c>
      <c r="C925">
        <v>0</v>
      </c>
      <c r="D925">
        <v>1</v>
      </c>
      <c r="E925" t="s">
        <v>1680</v>
      </c>
      <c r="H925">
        <v>0</v>
      </c>
      <c r="N925">
        <v>1</v>
      </c>
      <c r="Q925">
        <v>0</v>
      </c>
      <c r="R925">
        <v>0</v>
      </c>
      <c r="U925" t="s">
        <v>1687</v>
      </c>
      <c r="V925">
        <v>46</v>
      </c>
      <c r="W925" t="s">
        <v>1688</v>
      </c>
      <c r="X925" t="s">
        <v>80</v>
      </c>
      <c r="Y925">
        <v>0</v>
      </c>
      <c r="Z925">
        <v>84</v>
      </c>
      <c r="AB925" t="s">
        <v>118</v>
      </c>
      <c r="AD925" t="s">
        <v>57</v>
      </c>
      <c r="AE925">
        <v>0</v>
      </c>
      <c r="AF925">
        <v>6</v>
      </c>
      <c r="AG925">
        <v>1</v>
      </c>
      <c r="AH925">
        <v>1.5</v>
      </c>
      <c r="AI925">
        <v>512</v>
      </c>
      <c r="AJ925">
        <v>512</v>
      </c>
      <c r="AK925">
        <v>66</v>
      </c>
      <c r="AL925" t="s">
        <v>113</v>
      </c>
      <c r="AM925">
        <v>2.4</v>
      </c>
      <c r="AN925" t="s">
        <v>1942</v>
      </c>
      <c r="AO925" t="s">
        <v>67</v>
      </c>
      <c r="AP925" t="s">
        <v>68</v>
      </c>
      <c r="AQ925">
        <v>15</v>
      </c>
      <c r="AR925">
        <v>372</v>
      </c>
      <c r="AS925">
        <v>745</v>
      </c>
      <c r="AT925">
        <v>2.996</v>
      </c>
      <c r="AU925">
        <v>6.2320000000000002</v>
      </c>
      <c r="AV925" t="s">
        <v>3465</v>
      </c>
      <c r="AW925" t="s">
        <v>3466</v>
      </c>
      <c r="AX925" t="s">
        <v>3467</v>
      </c>
    </row>
    <row r="926" spans="1:50" x14ac:dyDescent="0.25">
      <c r="A926" t="s">
        <v>3468</v>
      </c>
      <c r="B926" t="s">
        <v>1679</v>
      </c>
      <c r="C926">
        <v>0</v>
      </c>
      <c r="D926">
        <v>0</v>
      </c>
      <c r="E926" t="s">
        <v>1686</v>
      </c>
      <c r="H926">
        <v>0</v>
      </c>
      <c r="N926">
        <v>0</v>
      </c>
      <c r="Q926">
        <v>0</v>
      </c>
      <c r="R926">
        <v>1</v>
      </c>
      <c r="U926" t="s">
        <v>65</v>
      </c>
      <c r="V926">
        <v>36</v>
      </c>
      <c r="X926" t="s">
        <v>80</v>
      </c>
      <c r="Y926">
        <v>0</v>
      </c>
      <c r="AD926" t="s">
        <v>57</v>
      </c>
      <c r="AE926">
        <v>1</v>
      </c>
      <c r="AF926">
        <v>6</v>
      </c>
      <c r="AG926">
        <v>1</v>
      </c>
      <c r="AH926">
        <v>1.5</v>
      </c>
      <c r="AI926">
        <v>384</v>
      </c>
      <c r="AJ926">
        <v>384</v>
      </c>
      <c r="AK926">
        <v>160</v>
      </c>
      <c r="AL926" t="s">
        <v>1835</v>
      </c>
      <c r="AM926">
        <v>1</v>
      </c>
      <c r="AN926" t="s">
        <v>1728</v>
      </c>
      <c r="AO926" t="s">
        <v>59</v>
      </c>
      <c r="AP926" t="s">
        <v>1729</v>
      </c>
      <c r="AQ926">
        <v>11</v>
      </c>
      <c r="AR926">
        <v>49</v>
      </c>
      <c r="AS926">
        <v>135</v>
      </c>
      <c r="AT926">
        <v>1.81</v>
      </c>
      <c r="AU926">
        <v>5.05</v>
      </c>
      <c r="AV926" t="s">
        <v>1730</v>
      </c>
      <c r="AW926" t="s">
        <v>3469</v>
      </c>
      <c r="AX926" t="s">
        <v>3470</v>
      </c>
    </row>
    <row r="927" spans="1:50" x14ac:dyDescent="0.25">
      <c r="A927" t="s">
        <v>3471</v>
      </c>
      <c r="B927" t="s">
        <v>1679</v>
      </c>
      <c r="C927">
        <v>0</v>
      </c>
      <c r="D927">
        <v>0</v>
      </c>
      <c r="E927" t="s">
        <v>1703</v>
      </c>
      <c r="H927">
        <v>0</v>
      </c>
      <c r="N927">
        <v>0</v>
      </c>
      <c r="Q927">
        <v>0</v>
      </c>
      <c r="R927">
        <v>1</v>
      </c>
      <c r="U927" t="s">
        <v>65</v>
      </c>
      <c r="V927">
        <v>59</v>
      </c>
      <c r="W927" t="s">
        <v>79</v>
      </c>
      <c r="X927" t="s">
        <v>80</v>
      </c>
      <c r="Y927">
        <v>0</v>
      </c>
      <c r="Z927">
        <v>90.718485540000003</v>
      </c>
      <c r="AB927" t="s">
        <v>118</v>
      </c>
      <c r="AD927" t="s">
        <v>57</v>
      </c>
      <c r="AE927">
        <v>1</v>
      </c>
      <c r="AF927">
        <v>6</v>
      </c>
      <c r="AG927">
        <v>1</v>
      </c>
      <c r="AH927">
        <v>1.5</v>
      </c>
      <c r="AI927">
        <v>384</v>
      </c>
      <c r="AJ927">
        <v>384</v>
      </c>
      <c r="AK927">
        <v>144</v>
      </c>
      <c r="AL927" t="s">
        <v>3472</v>
      </c>
      <c r="AM927">
        <v>1.2000000476999999</v>
      </c>
      <c r="AN927" t="s">
        <v>2146</v>
      </c>
      <c r="AO927" t="s">
        <v>59</v>
      </c>
      <c r="AP927" t="s">
        <v>2147</v>
      </c>
      <c r="AQ927">
        <v>11</v>
      </c>
      <c r="AR927">
        <v>36</v>
      </c>
      <c r="AS927">
        <v>96</v>
      </c>
      <c r="AT927">
        <v>1.52</v>
      </c>
      <c r="AU927">
        <v>4.57</v>
      </c>
      <c r="AV927" t="s">
        <v>2198</v>
      </c>
      <c r="AW927" t="s">
        <v>2928</v>
      </c>
      <c r="AX927" t="s">
        <v>3473</v>
      </c>
    </row>
    <row r="928" spans="1:50" x14ac:dyDescent="0.25">
      <c r="A928" t="s">
        <v>3474</v>
      </c>
      <c r="B928" t="s">
        <v>1679</v>
      </c>
      <c r="C928">
        <v>0</v>
      </c>
      <c r="D928">
        <v>1</v>
      </c>
      <c r="E928" t="s">
        <v>2035</v>
      </c>
      <c r="H928">
        <v>1</v>
      </c>
      <c r="N928">
        <v>0</v>
      </c>
      <c r="Q928">
        <v>1</v>
      </c>
      <c r="R928">
        <v>1</v>
      </c>
      <c r="U928" t="s">
        <v>72</v>
      </c>
      <c r="V928">
        <v>50</v>
      </c>
      <c r="X928" t="s">
        <v>55</v>
      </c>
      <c r="Y928">
        <v>0</v>
      </c>
      <c r="Z928">
        <v>93.44</v>
      </c>
      <c r="AB928" t="s">
        <v>118</v>
      </c>
      <c r="AD928" t="s">
        <v>57</v>
      </c>
      <c r="AE928">
        <v>0</v>
      </c>
      <c r="AF928">
        <v>6</v>
      </c>
      <c r="AG928">
        <v>1</v>
      </c>
      <c r="AH928">
        <v>3</v>
      </c>
      <c r="AI928">
        <v>512</v>
      </c>
      <c r="AJ928">
        <v>512</v>
      </c>
      <c r="AK928">
        <v>72</v>
      </c>
      <c r="AL928" t="s">
        <v>196</v>
      </c>
      <c r="AM928">
        <v>2.2000000000000002</v>
      </c>
      <c r="AN928" t="s">
        <v>1915</v>
      </c>
      <c r="AO928" t="s">
        <v>67</v>
      </c>
      <c r="AP928" t="s">
        <v>68</v>
      </c>
      <c r="AQ928">
        <v>15</v>
      </c>
      <c r="AR928">
        <v>291</v>
      </c>
      <c r="AS928">
        <v>582</v>
      </c>
      <c r="AT928">
        <v>2.1280000000000001</v>
      </c>
      <c r="AU928">
        <v>5.093</v>
      </c>
      <c r="AV928" t="s">
        <v>3475</v>
      </c>
      <c r="AW928" t="s">
        <v>2624</v>
      </c>
      <c r="AX928" t="s">
        <v>3476</v>
      </c>
    </row>
    <row r="929" spans="1:50" x14ac:dyDescent="0.25">
      <c r="A929" t="s">
        <v>3477</v>
      </c>
      <c r="B929" t="s">
        <v>1679</v>
      </c>
      <c r="C929">
        <v>0</v>
      </c>
      <c r="D929">
        <v>0</v>
      </c>
      <c r="E929" t="s">
        <v>1680</v>
      </c>
      <c r="H929">
        <v>0</v>
      </c>
      <c r="N929">
        <v>1</v>
      </c>
      <c r="Q929">
        <v>0</v>
      </c>
      <c r="R929">
        <v>0</v>
      </c>
      <c r="U929" t="s">
        <v>1687</v>
      </c>
      <c r="V929">
        <v>46</v>
      </c>
      <c r="W929" t="s">
        <v>1688</v>
      </c>
      <c r="X929" t="s">
        <v>80</v>
      </c>
      <c r="Y929">
        <v>0</v>
      </c>
      <c r="Z929">
        <v>53.524000000000001</v>
      </c>
      <c r="AB929" t="s">
        <v>74</v>
      </c>
      <c r="AD929" t="s">
        <v>57</v>
      </c>
      <c r="AE929">
        <v>0</v>
      </c>
      <c r="AF929">
        <v>6</v>
      </c>
      <c r="AG929">
        <v>1</v>
      </c>
      <c r="AH929">
        <v>1.5</v>
      </c>
      <c r="AI929">
        <v>512</v>
      </c>
      <c r="AJ929">
        <v>512</v>
      </c>
      <c r="AK929">
        <v>80</v>
      </c>
      <c r="AL929" t="s">
        <v>196</v>
      </c>
      <c r="AM929">
        <v>2</v>
      </c>
      <c r="AN929" t="s">
        <v>996</v>
      </c>
      <c r="AO929" t="s">
        <v>67</v>
      </c>
      <c r="AP929" t="s">
        <v>68</v>
      </c>
      <c r="AQ929">
        <v>15</v>
      </c>
      <c r="AR929">
        <v>205</v>
      </c>
      <c r="AS929">
        <v>411</v>
      </c>
      <c r="AT929">
        <v>4.2320000000000002</v>
      </c>
      <c r="AU929">
        <v>7.008</v>
      </c>
      <c r="AV929" t="s">
        <v>3478</v>
      </c>
      <c r="AW929" t="s">
        <v>3000</v>
      </c>
      <c r="AX929" t="s">
        <v>3479</v>
      </c>
    </row>
    <row r="930" spans="1:50" x14ac:dyDescent="0.25">
      <c r="A930" t="s">
        <v>3480</v>
      </c>
      <c r="B930" t="s">
        <v>1679</v>
      </c>
      <c r="C930">
        <v>0</v>
      </c>
      <c r="D930">
        <v>1</v>
      </c>
      <c r="E930" t="s">
        <v>1703</v>
      </c>
      <c r="H930">
        <v>0</v>
      </c>
      <c r="N930">
        <v>1</v>
      </c>
      <c r="Q930">
        <v>0</v>
      </c>
      <c r="R930">
        <v>0</v>
      </c>
      <c r="U930" t="s">
        <v>1687</v>
      </c>
      <c r="V930">
        <v>63</v>
      </c>
      <c r="W930" t="s">
        <v>79</v>
      </c>
      <c r="X930" t="s">
        <v>80</v>
      </c>
      <c r="Y930">
        <v>0</v>
      </c>
      <c r="AD930" t="s">
        <v>57</v>
      </c>
      <c r="AE930">
        <v>0</v>
      </c>
      <c r="AF930">
        <v>6</v>
      </c>
      <c r="AG930">
        <v>1</v>
      </c>
      <c r="AH930">
        <v>1.5</v>
      </c>
      <c r="AI930">
        <v>512</v>
      </c>
      <c r="AJ930">
        <v>512</v>
      </c>
      <c r="AK930">
        <v>88</v>
      </c>
      <c r="AL930" t="s">
        <v>66</v>
      </c>
      <c r="AM930">
        <v>1.8</v>
      </c>
      <c r="AN930" t="s">
        <v>1681</v>
      </c>
      <c r="AO930" t="s">
        <v>67</v>
      </c>
      <c r="AP930" t="s">
        <v>68</v>
      </c>
      <c r="AQ930">
        <v>15</v>
      </c>
      <c r="AR930">
        <v>793</v>
      </c>
      <c r="AS930">
        <v>2055</v>
      </c>
      <c r="AT930">
        <v>2.6960000000000002</v>
      </c>
      <c r="AU930">
        <v>6.5759999999999996</v>
      </c>
      <c r="AV930" t="s">
        <v>3481</v>
      </c>
      <c r="AW930" t="s">
        <v>3482</v>
      </c>
      <c r="AX930" t="s">
        <v>3483</v>
      </c>
    </row>
    <row r="931" spans="1:50" x14ac:dyDescent="0.25">
      <c r="A931" t="s">
        <v>3484</v>
      </c>
      <c r="B931" t="s">
        <v>1679</v>
      </c>
      <c r="C931">
        <v>0</v>
      </c>
      <c r="D931">
        <v>0</v>
      </c>
      <c r="E931" t="s">
        <v>1703</v>
      </c>
      <c r="H931">
        <v>0</v>
      </c>
      <c r="N931">
        <v>0</v>
      </c>
      <c r="Q931">
        <v>0</v>
      </c>
      <c r="R931">
        <v>1</v>
      </c>
      <c r="U931" t="s">
        <v>65</v>
      </c>
      <c r="V931">
        <v>52</v>
      </c>
      <c r="W931" t="s">
        <v>79</v>
      </c>
      <c r="X931" t="s">
        <v>80</v>
      </c>
      <c r="Y931">
        <v>0</v>
      </c>
      <c r="Z931">
        <v>61.234999999999999</v>
      </c>
      <c r="AB931" t="s">
        <v>74</v>
      </c>
      <c r="AD931" t="s">
        <v>57</v>
      </c>
      <c r="AE931">
        <v>0</v>
      </c>
      <c r="AF931">
        <v>6</v>
      </c>
      <c r="AG931">
        <v>1</v>
      </c>
      <c r="AH931">
        <v>3</v>
      </c>
      <c r="AI931">
        <v>512</v>
      </c>
      <c r="AJ931">
        <v>512</v>
      </c>
      <c r="AK931">
        <v>128</v>
      </c>
      <c r="AL931" t="s">
        <v>81</v>
      </c>
      <c r="AM931">
        <v>2.4</v>
      </c>
      <c r="AN931" t="s">
        <v>1786</v>
      </c>
      <c r="AO931" t="s">
        <v>67</v>
      </c>
      <c r="AP931" t="s">
        <v>68</v>
      </c>
      <c r="AQ931">
        <v>15</v>
      </c>
      <c r="AR931">
        <v>190</v>
      </c>
      <c r="AS931">
        <v>380</v>
      </c>
      <c r="AT931">
        <v>2.8479999999999999</v>
      </c>
      <c r="AU931">
        <v>7.8079999999999998</v>
      </c>
      <c r="AV931" t="s">
        <v>2106</v>
      </c>
      <c r="AW931" t="s">
        <v>2624</v>
      </c>
      <c r="AX931" t="s">
        <v>3485</v>
      </c>
    </row>
    <row r="932" spans="1:50" x14ac:dyDescent="0.25">
      <c r="A932" t="s">
        <v>3486</v>
      </c>
      <c r="B932" t="s">
        <v>1679</v>
      </c>
      <c r="C932">
        <v>0</v>
      </c>
      <c r="D932">
        <v>1</v>
      </c>
      <c r="E932" t="s">
        <v>1693</v>
      </c>
      <c r="H932">
        <v>0</v>
      </c>
      <c r="N932">
        <v>0</v>
      </c>
      <c r="Q932">
        <v>0</v>
      </c>
      <c r="R932">
        <v>1</v>
      </c>
      <c r="U932" t="s">
        <v>65</v>
      </c>
      <c r="V932">
        <v>34</v>
      </c>
      <c r="W932" t="s">
        <v>1688</v>
      </c>
      <c r="X932" t="s">
        <v>80</v>
      </c>
      <c r="Y932">
        <v>0</v>
      </c>
      <c r="Z932">
        <v>113.398</v>
      </c>
      <c r="AB932" t="s">
        <v>269</v>
      </c>
      <c r="AD932" t="s">
        <v>57</v>
      </c>
      <c r="AE932">
        <v>0</v>
      </c>
      <c r="AF932">
        <v>6</v>
      </c>
      <c r="AG932">
        <v>1</v>
      </c>
      <c r="AH932">
        <v>1.5</v>
      </c>
      <c r="AI932">
        <v>512</v>
      </c>
      <c r="AJ932">
        <v>512</v>
      </c>
      <c r="AK932">
        <v>52</v>
      </c>
      <c r="AL932" t="s">
        <v>81</v>
      </c>
      <c r="AM932">
        <v>2.6</v>
      </c>
      <c r="AN932" t="s">
        <v>1897</v>
      </c>
      <c r="AO932" t="s">
        <v>67</v>
      </c>
      <c r="AP932" t="s">
        <v>68</v>
      </c>
      <c r="AQ932">
        <v>15</v>
      </c>
      <c r="AR932">
        <v>22</v>
      </c>
      <c r="AS932">
        <v>44</v>
      </c>
      <c r="AT932">
        <v>4.2439999999999998</v>
      </c>
      <c r="AU932">
        <v>8.6519999999999992</v>
      </c>
      <c r="AV932" t="s">
        <v>3487</v>
      </c>
      <c r="AW932" t="s">
        <v>3488</v>
      </c>
      <c r="AX932" t="s">
        <v>3489</v>
      </c>
    </row>
    <row r="933" spans="1:50" x14ac:dyDescent="0.25">
      <c r="A933" t="s">
        <v>3490</v>
      </c>
      <c r="B933" t="s">
        <v>1679</v>
      </c>
      <c r="C933">
        <v>0</v>
      </c>
      <c r="D933">
        <v>1</v>
      </c>
      <c r="E933" t="s">
        <v>1686</v>
      </c>
      <c r="H933">
        <v>1</v>
      </c>
      <c r="N933">
        <v>0</v>
      </c>
      <c r="Q933">
        <v>0</v>
      </c>
      <c r="R933">
        <v>0</v>
      </c>
      <c r="U933" t="s">
        <v>65</v>
      </c>
      <c r="V933">
        <v>50</v>
      </c>
      <c r="W933" t="s">
        <v>1704</v>
      </c>
      <c r="X933" t="s">
        <v>80</v>
      </c>
      <c r="Y933">
        <v>0</v>
      </c>
      <c r="Z933">
        <v>99.79</v>
      </c>
      <c r="AB933" t="s">
        <v>56</v>
      </c>
      <c r="AD933" t="s">
        <v>57</v>
      </c>
      <c r="AE933">
        <v>0</v>
      </c>
      <c r="AF933">
        <v>6</v>
      </c>
      <c r="AG933">
        <v>1</v>
      </c>
      <c r="AH933">
        <v>1.5</v>
      </c>
      <c r="AI933">
        <v>512</v>
      </c>
      <c r="AJ933">
        <v>512</v>
      </c>
      <c r="AK933">
        <v>80</v>
      </c>
      <c r="AL933" t="s">
        <v>119</v>
      </c>
      <c r="AM933">
        <v>2</v>
      </c>
      <c r="AN933" t="s">
        <v>1681</v>
      </c>
      <c r="AO933" t="s">
        <v>67</v>
      </c>
      <c r="AP933" t="s">
        <v>68</v>
      </c>
      <c r="AQ933">
        <v>15</v>
      </c>
      <c r="AR933">
        <v>369</v>
      </c>
      <c r="AS933">
        <v>890</v>
      </c>
      <c r="AT933">
        <v>2.56</v>
      </c>
      <c r="AU933">
        <v>5.25</v>
      </c>
      <c r="AV933" t="s">
        <v>3491</v>
      </c>
      <c r="AW933" t="s">
        <v>1935</v>
      </c>
      <c r="AX933" t="s">
        <v>3492</v>
      </c>
    </row>
    <row r="934" spans="1:50" x14ac:dyDescent="0.25">
      <c r="A934" t="s">
        <v>3493</v>
      </c>
      <c r="B934" t="s">
        <v>1679</v>
      </c>
      <c r="C934">
        <v>0</v>
      </c>
      <c r="D934">
        <v>0</v>
      </c>
      <c r="E934" t="s">
        <v>1740</v>
      </c>
      <c r="H934">
        <v>1</v>
      </c>
      <c r="N934">
        <v>0</v>
      </c>
      <c r="Q934">
        <v>1</v>
      </c>
      <c r="R934">
        <v>0</v>
      </c>
      <c r="U934" t="s">
        <v>72</v>
      </c>
      <c r="V934">
        <v>58</v>
      </c>
      <c r="W934" t="s">
        <v>79</v>
      </c>
      <c r="X934" t="s">
        <v>80</v>
      </c>
      <c r="Y934">
        <v>0</v>
      </c>
      <c r="AD934" t="s">
        <v>57</v>
      </c>
      <c r="AE934">
        <v>0</v>
      </c>
      <c r="AF934">
        <v>6</v>
      </c>
      <c r="AG934">
        <v>1</v>
      </c>
      <c r="AH934">
        <v>1.5</v>
      </c>
      <c r="AI934">
        <v>512</v>
      </c>
      <c r="AJ934">
        <v>512</v>
      </c>
      <c r="AK934">
        <v>80</v>
      </c>
      <c r="AL934" t="s">
        <v>66</v>
      </c>
      <c r="AM934">
        <v>2</v>
      </c>
      <c r="AN934" t="s">
        <v>1681</v>
      </c>
      <c r="AO934" t="s">
        <v>67</v>
      </c>
      <c r="AP934" t="s">
        <v>68</v>
      </c>
      <c r="AQ934">
        <v>15</v>
      </c>
      <c r="AR934">
        <v>310</v>
      </c>
      <c r="AS934">
        <v>621</v>
      </c>
      <c r="AT934">
        <v>2.6960000000000002</v>
      </c>
      <c r="AU934">
        <v>6.5679999999999996</v>
      </c>
      <c r="AV934" t="s">
        <v>3494</v>
      </c>
      <c r="AW934" t="s">
        <v>3495</v>
      </c>
      <c r="AX934" t="s">
        <v>3496</v>
      </c>
    </row>
    <row r="935" spans="1:50" x14ac:dyDescent="0.25">
      <c r="A935" t="s">
        <v>3497</v>
      </c>
      <c r="B935" t="s">
        <v>1679</v>
      </c>
      <c r="C935">
        <v>0</v>
      </c>
      <c r="D935">
        <v>1</v>
      </c>
      <c r="E935" t="s">
        <v>1703</v>
      </c>
      <c r="H935">
        <v>0</v>
      </c>
      <c r="N935">
        <v>1</v>
      </c>
      <c r="Q935">
        <v>0</v>
      </c>
      <c r="R935">
        <v>1</v>
      </c>
      <c r="U935" t="s">
        <v>1687</v>
      </c>
      <c r="V935">
        <v>37</v>
      </c>
      <c r="W935" t="s">
        <v>1726</v>
      </c>
      <c r="X935" t="s">
        <v>80</v>
      </c>
      <c r="Y935">
        <v>0</v>
      </c>
      <c r="Z935">
        <v>61</v>
      </c>
      <c r="AA935">
        <v>1.67</v>
      </c>
      <c r="AB935" t="s">
        <v>74</v>
      </c>
      <c r="AD935" t="s">
        <v>57</v>
      </c>
      <c r="AE935">
        <v>1</v>
      </c>
      <c r="AF935">
        <v>6</v>
      </c>
      <c r="AG935">
        <v>1</v>
      </c>
      <c r="AH935">
        <v>3</v>
      </c>
      <c r="AI935">
        <v>384</v>
      </c>
      <c r="AJ935">
        <v>384</v>
      </c>
      <c r="AK935">
        <v>72</v>
      </c>
      <c r="AL935" t="s">
        <v>1800</v>
      </c>
      <c r="AM935">
        <v>2.5</v>
      </c>
      <c r="AN935" t="s">
        <v>1114</v>
      </c>
      <c r="AO935" t="s">
        <v>59</v>
      </c>
      <c r="AP935" t="s">
        <v>1781</v>
      </c>
      <c r="AQ935">
        <v>11</v>
      </c>
      <c r="AR935">
        <v>55</v>
      </c>
      <c r="AS935">
        <v>150</v>
      </c>
      <c r="AT935">
        <v>1.42</v>
      </c>
      <c r="AU935">
        <v>4.32</v>
      </c>
      <c r="AV935" t="s">
        <v>3498</v>
      </c>
      <c r="AW935" t="s">
        <v>3499</v>
      </c>
      <c r="AX935" t="s">
        <v>3500</v>
      </c>
    </row>
    <row r="936" spans="1:50" x14ac:dyDescent="0.25">
      <c r="A936" t="s">
        <v>3501</v>
      </c>
      <c r="B936" t="s">
        <v>1679</v>
      </c>
      <c r="C936">
        <v>0</v>
      </c>
      <c r="D936">
        <v>0</v>
      </c>
      <c r="E936" t="s">
        <v>1680</v>
      </c>
      <c r="H936">
        <v>1</v>
      </c>
      <c r="N936">
        <v>1</v>
      </c>
      <c r="Q936">
        <v>0</v>
      </c>
      <c r="R936">
        <v>1</v>
      </c>
      <c r="U936" t="s">
        <v>1687</v>
      </c>
      <c r="V936">
        <v>35</v>
      </c>
      <c r="W936" t="s">
        <v>1688</v>
      </c>
      <c r="X936" t="s">
        <v>80</v>
      </c>
      <c r="Y936">
        <v>0</v>
      </c>
      <c r="Z936">
        <v>92.986447678499999</v>
      </c>
      <c r="AB936" t="s">
        <v>118</v>
      </c>
      <c r="AD936" t="s">
        <v>57</v>
      </c>
      <c r="AE936">
        <v>1</v>
      </c>
      <c r="AF936">
        <v>6</v>
      </c>
      <c r="AG936">
        <v>1</v>
      </c>
      <c r="AH936">
        <v>1.5</v>
      </c>
      <c r="AI936">
        <v>384</v>
      </c>
      <c r="AJ936">
        <v>384</v>
      </c>
      <c r="AK936">
        <v>160</v>
      </c>
      <c r="AL936" t="s">
        <v>1727</v>
      </c>
      <c r="AM936">
        <v>1</v>
      </c>
      <c r="AN936" t="s">
        <v>1741</v>
      </c>
      <c r="AO936" t="s">
        <v>59</v>
      </c>
      <c r="AP936" t="s">
        <v>60</v>
      </c>
      <c r="AQ936">
        <v>11</v>
      </c>
      <c r="AR936">
        <v>306</v>
      </c>
      <c r="AS936">
        <v>716</v>
      </c>
      <c r="AT936">
        <v>2.29</v>
      </c>
      <c r="AU936">
        <v>5.15</v>
      </c>
      <c r="AV936" t="s">
        <v>3502</v>
      </c>
      <c r="AW936" t="s">
        <v>3503</v>
      </c>
      <c r="AX936" t="s">
        <v>3504</v>
      </c>
    </row>
    <row r="937" spans="1:50" x14ac:dyDescent="0.25">
      <c r="A937" t="s">
        <v>3505</v>
      </c>
      <c r="B937" t="s">
        <v>1679</v>
      </c>
      <c r="C937">
        <v>0</v>
      </c>
      <c r="D937">
        <v>0</v>
      </c>
      <c r="E937" t="s">
        <v>1693</v>
      </c>
      <c r="H937">
        <v>1</v>
      </c>
      <c r="N937">
        <v>1</v>
      </c>
      <c r="Q937">
        <v>0</v>
      </c>
      <c r="R937">
        <v>0</v>
      </c>
      <c r="U937" t="s">
        <v>1687</v>
      </c>
      <c r="V937">
        <v>53</v>
      </c>
      <c r="W937" t="s">
        <v>79</v>
      </c>
      <c r="X937" t="s">
        <v>1211</v>
      </c>
      <c r="Y937">
        <v>0</v>
      </c>
      <c r="Z937">
        <v>89.811000000000007</v>
      </c>
      <c r="AB937" t="s">
        <v>118</v>
      </c>
      <c r="AD937" t="s">
        <v>57</v>
      </c>
      <c r="AE937">
        <v>0</v>
      </c>
      <c r="AF937">
        <v>6</v>
      </c>
      <c r="AG937">
        <v>1</v>
      </c>
      <c r="AH937">
        <v>3</v>
      </c>
      <c r="AI937">
        <v>512</v>
      </c>
      <c r="AJ937">
        <v>512</v>
      </c>
      <c r="AK937">
        <v>150</v>
      </c>
      <c r="AL937" t="s">
        <v>350</v>
      </c>
      <c r="AM937">
        <v>2.4</v>
      </c>
      <c r="AN937" t="s">
        <v>1786</v>
      </c>
      <c r="AO937" t="s">
        <v>67</v>
      </c>
      <c r="AP937" t="s">
        <v>68</v>
      </c>
      <c r="AQ937">
        <v>15</v>
      </c>
      <c r="AR937">
        <v>243</v>
      </c>
      <c r="AS937">
        <v>486</v>
      </c>
      <c r="AT937">
        <v>2.7120000000000002</v>
      </c>
      <c r="AU937">
        <v>6.52</v>
      </c>
      <c r="AV937" t="s">
        <v>2027</v>
      </c>
      <c r="AW937" t="s">
        <v>3506</v>
      </c>
      <c r="AX937" t="s">
        <v>3507</v>
      </c>
    </row>
    <row r="938" spans="1:50" x14ac:dyDescent="0.25">
      <c r="A938" t="s">
        <v>3508</v>
      </c>
      <c r="B938" t="s">
        <v>1679</v>
      </c>
      <c r="C938">
        <v>0</v>
      </c>
      <c r="D938">
        <v>1</v>
      </c>
      <c r="E938" t="s">
        <v>1725</v>
      </c>
      <c r="H938">
        <v>0</v>
      </c>
      <c r="N938">
        <v>0</v>
      </c>
      <c r="Q938">
        <v>0</v>
      </c>
      <c r="R938">
        <v>1</v>
      </c>
      <c r="U938" t="s">
        <v>65</v>
      </c>
      <c r="V938">
        <v>35</v>
      </c>
      <c r="W938" t="s">
        <v>1688</v>
      </c>
      <c r="X938" t="s">
        <v>80</v>
      </c>
      <c r="Y938">
        <v>0</v>
      </c>
      <c r="Z938">
        <v>80</v>
      </c>
      <c r="AB938" t="s">
        <v>94</v>
      </c>
      <c r="AD938" t="s">
        <v>57</v>
      </c>
      <c r="AE938">
        <v>0</v>
      </c>
      <c r="AF938">
        <v>6</v>
      </c>
      <c r="AG938">
        <v>1</v>
      </c>
      <c r="AH938">
        <v>1.5</v>
      </c>
      <c r="AI938">
        <v>512</v>
      </c>
      <c r="AJ938">
        <v>512</v>
      </c>
      <c r="AK938">
        <v>160</v>
      </c>
      <c r="AL938" t="s">
        <v>1010</v>
      </c>
      <c r="AM938">
        <v>2</v>
      </c>
      <c r="AN938" t="s">
        <v>1154</v>
      </c>
      <c r="AO938" t="s">
        <v>1155</v>
      </c>
      <c r="AP938" t="s">
        <v>1305</v>
      </c>
      <c r="AQ938">
        <v>11</v>
      </c>
      <c r="AR938">
        <v>843</v>
      </c>
      <c r="AS938">
        <v>1466</v>
      </c>
      <c r="AT938">
        <v>2.8140000000000001</v>
      </c>
      <c r="AU938">
        <v>5.4090999999999996</v>
      </c>
      <c r="AV938" t="s">
        <v>3509</v>
      </c>
      <c r="AW938" t="s">
        <v>3510</v>
      </c>
      <c r="AX938" t="s">
        <v>3511</v>
      </c>
    </row>
    <row r="939" spans="1:50" x14ac:dyDescent="0.25">
      <c r="A939" t="s">
        <v>3512</v>
      </c>
      <c r="B939" t="s">
        <v>1679</v>
      </c>
      <c r="C939">
        <v>0</v>
      </c>
      <c r="D939">
        <v>1</v>
      </c>
      <c r="E939" t="s">
        <v>1703</v>
      </c>
      <c r="H939">
        <v>0</v>
      </c>
      <c r="N939">
        <v>1</v>
      </c>
      <c r="Q939">
        <v>0</v>
      </c>
      <c r="R939">
        <v>0</v>
      </c>
      <c r="U939" t="s">
        <v>1687</v>
      </c>
      <c r="V939">
        <v>55</v>
      </c>
      <c r="X939" t="s">
        <v>55</v>
      </c>
      <c r="Y939">
        <v>0</v>
      </c>
      <c r="Z939">
        <v>108.86199999999999</v>
      </c>
      <c r="AB939" t="s">
        <v>56</v>
      </c>
      <c r="AD939" t="s">
        <v>57</v>
      </c>
      <c r="AE939">
        <v>0</v>
      </c>
      <c r="AF939">
        <v>6</v>
      </c>
      <c r="AG939">
        <v>1</v>
      </c>
      <c r="AH939">
        <v>1.5</v>
      </c>
      <c r="AI939">
        <v>512</v>
      </c>
      <c r="AJ939">
        <v>512</v>
      </c>
      <c r="AK939">
        <v>72</v>
      </c>
      <c r="AL939" t="s">
        <v>119</v>
      </c>
      <c r="AM939">
        <v>2.2000000000000002</v>
      </c>
      <c r="AN939" t="s">
        <v>1072</v>
      </c>
      <c r="AO939" t="s">
        <v>67</v>
      </c>
      <c r="AP939" t="s">
        <v>68</v>
      </c>
      <c r="AQ939">
        <v>15</v>
      </c>
      <c r="AR939">
        <v>199</v>
      </c>
      <c r="AS939">
        <v>399</v>
      </c>
      <c r="AT939">
        <v>4.2359999999999998</v>
      </c>
      <c r="AU939">
        <v>8.6679999999999993</v>
      </c>
      <c r="AV939" t="s">
        <v>3513</v>
      </c>
      <c r="AW939" t="s">
        <v>1683</v>
      </c>
      <c r="AX939" t="s">
        <v>3514</v>
      </c>
    </row>
    <row r="940" spans="1:50" x14ac:dyDescent="0.25">
      <c r="A940" t="s">
        <v>3515</v>
      </c>
      <c r="B940" t="s">
        <v>1679</v>
      </c>
      <c r="C940">
        <v>0</v>
      </c>
      <c r="D940">
        <v>0</v>
      </c>
      <c r="E940" t="s">
        <v>1680</v>
      </c>
      <c r="H940">
        <v>0</v>
      </c>
      <c r="N940">
        <v>1</v>
      </c>
      <c r="Q940">
        <v>0</v>
      </c>
      <c r="R940">
        <v>0</v>
      </c>
      <c r="U940" t="s">
        <v>1687</v>
      </c>
      <c r="V940">
        <v>38</v>
      </c>
      <c r="W940" t="s">
        <v>1688</v>
      </c>
      <c r="X940" t="s">
        <v>80</v>
      </c>
      <c r="Y940">
        <v>0</v>
      </c>
      <c r="Z940">
        <v>79.379000000000005</v>
      </c>
      <c r="AB940" t="s">
        <v>94</v>
      </c>
      <c r="AD940" t="s">
        <v>57</v>
      </c>
      <c r="AE940">
        <v>0</v>
      </c>
      <c r="AF940">
        <v>6</v>
      </c>
      <c r="AG940">
        <v>1</v>
      </c>
      <c r="AH940">
        <v>1.5</v>
      </c>
      <c r="AI940">
        <v>512</v>
      </c>
      <c r="AJ940">
        <v>512</v>
      </c>
      <c r="AK940">
        <v>80</v>
      </c>
      <c r="AL940" t="s">
        <v>153</v>
      </c>
      <c r="AM940">
        <v>2</v>
      </c>
      <c r="AN940" t="s">
        <v>996</v>
      </c>
      <c r="AO940" t="s">
        <v>67</v>
      </c>
      <c r="AP940" t="s">
        <v>68</v>
      </c>
      <c r="AQ940">
        <v>15</v>
      </c>
      <c r="AR940">
        <v>151</v>
      </c>
      <c r="AS940">
        <v>303</v>
      </c>
      <c r="AT940">
        <v>4.2</v>
      </c>
      <c r="AU940">
        <v>7</v>
      </c>
      <c r="AV940" t="s">
        <v>3516</v>
      </c>
      <c r="AW940" t="s">
        <v>3517</v>
      </c>
      <c r="AX940" t="s">
        <v>3518</v>
      </c>
    </row>
    <row r="941" spans="1:50" x14ac:dyDescent="0.25">
      <c r="A941" t="s">
        <v>3519</v>
      </c>
      <c r="B941" t="s">
        <v>1679</v>
      </c>
      <c r="C941">
        <v>0</v>
      </c>
      <c r="D941">
        <v>1</v>
      </c>
      <c r="E941" t="s">
        <v>1703</v>
      </c>
      <c r="H941">
        <v>0</v>
      </c>
      <c r="N941">
        <v>0</v>
      </c>
      <c r="Q941">
        <v>0</v>
      </c>
      <c r="R941">
        <v>0</v>
      </c>
      <c r="U941" t="s">
        <v>65</v>
      </c>
      <c r="V941">
        <v>45</v>
      </c>
      <c r="W941" t="s">
        <v>1726</v>
      </c>
      <c r="X941" t="s">
        <v>80</v>
      </c>
      <c r="Y941">
        <v>0</v>
      </c>
      <c r="AD941" t="s">
        <v>57</v>
      </c>
      <c r="AE941">
        <v>0</v>
      </c>
      <c r="AF941">
        <v>6</v>
      </c>
      <c r="AG941">
        <v>1</v>
      </c>
      <c r="AH941">
        <v>3</v>
      </c>
      <c r="AI941">
        <v>512</v>
      </c>
      <c r="AJ941">
        <v>512</v>
      </c>
      <c r="AK941">
        <v>134</v>
      </c>
      <c r="AL941" t="s">
        <v>81</v>
      </c>
      <c r="AM941">
        <v>2.4</v>
      </c>
      <c r="AN941" t="s">
        <v>1786</v>
      </c>
      <c r="AO941" t="s">
        <v>67</v>
      </c>
      <c r="AP941" t="s">
        <v>68</v>
      </c>
      <c r="AQ941">
        <v>15</v>
      </c>
      <c r="AR941">
        <v>370</v>
      </c>
      <c r="AS941">
        <v>741</v>
      </c>
      <c r="AT941">
        <v>4.25</v>
      </c>
      <c r="AU941">
        <v>7.88</v>
      </c>
      <c r="AV941" t="s">
        <v>1817</v>
      </c>
      <c r="AW941" t="s">
        <v>3520</v>
      </c>
      <c r="AX941" t="s">
        <v>3521</v>
      </c>
    </row>
    <row r="942" spans="1:50" x14ac:dyDescent="0.25">
      <c r="A942" t="s">
        <v>3522</v>
      </c>
      <c r="B942" t="s">
        <v>1679</v>
      </c>
      <c r="C942">
        <v>0</v>
      </c>
      <c r="D942">
        <v>1</v>
      </c>
      <c r="E942" t="s">
        <v>1871</v>
      </c>
      <c r="H942">
        <v>0</v>
      </c>
      <c r="N942">
        <v>1</v>
      </c>
      <c r="Q942">
        <v>1</v>
      </c>
      <c r="R942">
        <v>0</v>
      </c>
      <c r="U942" t="s">
        <v>1735</v>
      </c>
      <c r="V942">
        <v>35</v>
      </c>
      <c r="W942" t="s">
        <v>1688</v>
      </c>
      <c r="X942" t="s">
        <v>80</v>
      </c>
      <c r="Y942">
        <v>0</v>
      </c>
      <c r="Z942">
        <v>62.1421625949</v>
      </c>
      <c r="AB942" t="s">
        <v>74</v>
      </c>
      <c r="AD942" t="s">
        <v>57</v>
      </c>
      <c r="AE942">
        <v>1</v>
      </c>
      <c r="AF942">
        <v>6</v>
      </c>
      <c r="AG942">
        <v>1</v>
      </c>
      <c r="AH942">
        <v>1.5</v>
      </c>
      <c r="AI942">
        <v>384</v>
      </c>
      <c r="AJ942">
        <v>384</v>
      </c>
      <c r="AK942">
        <v>144</v>
      </c>
      <c r="AL942" t="s">
        <v>3523</v>
      </c>
      <c r="AM942">
        <v>1.2000000476999999</v>
      </c>
      <c r="AN942" t="s">
        <v>2146</v>
      </c>
      <c r="AO942" t="s">
        <v>59</v>
      </c>
      <c r="AP942" t="s">
        <v>2147</v>
      </c>
      <c r="AQ942">
        <v>11</v>
      </c>
      <c r="AR942">
        <v>29</v>
      </c>
      <c r="AS942">
        <v>75</v>
      </c>
      <c r="AT942">
        <v>1.69</v>
      </c>
      <c r="AU942">
        <v>4.57</v>
      </c>
      <c r="AV942" t="s">
        <v>3461</v>
      </c>
      <c r="AW942" t="s">
        <v>3524</v>
      </c>
      <c r="AX942" t="s">
        <v>3525</v>
      </c>
    </row>
    <row r="943" spans="1:50" x14ac:dyDescent="0.25">
      <c r="A943" t="s">
        <v>3526</v>
      </c>
      <c r="B943" t="s">
        <v>1679</v>
      </c>
      <c r="C943">
        <v>0</v>
      </c>
      <c r="D943">
        <v>0</v>
      </c>
      <c r="E943" t="s">
        <v>1686</v>
      </c>
      <c r="H943">
        <v>0</v>
      </c>
      <c r="N943">
        <v>0</v>
      </c>
      <c r="Q943">
        <v>0</v>
      </c>
      <c r="R943">
        <v>0</v>
      </c>
      <c r="U943" t="s">
        <v>65</v>
      </c>
      <c r="V943">
        <v>63</v>
      </c>
      <c r="X943" t="s">
        <v>80</v>
      </c>
      <c r="Y943">
        <v>0</v>
      </c>
      <c r="Z943">
        <v>52.645071139899997</v>
      </c>
      <c r="AB943" t="s">
        <v>74</v>
      </c>
      <c r="AD943" t="s">
        <v>57</v>
      </c>
      <c r="AE943">
        <v>0</v>
      </c>
      <c r="AF943">
        <v>6</v>
      </c>
      <c r="AG943">
        <v>1</v>
      </c>
      <c r="AH943">
        <v>1.5</v>
      </c>
      <c r="AI943">
        <v>512</v>
      </c>
      <c r="AJ943">
        <v>512</v>
      </c>
      <c r="AK943">
        <v>80</v>
      </c>
      <c r="AL943" t="s">
        <v>1010</v>
      </c>
      <c r="AM943">
        <v>2</v>
      </c>
      <c r="AN943" t="s">
        <v>1011</v>
      </c>
      <c r="AO943" t="s">
        <v>59</v>
      </c>
      <c r="AP943" t="s">
        <v>60</v>
      </c>
      <c r="AQ943">
        <v>11</v>
      </c>
      <c r="AR943">
        <v>81</v>
      </c>
      <c r="AS943">
        <v>212</v>
      </c>
      <c r="AT943">
        <v>1.81</v>
      </c>
      <c r="AU943">
        <v>4.33</v>
      </c>
      <c r="AV943" t="s">
        <v>3527</v>
      </c>
      <c r="AW943" t="s">
        <v>2298</v>
      </c>
      <c r="AX943" t="s">
        <v>3528</v>
      </c>
    </row>
    <row r="944" spans="1:50" x14ac:dyDescent="0.25">
      <c r="A944" t="s">
        <v>3529</v>
      </c>
      <c r="B944" t="s">
        <v>1679</v>
      </c>
      <c r="C944">
        <v>0</v>
      </c>
      <c r="D944">
        <v>0</v>
      </c>
      <c r="E944" t="s">
        <v>2035</v>
      </c>
      <c r="H944">
        <v>1</v>
      </c>
      <c r="N944">
        <v>1</v>
      </c>
      <c r="Q944">
        <v>1</v>
      </c>
      <c r="R944">
        <v>0</v>
      </c>
      <c r="U944" t="s">
        <v>1735</v>
      </c>
      <c r="V944">
        <v>61</v>
      </c>
      <c r="X944" t="s">
        <v>80</v>
      </c>
      <c r="Y944">
        <v>0</v>
      </c>
      <c r="Z944">
        <v>45.813000000000002</v>
      </c>
      <c r="AB944" t="s">
        <v>247</v>
      </c>
      <c r="AD944" t="s">
        <v>57</v>
      </c>
      <c r="AE944">
        <v>0</v>
      </c>
      <c r="AF944">
        <v>6</v>
      </c>
      <c r="AG944">
        <v>1</v>
      </c>
      <c r="AH944">
        <v>1.5</v>
      </c>
      <c r="AI944">
        <v>512</v>
      </c>
      <c r="AJ944">
        <v>512</v>
      </c>
      <c r="AK944">
        <v>66</v>
      </c>
      <c r="AL944" t="s">
        <v>3530</v>
      </c>
      <c r="AM944">
        <v>2.4</v>
      </c>
      <c r="AN944" t="s">
        <v>1942</v>
      </c>
      <c r="AO944" t="s">
        <v>67</v>
      </c>
      <c r="AP944" t="s">
        <v>68</v>
      </c>
      <c r="AQ944">
        <v>15</v>
      </c>
      <c r="AR944">
        <v>599</v>
      </c>
      <c r="AS944">
        <v>1199</v>
      </c>
      <c r="AT944">
        <v>3.1880000000000002</v>
      </c>
      <c r="AU944">
        <v>6.5359999999999996</v>
      </c>
      <c r="AV944" t="s">
        <v>3531</v>
      </c>
      <c r="AW944" t="s">
        <v>2836</v>
      </c>
      <c r="AX944" t="s">
        <v>3532</v>
      </c>
    </row>
    <row r="945" spans="1:50" x14ac:dyDescent="0.25">
      <c r="A945" t="s">
        <v>3533</v>
      </c>
      <c r="B945" t="s">
        <v>1679</v>
      </c>
      <c r="C945">
        <v>0</v>
      </c>
      <c r="D945">
        <v>0</v>
      </c>
      <c r="E945" t="s">
        <v>1725</v>
      </c>
      <c r="H945">
        <v>0</v>
      </c>
      <c r="N945">
        <v>1</v>
      </c>
      <c r="Q945">
        <v>0</v>
      </c>
      <c r="R945">
        <v>0</v>
      </c>
      <c r="U945" t="s">
        <v>1687</v>
      </c>
      <c r="V945">
        <v>45</v>
      </c>
      <c r="W945" t="s">
        <v>1688</v>
      </c>
      <c r="X945" t="s">
        <v>55</v>
      </c>
      <c r="Y945">
        <v>0</v>
      </c>
      <c r="Z945">
        <v>68.492456582700001</v>
      </c>
      <c r="AB945" t="s">
        <v>94</v>
      </c>
      <c r="AD945" t="s">
        <v>57</v>
      </c>
      <c r="AE945">
        <v>0</v>
      </c>
      <c r="AF945">
        <v>6</v>
      </c>
      <c r="AG945">
        <v>1</v>
      </c>
      <c r="AH945">
        <v>1.5</v>
      </c>
      <c r="AI945">
        <v>512</v>
      </c>
      <c r="AJ945">
        <v>512</v>
      </c>
      <c r="AK945">
        <v>80</v>
      </c>
      <c r="AL945" t="s">
        <v>1010</v>
      </c>
      <c r="AM945">
        <v>2</v>
      </c>
      <c r="AN945" t="s">
        <v>1011</v>
      </c>
      <c r="AO945" t="s">
        <v>59</v>
      </c>
      <c r="AP945" t="s">
        <v>60</v>
      </c>
      <c r="AQ945">
        <v>11</v>
      </c>
      <c r="AR945">
        <v>65</v>
      </c>
      <c r="AS945">
        <v>178</v>
      </c>
      <c r="AT945">
        <v>1.67</v>
      </c>
      <c r="AU945">
        <v>4.51</v>
      </c>
      <c r="AV945" t="s">
        <v>3534</v>
      </c>
      <c r="AW945" t="s">
        <v>3151</v>
      </c>
      <c r="AX945" t="s">
        <v>3535</v>
      </c>
    </row>
    <row r="946" spans="1:50" x14ac:dyDescent="0.25">
      <c r="A946" t="s">
        <v>3536</v>
      </c>
      <c r="B946" t="s">
        <v>1679</v>
      </c>
      <c r="C946">
        <v>0</v>
      </c>
      <c r="D946">
        <v>0</v>
      </c>
      <c r="E946" t="s">
        <v>1725</v>
      </c>
      <c r="H946">
        <v>0</v>
      </c>
      <c r="N946">
        <v>1</v>
      </c>
      <c r="Q946">
        <v>0</v>
      </c>
      <c r="R946">
        <v>0</v>
      </c>
      <c r="U946" t="s">
        <v>1687</v>
      </c>
      <c r="V946">
        <v>28</v>
      </c>
      <c r="W946" t="s">
        <v>1726</v>
      </c>
      <c r="X946" t="s">
        <v>80</v>
      </c>
      <c r="Y946">
        <v>0</v>
      </c>
      <c r="Z946">
        <v>84.350047855100001</v>
      </c>
      <c r="AB946" t="s">
        <v>118</v>
      </c>
      <c r="AD946" t="s">
        <v>57</v>
      </c>
      <c r="AE946">
        <v>1</v>
      </c>
      <c r="AF946">
        <v>6</v>
      </c>
      <c r="AG946">
        <v>1</v>
      </c>
      <c r="AH946">
        <v>1.5</v>
      </c>
      <c r="AI946">
        <v>256</v>
      </c>
      <c r="AJ946">
        <v>256</v>
      </c>
      <c r="AK946">
        <v>160</v>
      </c>
      <c r="AL946" t="s">
        <v>2157</v>
      </c>
      <c r="AM946">
        <v>1.1000000238000001</v>
      </c>
      <c r="AN946" t="s">
        <v>1720</v>
      </c>
      <c r="AO946" t="s">
        <v>59</v>
      </c>
      <c r="AP946" t="s">
        <v>60</v>
      </c>
      <c r="AQ946">
        <v>11</v>
      </c>
      <c r="AR946">
        <v>201</v>
      </c>
      <c r="AS946">
        <v>554</v>
      </c>
      <c r="AT946">
        <v>1.41</v>
      </c>
      <c r="AU946">
        <v>4.99</v>
      </c>
      <c r="AV946" t="s">
        <v>3537</v>
      </c>
      <c r="AW946" t="s">
        <v>3538</v>
      </c>
      <c r="AX946" t="s">
        <v>3539</v>
      </c>
    </row>
    <row r="947" spans="1:50" x14ac:dyDescent="0.25">
      <c r="A947" t="s">
        <v>3540</v>
      </c>
      <c r="B947" t="s">
        <v>1679</v>
      </c>
      <c r="C947">
        <v>0</v>
      </c>
      <c r="D947">
        <v>1</v>
      </c>
      <c r="E947" t="s">
        <v>1680</v>
      </c>
      <c r="H947">
        <v>1</v>
      </c>
      <c r="N947">
        <v>0</v>
      </c>
      <c r="Q947">
        <v>0</v>
      </c>
      <c r="R947">
        <v>1</v>
      </c>
      <c r="U947" t="s">
        <v>65</v>
      </c>
      <c r="V947">
        <v>36</v>
      </c>
      <c r="W947" t="s">
        <v>1688</v>
      </c>
      <c r="X947" t="s">
        <v>80</v>
      </c>
      <c r="Y947">
        <v>0</v>
      </c>
      <c r="AD947" t="s">
        <v>57</v>
      </c>
      <c r="AE947">
        <v>0</v>
      </c>
      <c r="AF947">
        <v>6</v>
      </c>
      <c r="AG947">
        <v>1</v>
      </c>
      <c r="AH947">
        <v>1.5</v>
      </c>
      <c r="AI947">
        <v>512</v>
      </c>
      <c r="AJ947">
        <v>512</v>
      </c>
      <c r="AK947">
        <v>72</v>
      </c>
      <c r="AL947" t="s">
        <v>119</v>
      </c>
      <c r="AM947">
        <v>2.2000000000000002</v>
      </c>
      <c r="AN947" t="s">
        <v>1072</v>
      </c>
      <c r="AO947" t="s">
        <v>67</v>
      </c>
      <c r="AP947" t="s">
        <v>68</v>
      </c>
      <c r="AQ947">
        <v>15</v>
      </c>
      <c r="AR947">
        <v>368</v>
      </c>
      <c r="AS947">
        <v>737</v>
      </c>
      <c r="AT947">
        <v>4.28</v>
      </c>
      <c r="AU947">
        <v>8.7439999999999998</v>
      </c>
      <c r="AV947" t="s">
        <v>3541</v>
      </c>
      <c r="AW947" t="s">
        <v>3542</v>
      </c>
      <c r="AX947" t="s">
        <v>3543</v>
      </c>
    </row>
    <row r="948" spans="1:50" x14ac:dyDescent="0.25">
      <c r="A948" t="s">
        <v>3544</v>
      </c>
      <c r="B948" t="s">
        <v>1679</v>
      </c>
      <c r="C948">
        <v>0</v>
      </c>
      <c r="D948">
        <v>1</v>
      </c>
      <c r="E948" t="s">
        <v>1703</v>
      </c>
      <c r="H948">
        <v>0</v>
      </c>
      <c r="N948">
        <v>0</v>
      </c>
      <c r="Q948">
        <v>0</v>
      </c>
      <c r="R948">
        <v>1</v>
      </c>
      <c r="U948" t="s">
        <v>65</v>
      </c>
      <c r="V948">
        <v>47</v>
      </c>
      <c r="X948" t="s">
        <v>80</v>
      </c>
      <c r="Y948">
        <v>0</v>
      </c>
      <c r="Z948">
        <v>77.11</v>
      </c>
      <c r="AB948" t="s">
        <v>94</v>
      </c>
      <c r="AD948" t="s">
        <v>57</v>
      </c>
      <c r="AE948">
        <v>0</v>
      </c>
      <c r="AF948">
        <v>6</v>
      </c>
      <c r="AG948">
        <v>1</v>
      </c>
      <c r="AH948">
        <v>3</v>
      </c>
      <c r="AI948">
        <v>512</v>
      </c>
      <c r="AJ948">
        <v>512</v>
      </c>
      <c r="AK948">
        <v>134</v>
      </c>
      <c r="AL948" t="s">
        <v>81</v>
      </c>
      <c r="AM948">
        <v>2.4</v>
      </c>
      <c r="AN948" t="s">
        <v>1786</v>
      </c>
      <c r="AO948" t="s">
        <v>67</v>
      </c>
      <c r="AP948" t="s">
        <v>1845</v>
      </c>
      <c r="AQ948">
        <v>15</v>
      </c>
      <c r="AR948">
        <v>654</v>
      </c>
      <c r="AS948">
        <v>1308</v>
      </c>
      <c r="AT948">
        <v>4.25</v>
      </c>
      <c r="AU948">
        <v>7.98</v>
      </c>
      <c r="AV948" t="s">
        <v>3545</v>
      </c>
      <c r="AW948" t="s">
        <v>3546</v>
      </c>
      <c r="AX948" t="s">
        <v>3547</v>
      </c>
    </row>
    <row r="949" spans="1:50" x14ac:dyDescent="0.25">
      <c r="A949" t="s">
        <v>3548</v>
      </c>
      <c r="B949" t="s">
        <v>1679</v>
      </c>
      <c r="C949">
        <v>0</v>
      </c>
      <c r="D949">
        <v>0</v>
      </c>
      <c r="E949" t="s">
        <v>1734</v>
      </c>
      <c r="H949">
        <v>1</v>
      </c>
      <c r="N949">
        <v>0</v>
      </c>
      <c r="Q949">
        <v>1</v>
      </c>
      <c r="R949">
        <v>0</v>
      </c>
      <c r="U949" t="s">
        <v>72</v>
      </c>
      <c r="V949">
        <v>56</v>
      </c>
      <c r="X949" t="s">
        <v>80</v>
      </c>
      <c r="Y949">
        <v>0</v>
      </c>
      <c r="Z949">
        <v>56.698999999999998</v>
      </c>
      <c r="AB949" t="s">
        <v>74</v>
      </c>
      <c r="AD949" t="s">
        <v>57</v>
      </c>
      <c r="AE949">
        <v>0</v>
      </c>
      <c r="AF949">
        <v>6</v>
      </c>
      <c r="AG949">
        <v>1</v>
      </c>
      <c r="AH949">
        <v>3</v>
      </c>
      <c r="AI949">
        <v>512</v>
      </c>
      <c r="AJ949">
        <v>512</v>
      </c>
      <c r="AK949">
        <v>128</v>
      </c>
      <c r="AL949" t="s">
        <v>196</v>
      </c>
      <c r="AM949">
        <v>2.4</v>
      </c>
      <c r="AN949" t="s">
        <v>1786</v>
      </c>
      <c r="AO949" t="s">
        <v>67</v>
      </c>
      <c r="AP949" t="s">
        <v>68</v>
      </c>
      <c r="AQ949">
        <v>15</v>
      </c>
      <c r="AR949">
        <v>417</v>
      </c>
      <c r="AS949">
        <v>835</v>
      </c>
      <c r="AT949">
        <v>4.25</v>
      </c>
      <c r="AU949">
        <v>8.5419999999999998</v>
      </c>
      <c r="AV949" t="s">
        <v>1920</v>
      </c>
      <c r="AW949" t="s">
        <v>3549</v>
      </c>
      <c r="AX949" t="s">
        <v>3550</v>
      </c>
    </row>
    <row r="950" spans="1:50" x14ac:dyDescent="0.25">
      <c r="A950" t="s">
        <v>3551</v>
      </c>
      <c r="B950" t="s">
        <v>1679</v>
      </c>
      <c r="C950">
        <v>0</v>
      </c>
      <c r="D950">
        <v>0</v>
      </c>
      <c r="E950" t="s">
        <v>1839</v>
      </c>
      <c r="H950">
        <v>0</v>
      </c>
      <c r="N950">
        <v>0</v>
      </c>
      <c r="Q950">
        <v>1</v>
      </c>
      <c r="R950">
        <v>1</v>
      </c>
      <c r="U950" t="s">
        <v>72</v>
      </c>
      <c r="V950">
        <v>50</v>
      </c>
      <c r="W950" t="s">
        <v>79</v>
      </c>
      <c r="X950" t="s">
        <v>80</v>
      </c>
      <c r="Y950">
        <v>0</v>
      </c>
      <c r="Z950">
        <v>97.522000000000006</v>
      </c>
      <c r="AB950" t="s">
        <v>56</v>
      </c>
      <c r="AD950" t="s">
        <v>57</v>
      </c>
      <c r="AE950">
        <v>0</v>
      </c>
      <c r="AF950">
        <v>6</v>
      </c>
      <c r="AG950">
        <v>1</v>
      </c>
      <c r="AH950">
        <v>1.5</v>
      </c>
      <c r="AI950">
        <v>512</v>
      </c>
      <c r="AJ950">
        <v>512</v>
      </c>
      <c r="AK950">
        <v>66</v>
      </c>
      <c r="AL950" t="s">
        <v>81</v>
      </c>
      <c r="AM950">
        <v>2.4</v>
      </c>
      <c r="AN950" t="s">
        <v>1942</v>
      </c>
      <c r="AO950" t="s">
        <v>67</v>
      </c>
      <c r="AP950" t="s">
        <v>68</v>
      </c>
      <c r="AQ950">
        <v>15</v>
      </c>
      <c r="AR950">
        <v>476</v>
      </c>
      <c r="AS950">
        <v>953</v>
      </c>
      <c r="AT950">
        <v>2.96</v>
      </c>
      <c r="AU950">
        <v>6.1760000000000002</v>
      </c>
      <c r="AV950" t="s">
        <v>3552</v>
      </c>
      <c r="AW950" t="s">
        <v>2628</v>
      </c>
      <c r="AX950" t="s">
        <v>3553</v>
      </c>
    </row>
    <row r="951" spans="1:50" x14ac:dyDescent="0.25">
      <c r="A951" t="s">
        <v>3554</v>
      </c>
      <c r="B951" t="s">
        <v>1679</v>
      </c>
      <c r="C951">
        <v>0</v>
      </c>
      <c r="D951">
        <v>1</v>
      </c>
      <c r="E951" t="s">
        <v>1680</v>
      </c>
      <c r="H951">
        <v>0</v>
      </c>
      <c r="N951">
        <v>0</v>
      </c>
      <c r="Q951">
        <v>0</v>
      </c>
      <c r="R951">
        <v>1</v>
      </c>
      <c r="U951" t="s">
        <v>65</v>
      </c>
      <c r="V951">
        <v>39</v>
      </c>
      <c r="W951" t="s">
        <v>1688</v>
      </c>
      <c r="X951" t="s">
        <v>80</v>
      </c>
      <c r="Y951">
        <v>0</v>
      </c>
      <c r="Z951">
        <v>86.635999999999996</v>
      </c>
      <c r="AB951" t="s">
        <v>118</v>
      </c>
      <c r="AD951" t="s">
        <v>57</v>
      </c>
      <c r="AE951">
        <v>0</v>
      </c>
      <c r="AF951">
        <v>6</v>
      </c>
      <c r="AG951">
        <v>1</v>
      </c>
      <c r="AH951">
        <v>1.5</v>
      </c>
      <c r="AI951">
        <v>512</v>
      </c>
      <c r="AJ951">
        <v>512</v>
      </c>
      <c r="AK951">
        <v>66</v>
      </c>
      <c r="AL951" t="s">
        <v>81</v>
      </c>
      <c r="AM951">
        <v>2.4</v>
      </c>
      <c r="AN951" t="s">
        <v>1942</v>
      </c>
      <c r="AO951" t="s">
        <v>67</v>
      </c>
      <c r="AP951" t="s">
        <v>68</v>
      </c>
      <c r="AQ951">
        <v>15</v>
      </c>
      <c r="AR951">
        <v>462</v>
      </c>
      <c r="AS951">
        <v>925</v>
      </c>
      <c r="AT951">
        <v>2.956</v>
      </c>
      <c r="AU951">
        <v>6.1639999999999997</v>
      </c>
      <c r="AV951" t="s">
        <v>3555</v>
      </c>
      <c r="AW951" t="s">
        <v>2869</v>
      </c>
      <c r="AX951" t="s">
        <v>3556</v>
      </c>
    </row>
    <row r="952" spans="1:50" x14ac:dyDescent="0.25">
      <c r="A952" t="s">
        <v>3557</v>
      </c>
      <c r="B952" t="s">
        <v>1679</v>
      </c>
      <c r="C952">
        <v>0</v>
      </c>
      <c r="D952">
        <v>0</v>
      </c>
      <c r="E952" t="s">
        <v>1839</v>
      </c>
      <c r="H952">
        <v>1</v>
      </c>
      <c r="N952">
        <v>1</v>
      </c>
      <c r="Q952">
        <v>1</v>
      </c>
      <c r="R952">
        <v>0</v>
      </c>
      <c r="U952" t="s">
        <v>1735</v>
      </c>
      <c r="V952">
        <v>51</v>
      </c>
      <c r="W952" t="s">
        <v>79</v>
      </c>
      <c r="X952" t="s">
        <v>80</v>
      </c>
      <c r="Y952">
        <v>0</v>
      </c>
      <c r="Z952">
        <v>74</v>
      </c>
      <c r="AB952" t="s">
        <v>94</v>
      </c>
      <c r="AD952" t="s">
        <v>57</v>
      </c>
      <c r="AE952">
        <v>0</v>
      </c>
      <c r="AF952">
        <v>6</v>
      </c>
      <c r="AG952">
        <v>1</v>
      </c>
      <c r="AH952">
        <v>3</v>
      </c>
      <c r="AI952">
        <v>512</v>
      </c>
      <c r="AJ952">
        <v>512</v>
      </c>
      <c r="AK952">
        <v>80</v>
      </c>
      <c r="AL952" t="s">
        <v>66</v>
      </c>
      <c r="AM952">
        <v>2</v>
      </c>
      <c r="AN952" t="s">
        <v>1915</v>
      </c>
      <c r="AO952" t="s">
        <v>67</v>
      </c>
      <c r="AP952" t="s">
        <v>68</v>
      </c>
      <c r="AQ952">
        <v>15</v>
      </c>
      <c r="AR952">
        <v>563</v>
      </c>
      <c r="AS952">
        <v>1126</v>
      </c>
      <c r="AT952">
        <v>2.1800000000000002</v>
      </c>
      <c r="AU952">
        <v>5.4450000000000003</v>
      </c>
      <c r="AV952" t="s">
        <v>2377</v>
      </c>
      <c r="AW952" t="s">
        <v>3558</v>
      </c>
      <c r="AX952" t="s">
        <v>3559</v>
      </c>
    </row>
    <row r="953" spans="1:50" x14ac:dyDescent="0.25">
      <c r="A953" t="s">
        <v>3560</v>
      </c>
      <c r="B953" t="s">
        <v>1679</v>
      </c>
      <c r="C953">
        <v>0</v>
      </c>
      <c r="D953">
        <v>0</v>
      </c>
      <c r="E953" t="s">
        <v>1740</v>
      </c>
      <c r="H953">
        <v>1</v>
      </c>
      <c r="N953">
        <v>0</v>
      </c>
      <c r="Q953">
        <v>1</v>
      </c>
      <c r="R953">
        <v>0</v>
      </c>
      <c r="U953" t="s">
        <v>72</v>
      </c>
      <c r="V953">
        <v>47</v>
      </c>
      <c r="W953" t="s">
        <v>79</v>
      </c>
      <c r="X953" t="s">
        <v>80</v>
      </c>
      <c r="Y953">
        <v>0</v>
      </c>
      <c r="Z953">
        <v>68.039000000000001</v>
      </c>
      <c r="AB953" t="s">
        <v>74</v>
      </c>
      <c r="AD953" t="s">
        <v>57</v>
      </c>
      <c r="AE953">
        <v>0</v>
      </c>
      <c r="AF953">
        <v>6</v>
      </c>
      <c r="AG953">
        <v>1</v>
      </c>
      <c r="AH953">
        <v>1.5</v>
      </c>
      <c r="AI953">
        <v>512</v>
      </c>
      <c r="AJ953">
        <v>512</v>
      </c>
      <c r="AK953">
        <v>76</v>
      </c>
      <c r="AL953" t="s">
        <v>66</v>
      </c>
      <c r="AM953">
        <v>2</v>
      </c>
      <c r="AN953" t="s">
        <v>2618</v>
      </c>
      <c r="AO953" t="s">
        <v>67</v>
      </c>
      <c r="AP953" t="s">
        <v>68</v>
      </c>
      <c r="AQ953">
        <v>15</v>
      </c>
      <c r="AR953">
        <v>266</v>
      </c>
      <c r="AS953">
        <v>533</v>
      </c>
      <c r="AT953">
        <v>3.2120000000000002</v>
      </c>
      <c r="AU953">
        <v>6.5439999999999996</v>
      </c>
      <c r="AV953" t="s">
        <v>3561</v>
      </c>
      <c r="AW953" t="s">
        <v>2480</v>
      </c>
      <c r="AX953" t="s">
        <v>3562</v>
      </c>
    </row>
    <row r="954" spans="1:50" x14ac:dyDescent="0.25">
      <c r="A954" t="s">
        <v>3563</v>
      </c>
      <c r="B954" t="s">
        <v>1679</v>
      </c>
      <c r="C954">
        <v>0</v>
      </c>
      <c r="D954">
        <v>0</v>
      </c>
      <c r="E954" t="s">
        <v>1686</v>
      </c>
      <c r="H954">
        <v>0</v>
      </c>
      <c r="N954">
        <v>1</v>
      </c>
      <c r="Q954">
        <v>0</v>
      </c>
      <c r="R954">
        <v>0</v>
      </c>
      <c r="U954" t="s">
        <v>1687</v>
      </c>
      <c r="V954">
        <v>59</v>
      </c>
      <c r="W954" t="s">
        <v>79</v>
      </c>
      <c r="X954" t="s">
        <v>80</v>
      </c>
      <c r="Y954">
        <v>0</v>
      </c>
      <c r="Z954">
        <v>87.09</v>
      </c>
      <c r="AB954" t="s">
        <v>118</v>
      </c>
      <c r="AD954" t="s">
        <v>57</v>
      </c>
      <c r="AE954">
        <v>0</v>
      </c>
      <c r="AF954">
        <v>6</v>
      </c>
      <c r="AG954">
        <v>1</v>
      </c>
      <c r="AH954">
        <v>1.5</v>
      </c>
      <c r="AI954">
        <v>512</v>
      </c>
      <c r="AJ954">
        <v>512</v>
      </c>
      <c r="AK954">
        <v>80</v>
      </c>
      <c r="AL954" t="s">
        <v>331</v>
      </c>
      <c r="AM954">
        <v>2</v>
      </c>
      <c r="AN954" t="s">
        <v>1681</v>
      </c>
      <c r="AO954" t="s">
        <v>67</v>
      </c>
      <c r="AP954" t="s">
        <v>68</v>
      </c>
      <c r="AQ954">
        <v>15</v>
      </c>
      <c r="AR954">
        <v>358</v>
      </c>
      <c r="AS954">
        <v>717</v>
      </c>
      <c r="AT954">
        <v>2.7559999999999998</v>
      </c>
      <c r="AU954">
        <v>7.149</v>
      </c>
      <c r="AV954" t="s">
        <v>3564</v>
      </c>
      <c r="AW954" t="s">
        <v>3565</v>
      </c>
      <c r="AX954" t="s">
        <v>3566</v>
      </c>
    </row>
    <row r="955" spans="1:50" x14ac:dyDescent="0.25">
      <c r="A955" t="s">
        <v>3567</v>
      </c>
      <c r="B955" t="s">
        <v>1679</v>
      </c>
      <c r="C955">
        <v>0</v>
      </c>
      <c r="D955">
        <v>0</v>
      </c>
      <c r="E955" t="s">
        <v>1791</v>
      </c>
      <c r="H955">
        <v>0</v>
      </c>
      <c r="N955">
        <v>1</v>
      </c>
      <c r="Q955">
        <v>1</v>
      </c>
      <c r="R955">
        <v>0</v>
      </c>
      <c r="U955" t="s">
        <v>1735</v>
      </c>
      <c r="V955">
        <v>45</v>
      </c>
      <c r="W955" t="s">
        <v>79</v>
      </c>
      <c r="X955" t="s">
        <v>80</v>
      </c>
      <c r="Y955">
        <v>0</v>
      </c>
      <c r="AD955" t="s">
        <v>57</v>
      </c>
      <c r="AE955">
        <v>0</v>
      </c>
      <c r="AF955">
        <v>6</v>
      </c>
      <c r="AG955">
        <v>1</v>
      </c>
      <c r="AH955">
        <v>1.5</v>
      </c>
      <c r="AI955">
        <v>512</v>
      </c>
      <c r="AJ955">
        <v>512</v>
      </c>
      <c r="AK955">
        <v>80</v>
      </c>
      <c r="AL955" t="s">
        <v>113</v>
      </c>
      <c r="AM955">
        <v>2</v>
      </c>
      <c r="AN955" t="s">
        <v>1681</v>
      </c>
      <c r="AO955" t="s">
        <v>67</v>
      </c>
      <c r="AP955" t="s">
        <v>68</v>
      </c>
      <c r="AQ955">
        <v>15</v>
      </c>
      <c r="AR955">
        <v>335</v>
      </c>
      <c r="AS955">
        <v>671</v>
      </c>
      <c r="AT955">
        <v>2.6720000000000002</v>
      </c>
      <c r="AU955">
        <v>6.3239999999999998</v>
      </c>
      <c r="AV955" t="s">
        <v>3568</v>
      </c>
      <c r="AW955" t="s">
        <v>3569</v>
      </c>
      <c r="AX955" t="s">
        <v>3570</v>
      </c>
    </row>
    <row r="956" spans="1:50" x14ac:dyDescent="0.25">
      <c r="A956" t="s">
        <v>3571</v>
      </c>
      <c r="B956" t="s">
        <v>1679</v>
      </c>
      <c r="C956">
        <v>0</v>
      </c>
      <c r="D956">
        <v>0</v>
      </c>
      <c r="E956" t="s">
        <v>1780</v>
      </c>
      <c r="H956">
        <v>1</v>
      </c>
      <c r="N956">
        <v>0</v>
      </c>
      <c r="Q956">
        <v>0</v>
      </c>
      <c r="R956">
        <v>1</v>
      </c>
      <c r="U956" t="s">
        <v>65</v>
      </c>
      <c r="V956">
        <v>35</v>
      </c>
      <c r="W956" t="s">
        <v>1726</v>
      </c>
      <c r="X956" t="s">
        <v>55</v>
      </c>
      <c r="Y956">
        <v>0</v>
      </c>
      <c r="Z956">
        <v>92</v>
      </c>
      <c r="AB956" t="s">
        <v>118</v>
      </c>
      <c r="AD956" t="s">
        <v>57</v>
      </c>
      <c r="AE956">
        <v>1</v>
      </c>
      <c r="AF956">
        <v>6</v>
      </c>
      <c r="AG956">
        <v>1</v>
      </c>
      <c r="AH956">
        <v>3</v>
      </c>
      <c r="AI956">
        <v>384</v>
      </c>
      <c r="AJ956">
        <v>384</v>
      </c>
      <c r="AK956">
        <v>200</v>
      </c>
      <c r="AL956" t="s">
        <v>1394</v>
      </c>
      <c r="AM956">
        <v>2</v>
      </c>
      <c r="AN956" t="s">
        <v>1154</v>
      </c>
      <c r="AO956" t="s">
        <v>1155</v>
      </c>
      <c r="AP956" t="s">
        <v>1767</v>
      </c>
      <c r="AQ956">
        <v>15</v>
      </c>
      <c r="AR956">
        <v>220</v>
      </c>
      <c r="AS956">
        <v>382</v>
      </c>
      <c r="AT956">
        <v>2.302</v>
      </c>
      <c r="AU956">
        <v>4.4377000000000004</v>
      </c>
      <c r="AW956" t="s">
        <v>3572</v>
      </c>
      <c r="AX956" t="s">
        <v>3573</v>
      </c>
    </row>
    <row r="957" spans="1:50" x14ac:dyDescent="0.25">
      <c r="A957" t="s">
        <v>3574</v>
      </c>
      <c r="B957" t="s">
        <v>1679</v>
      </c>
      <c r="C957">
        <v>0</v>
      </c>
      <c r="D957">
        <v>0</v>
      </c>
      <c r="E957" t="s">
        <v>1740</v>
      </c>
      <c r="H957">
        <v>0</v>
      </c>
      <c r="N957">
        <v>0</v>
      </c>
      <c r="Q957">
        <v>0</v>
      </c>
      <c r="R957">
        <v>1</v>
      </c>
      <c r="U957" t="s">
        <v>65</v>
      </c>
      <c r="V957">
        <v>49</v>
      </c>
      <c r="W957" t="s">
        <v>1688</v>
      </c>
      <c r="X957" t="s">
        <v>111</v>
      </c>
      <c r="Y957">
        <v>0</v>
      </c>
      <c r="AD957" t="s">
        <v>57</v>
      </c>
      <c r="AE957">
        <v>0</v>
      </c>
      <c r="AF957">
        <v>6</v>
      </c>
      <c r="AG957">
        <v>1</v>
      </c>
      <c r="AH957">
        <v>3</v>
      </c>
      <c r="AI957">
        <v>512</v>
      </c>
      <c r="AJ957">
        <v>512</v>
      </c>
      <c r="AK957">
        <v>134</v>
      </c>
      <c r="AL957" t="s">
        <v>119</v>
      </c>
      <c r="AM957">
        <v>2.4</v>
      </c>
      <c r="AN957" t="s">
        <v>1786</v>
      </c>
      <c r="AO957" t="s">
        <v>67</v>
      </c>
      <c r="AP957" t="s">
        <v>68</v>
      </c>
      <c r="AQ957">
        <v>15</v>
      </c>
      <c r="AR957">
        <v>275</v>
      </c>
      <c r="AS957">
        <v>551</v>
      </c>
      <c r="AT957">
        <v>2.8079999999999998</v>
      </c>
      <c r="AU957">
        <v>7.3120000000000003</v>
      </c>
      <c r="AV957" t="s">
        <v>2027</v>
      </c>
      <c r="AW957" t="s">
        <v>3575</v>
      </c>
      <c r="AX957" t="s">
        <v>3576</v>
      </c>
    </row>
    <row r="958" spans="1:50" x14ac:dyDescent="0.25">
      <c r="A958" t="s">
        <v>3577</v>
      </c>
      <c r="B958" t="s">
        <v>1679</v>
      </c>
      <c r="C958">
        <v>0</v>
      </c>
      <c r="D958">
        <v>1</v>
      </c>
      <c r="E958" t="s">
        <v>1680</v>
      </c>
      <c r="H958">
        <v>0</v>
      </c>
      <c r="N958">
        <v>0</v>
      </c>
      <c r="Q958">
        <v>0</v>
      </c>
      <c r="R958">
        <v>1</v>
      </c>
      <c r="U958" t="s">
        <v>65</v>
      </c>
      <c r="V958">
        <v>56</v>
      </c>
      <c r="W958" t="s">
        <v>79</v>
      </c>
      <c r="X958" t="s">
        <v>80</v>
      </c>
      <c r="Y958">
        <v>0</v>
      </c>
      <c r="Z958">
        <v>94.347224961600006</v>
      </c>
      <c r="AB958" t="s">
        <v>118</v>
      </c>
      <c r="AD958" t="s">
        <v>57</v>
      </c>
      <c r="AE958">
        <v>1</v>
      </c>
      <c r="AF958">
        <v>6</v>
      </c>
      <c r="AG958">
        <v>1</v>
      </c>
      <c r="AH958">
        <v>1.5</v>
      </c>
      <c r="AI958">
        <v>384</v>
      </c>
      <c r="AJ958">
        <v>384</v>
      </c>
      <c r="AK958">
        <v>160</v>
      </c>
      <c r="AL958" t="s">
        <v>1727</v>
      </c>
      <c r="AM958">
        <v>1</v>
      </c>
      <c r="AN958" t="s">
        <v>1728</v>
      </c>
      <c r="AO958" t="s">
        <v>59</v>
      </c>
      <c r="AP958" t="s">
        <v>1729</v>
      </c>
      <c r="AQ958">
        <v>11</v>
      </c>
      <c r="AR958">
        <v>48</v>
      </c>
      <c r="AS958">
        <v>132</v>
      </c>
      <c r="AT958">
        <v>1.81</v>
      </c>
      <c r="AU958">
        <v>5.05</v>
      </c>
      <c r="AV958" t="s">
        <v>1787</v>
      </c>
      <c r="AW958" t="s">
        <v>3578</v>
      </c>
      <c r="AX958" t="s">
        <v>3579</v>
      </c>
    </row>
    <row r="959" spans="1:50" x14ac:dyDescent="0.25">
      <c r="A959" t="s">
        <v>3580</v>
      </c>
      <c r="B959" t="s">
        <v>1679</v>
      </c>
      <c r="C959">
        <v>0</v>
      </c>
      <c r="D959">
        <v>1</v>
      </c>
      <c r="E959" t="s">
        <v>1698</v>
      </c>
      <c r="H959">
        <v>0</v>
      </c>
      <c r="N959">
        <v>1</v>
      </c>
      <c r="Q959">
        <v>0</v>
      </c>
      <c r="R959">
        <v>0</v>
      </c>
      <c r="U959" t="s">
        <v>1687</v>
      </c>
      <c r="V959">
        <v>47</v>
      </c>
      <c r="W959" t="s">
        <v>1688</v>
      </c>
      <c r="X959" t="s">
        <v>80</v>
      </c>
      <c r="Y959">
        <v>0</v>
      </c>
      <c r="AD959" t="s">
        <v>57</v>
      </c>
      <c r="AE959">
        <v>1</v>
      </c>
      <c r="AF959">
        <v>6</v>
      </c>
      <c r="AG959">
        <v>1</v>
      </c>
      <c r="AH959">
        <v>1.5</v>
      </c>
      <c r="AI959">
        <v>384</v>
      </c>
      <c r="AJ959">
        <v>384</v>
      </c>
      <c r="AK959">
        <v>160</v>
      </c>
      <c r="AL959" t="s">
        <v>1727</v>
      </c>
      <c r="AM959">
        <v>1</v>
      </c>
      <c r="AN959" t="s">
        <v>1728</v>
      </c>
      <c r="AO959" t="s">
        <v>59</v>
      </c>
      <c r="AP959" t="s">
        <v>1729</v>
      </c>
      <c r="AQ959">
        <v>11</v>
      </c>
      <c r="AR959">
        <v>48</v>
      </c>
      <c r="AS959">
        <v>134</v>
      </c>
      <c r="AT959">
        <v>1.81</v>
      </c>
      <c r="AU959">
        <v>5.05</v>
      </c>
      <c r="AV959" t="s">
        <v>1730</v>
      </c>
      <c r="AW959" t="s">
        <v>3581</v>
      </c>
      <c r="AX959" t="s">
        <v>3582</v>
      </c>
    </row>
    <row r="960" spans="1:50" x14ac:dyDescent="0.25">
      <c r="A960" t="s">
        <v>3583</v>
      </c>
      <c r="B960" t="s">
        <v>1679</v>
      </c>
      <c r="C960">
        <v>0</v>
      </c>
      <c r="D960">
        <v>1</v>
      </c>
      <c r="E960" t="s">
        <v>1680</v>
      </c>
      <c r="H960">
        <v>0</v>
      </c>
      <c r="N960">
        <v>1</v>
      </c>
      <c r="Q960">
        <v>0</v>
      </c>
      <c r="R960">
        <v>0</v>
      </c>
      <c r="U960" t="s">
        <v>1687</v>
      </c>
      <c r="V960">
        <v>48</v>
      </c>
      <c r="W960" t="s">
        <v>1704</v>
      </c>
      <c r="X960" t="s">
        <v>80</v>
      </c>
      <c r="Y960">
        <v>0</v>
      </c>
      <c r="AD960" t="s">
        <v>57</v>
      </c>
      <c r="AE960">
        <v>0</v>
      </c>
      <c r="AF960">
        <v>6</v>
      </c>
      <c r="AG960">
        <v>1</v>
      </c>
      <c r="AH960">
        <v>1.5</v>
      </c>
      <c r="AI960">
        <v>512</v>
      </c>
      <c r="AJ960">
        <v>512</v>
      </c>
      <c r="AK960">
        <v>72</v>
      </c>
      <c r="AL960" t="s">
        <v>119</v>
      </c>
      <c r="AM960">
        <v>2.2000000000000002</v>
      </c>
      <c r="AN960" t="s">
        <v>1072</v>
      </c>
      <c r="AO960" t="s">
        <v>67</v>
      </c>
      <c r="AP960" t="s">
        <v>68</v>
      </c>
      <c r="AQ960">
        <v>15</v>
      </c>
      <c r="AR960">
        <v>218</v>
      </c>
      <c r="AS960">
        <v>437</v>
      </c>
      <c r="AT960">
        <v>4.2359999999999998</v>
      </c>
      <c r="AU960">
        <v>8.6679999999999993</v>
      </c>
      <c r="AV960" t="s">
        <v>3584</v>
      </c>
      <c r="AW960" t="s">
        <v>1802</v>
      </c>
      <c r="AX960" t="s">
        <v>3585</v>
      </c>
    </row>
    <row r="961" spans="1:50" x14ac:dyDescent="0.25">
      <c r="A961" t="s">
        <v>3586</v>
      </c>
      <c r="B961" t="s">
        <v>1679</v>
      </c>
      <c r="C961">
        <v>0</v>
      </c>
      <c r="D961">
        <v>0</v>
      </c>
      <c r="E961" t="s">
        <v>1703</v>
      </c>
      <c r="H961">
        <v>0</v>
      </c>
      <c r="N961">
        <v>0</v>
      </c>
      <c r="Q961">
        <v>0</v>
      </c>
      <c r="R961">
        <v>0</v>
      </c>
      <c r="U961" t="s">
        <v>65</v>
      </c>
      <c r="V961">
        <v>45</v>
      </c>
      <c r="W961" t="s">
        <v>1726</v>
      </c>
      <c r="X961" t="s">
        <v>80</v>
      </c>
      <c r="Y961">
        <v>0</v>
      </c>
      <c r="Z961">
        <v>73</v>
      </c>
      <c r="AB961" t="s">
        <v>94</v>
      </c>
      <c r="AD961" t="s">
        <v>57</v>
      </c>
      <c r="AE961">
        <v>1</v>
      </c>
      <c r="AF961">
        <v>6</v>
      </c>
      <c r="AG961">
        <v>1</v>
      </c>
      <c r="AH961">
        <v>3</v>
      </c>
      <c r="AI961">
        <v>384</v>
      </c>
      <c r="AJ961">
        <v>384</v>
      </c>
      <c r="AK961">
        <v>80</v>
      </c>
      <c r="AL961" t="s">
        <v>1394</v>
      </c>
      <c r="AM961">
        <v>2.5</v>
      </c>
      <c r="AN961" t="s">
        <v>1114</v>
      </c>
      <c r="AO961" t="s">
        <v>59</v>
      </c>
      <c r="AP961" t="s">
        <v>1781</v>
      </c>
      <c r="AQ961">
        <v>11</v>
      </c>
      <c r="AR961">
        <v>108</v>
      </c>
      <c r="AS961">
        <v>284</v>
      </c>
      <c r="AT961">
        <v>1.37</v>
      </c>
      <c r="AU961">
        <v>4.32</v>
      </c>
      <c r="AV961" t="s">
        <v>3587</v>
      </c>
      <c r="AW961" t="s">
        <v>3588</v>
      </c>
      <c r="AX961" t="s">
        <v>3589</v>
      </c>
    </row>
    <row r="962" spans="1:50" x14ac:dyDescent="0.25">
      <c r="A962" t="s">
        <v>3590</v>
      </c>
      <c r="B962" t="s">
        <v>1679</v>
      </c>
      <c r="C962">
        <v>0</v>
      </c>
      <c r="D962">
        <v>0</v>
      </c>
      <c r="E962" t="s">
        <v>1703</v>
      </c>
      <c r="H962">
        <v>1</v>
      </c>
      <c r="N962">
        <v>0</v>
      </c>
      <c r="Q962">
        <v>0</v>
      </c>
      <c r="R962">
        <v>1</v>
      </c>
      <c r="U962" t="s">
        <v>65</v>
      </c>
      <c r="V962">
        <v>63</v>
      </c>
      <c r="W962" t="s">
        <v>79</v>
      </c>
      <c r="X962" t="s">
        <v>80</v>
      </c>
      <c r="Y962">
        <v>0</v>
      </c>
      <c r="Z962">
        <v>77.111000000000004</v>
      </c>
      <c r="AB962" t="s">
        <v>94</v>
      </c>
      <c r="AD962" t="s">
        <v>57</v>
      </c>
      <c r="AE962">
        <v>0</v>
      </c>
      <c r="AF962">
        <v>6</v>
      </c>
      <c r="AG962">
        <v>1</v>
      </c>
      <c r="AH962">
        <v>1.5</v>
      </c>
      <c r="AI962">
        <v>512</v>
      </c>
      <c r="AJ962">
        <v>512</v>
      </c>
      <c r="AK962">
        <v>66</v>
      </c>
      <c r="AL962" t="s">
        <v>81</v>
      </c>
      <c r="AM962">
        <v>2.4</v>
      </c>
      <c r="AN962" t="s">
        <v>1942</v>
      </c>
      <c r="AO962" t="s">
        <v>67</v>
      </c>
      <c r="AP962" t="s">
        <v>68</v>
      </c>
      <c r="AQ962">
        <v>15</v>
      </c>
      <c r="AR962">
        <v>244</v>
      </c>
      <c r="AS962">
        <v>489</v>
      </c>
      <c r="AT962">
        <v>2.952</v>
      </c>
      <c r="AU962">
        <v>6.1479999999999997</v>
      </c>
      <c r="AV962" t="s">
        <v>3591</v>
      </c>
      <c r="AW962" t="s">
        <v>3592</v>
      </c>
      <c r="AX962" t="s">
        <v>3593</v>
      </c>
    </row>
    <row r="963" spans="1:50" x14ac:dyDescent="0.25">
      <c r="A963" t="s">
        <v>3594</v>
      </c>
      <c r="B963" t="s">
        <v>1679</v>
      </c>
      <c r="C963">
        <v>0</v>
      </c>
      <c r="D963">
        <v>0</v>
      </c>
      <c r="E963" t="s">
        <v>1686</v>
      </c>
      <c r="H963">
        <v>0</v>
      </c>
      <c r="N963">
        <v>0</v>
      </c>
      <c r="Q963">
        <v>0</v>
      </c>
      <c r="R963">
        <v>1</v>
      </c>
      <c r="U963" t="s">
        <v>65</v>
      </c>
      <c r="V963">
        <v>49</v>
      </c>
      <c r="W963" t="s">
        <v>79</v>
      </c>
      <c r="X963" t="s">
        <v>55</v>
      </c>
      <c r="Y963">
        <v>0</v>
      </c>
      <c r="Z963">
        <v>86</v>
      </c>
      <c r="AB963" t="s">
        <v>118</v>
      </c>
      <c r="AD963" t="s">
        <v>57</v>
      </c>
      <c r="AE963">
        <v>0</v>
      </c>
      <c r="AF963">
        <v>6</v>
      </c>
      <c r="AG963">
        <v>1</v>
      </c>
      <c r="AH963">
        <v>1.5</v>
      </c>
      <c r="AI963">
        <v>512</v>
      </c>
      <c r="AJ963">
        <v>512</v>
      </c>
      <c r="AK963">
        <v>160</v>
      </c>
      <c r="AL963" t="s">
        <v>3595</v>
      </c>
      <c r="AM963">
        <v>2</v>
      </c>
      <c r="AN963" t="s">
        <v>1154</v>
      </c>
      <c r="AO963" t="s">
        <v>1155</v>
      </c>
      <c r="AP963" t="s">
        <v>1305</v>
      </c>
      <c r="AQ963">
        <v>11</v>
      </c>
      <c r="AR963">
        <v>824</v>
      </c>
      <c r="AS963">
        <v>1432</v>
      </c>
      <c r="AT963">
        <v>2.71</v>
      </c>
      <c r="AU963">
        <v>5.1083999999999996</v>
      </c>
      <c r="AV963" t="s">
        <v>3596</v>
      </c>
      <c r="AW963" t="s">
        <v>1864</v>
      </c>
      <c r="AX963" t="s">
        <v>3597</v>
      </c>
    </row>
    <row r="964" spans="1:50" x14ac:dyDescent="0.25">
      <c r="A964" t="s">
        <v>3598</v>
      </c>
      <c r="B964" t="s">
        <v>1679</v>
      </c>
      <c r="C964">
        <v>0</v>
      </c>
      <c r="D964">
        <v>1</v>
      </c>
      <c r="E964" t="s">
        <v>1871</v>
      </c>
      <c r="H964">
        <v>1</v>
      </c>
      <c r="N964">
        <v>0</v>
      </c>
      <c r="Q964">
        <v>1</v>
      </c>
      <c r="R964">
        <v>1</v>
      </c>
      <c r="U964" t="s">
        <v>72</v>
      </c>
      <c r="V964">
        <v>40</v>
      </c>
      <c r="W964" t="s">
        <v>1688</v>
      </c>
      <c r="X964" t="s">
        <v>80</v>
      </c>
      <c r="Y964">
        <v>0</v>
      </c>
      <c r="Z964">
        <v>57.787999999999997</v>
      </c>
      <c r="AB964" t="s">
        <v>74</v>
      </c>
      <c r="AD964" t="s">
        <v>57</v>
      </c>
      <c r="AE964">
        <v>0</v>
      </c>
      <c r="AF964">
        <v>6</v>
      </c>
      <c r="AG964">
        <v>1</v>
      </c>
      <c r="AH964">
        <v>1.5</v>
      </c>
      <c r="AI964">
        <v>512</v>
      </c>
      <c r="AJ964">
        <v>512</v>
      </c>
      <c r="AK964">
        <v>80</v>
      </c>
      <c r="AL964" t="s">
        <v>1010</v>
      </c>
      <c r="AM964">
        <v>2</v>
      </c>
      <c r="AN964" t="s">
        <v>1011</v>
      </c>
      <c r="AO964" t="s">
        <v>59</v>
      </c>
      <c r="AP964" t="s">
        <v>60</v>
      </c>
      <c r="AQ964">
        <v>11</v>
      </c>
      <c r="AR964">
        <v>72</v>
      </c>
      <c r="AS964">
        <v>192</v>
      </c>
      <c r="AT964">
        <v>1.81</v>
      </c>
      <c r="AU964">
        <v>4.33</v>
      </c>
      <c r="AV964" t="s">
        <v>3599</v>
      </c>
      <c r="AW964" t="s">
        <v>3418</v>
      </c>
      <c r="AX964" t="s">
        <v>3600</v>
      </c>
    </row>
    <row r="965" spans="1:50" x14ac:dyDescent="0.25">
      <c r="A965" t="s">
        <v>3601</v>
      </c>
      <c r="B965" t="s">
        <v>1679</v>
      </c>
      <c r="C965">
        <v>0</v>
      </c>
      <c r="D965">
        <v>0</v>
      </c>
      <c r="E965" t="s">
        <v>1740</v>
      </c>
      <c r="H965">
        <v>1</v>
      </c>
      <c r="N965">
        <v>0</v>
      </c>
      <c r="Q965">
        <v>1</v>
      </c>
      <c r="R965">
        <v>1</v>
      </c>
      <c r="U965" t="s">
        <v>72</v>
      </c>
      <c r="V965">
        <v>61</v>
      </c>
      <c r="W965" t="s">
        <v>79</v>
      </c>
      <c r="X965" t="s">
        <v>111</v>
      </c>
      <c r="Y965">
        <v>0</v>
      </c>
      <c r="Z965">
        <v>56.699053462499997</v>
      </c>
      <c r="AB965" t="s">
        <v>74</v>
      </c>
      <c r="AD965" t="s">
        <v>57</v>
      </c>
      <c r="AE965">
        <v>1</v>
      </c>
      <c r="AF965">
        <v>6</v>
      </c>
      <c r="AG965">
        <v>1</v>
      </c>
      <c r="AH965">
        <v>1.5</v>
      </c>
      <c r="AI965">
        <v>384</v>
      </c>
      <c r="AJ965">
        <v>384</v>
      </c>
      <c r="AK965">
        <v>144</v>
      </c>
      <c r="AL965" t="s">
        <v>3602</v>
      </c>
      <c r="AM965">
        <v>1.2000000476999999</v>
      </c>
      <c r="AN965" t="s">
        <v>2146</v>
      </c>
      <c r="AO965" t="s">
        <v>59</v>
      </c>
      <c r="AP965" t="s">
        <v>2147</v>
      </c>
      <c r="AQ965">
        <v>11</v>
      </c>
      <c r="AR965">
        <v>25</v>
      </c>
      <c r="AS965">
        <v>63</v>
      </c>
      <c r="AT965">
        <v>1.66</v>
      </c>
      <c r="AU965">
        <v>4.57</v>
      </c>
      <c r="AV965" t="s">
        <v>3461</v>
      </c>
      <c r="AW965" t="s">
        <v>3603</v>
      </c>
      <c r="AX965" t="s">
        <v>3604</v>
      </c>
    </row>
    <row r="966" spans="1:50" x14ac:dyDescent="0.25">
      <c r="A966" t="s">
        <v>3605</v>
      </c>
      <c r="B966" t="s">
        <v>1679</v>
      </c>
      <c r="C966">
        <v>0</v>
      </c>
      <c r="D966">
        <v>1</v>
      </c>
      <c r="E966" t="s">
        <v>1725</v>
      </c>
      <c r="H966">
        <v>0</v>
      </c>
      <c r="N966">
        <v>1</v>
      </c>
      <c r="Q966">
        <v>0</v>
      </c>
      <c r="R966">
        <v>0</v>
      </c>
      <c r="U966" t="s">
        <v>1687</v>
      </c>
      <c r="V966">
        <v>57</v>
      </c>
      <c r="W966" t="s">
        <v>79</v>
      </c>
      <c r="X966" t="s">
        <v>80</v>
      </c>
      <c r="Y966">
        <v>0</v>
      </c>
      <c r="Z966">
        <v>63.503</v>
      </c>
      <c r="AB966" t="s">
        <v>74</v>
      </c>
      <c r="AD966" t="s">
        <v>57</v>
      </c>
      <c r="AE966">
        <v>0</v>
      </c>
      <c r="AF966">
        <v>6</v>
      </c>
      <c r="AG966">
        <v>1</v>
      </c>
      <c r="AH966">
        <v>1.5</v>
      </c>
      <c r="AI966">
        <v>512</v>
      </c>
      <c r="AJ966">
        <v>512</v>
      </c>
      <c r="AK966">
        <v>66</v>
      </c>
      <c r="AL966" t="s">
        <v>331</v>
      </c>
      <c r="AM966">
        <v>2.4</v>
      </c>
      <c r="AN966" t="s">
        <v>1942</v>
      </c>
      <c r="AO966" t="s">
        <v>67</v>
      </c>
      <c r="AP966" t="s">
        <v>68</v>
      </c>
      <c r="AQ966">
        <v>15</v>
      </c>
      <c r="AR966">
        <v>309</v>
      </c>
      <c r="AS966">
        <v>618</v>
      </c>
      <c r="AT966">
        <v>3.048</v>
      </c>
      <c r="AU966">
        <v>6.2960000000000003</v>
      </c>
      <c r="AV966" t="s">
        <v>3606</v>
      </c>
      <c r="AW966" t="s">
        <v>3607</v>
      </c>
      <c r="AX966" t="s">
        <v>3608</v>
      </c>
    </row>
    <row r="967" spans="1:50" x14ac:dyDescent="0.25">
      <c r="A967" t="s">
        <v>3609</v>
      </c>
      <c r="B967" t="s">
        <v>1679</v>
      </c>
      <c r="C967">
        <v>0</v>
      </c>
      <c r="D967">
        <v>0</v>
      </c>
      <c r="E967" t="s">
        <v>1698</v>
      </c>
      <c r="H967">
        <v>0</v>
      </c>
      <c r="N967">
        <v>1</v>
      </c>
      <c r="Q967">
        <v>0</v>
      </c>
      <c r="R967">
        <v>0</v>
      </c>
      <c r="U967" t="s">
        <v>1687</v>
      </c>
      <c r="V967">
        <v>63</v>
      </c>
      <c r="X967" t="s">
        <v>80</v>
      </c>
      <c r="Y967">
        <v>0</v>
      </c>
      <c r="Z967">
        <v>89.811000000000007</v>
      </c>
      <c r="AB967" t="s">
        <v>118</v>
      </c>
      <c r="AD967" t="s">
        <v>57</v>
      </c>
      <c r="AE967">
        <v>0</v>
      </c>
      <c r="AF967">
        <v>6</v>
      </c>
      <c r="AG967">
        <v>1</v>
      </c>
      <c r="AH967">
        <v>1.5</v>
      </c>
      <c r="AI967">
        <v>512</v>
      </c>
      <c r="AJ967">
        <v>512</v>
      </c>
      <c r="AK967">
        <v>72</v>
      </c>
      <c r="AL967" t="s">
        <v>119</v>
      </c>
      <c r="AM967">
        <v>2.2000000000000002</v>
      </c>
      <c r="AN967" t="s">
        <v>1072</v>
      </c>
      <c r="AO967" t="s">
        <v>67</v>
      </c>
      <c r="AP967" t="s">
        <v>68</v>
      </c>
      <c r="AQ967">
        <v>15</v>
      </c>
      <c r="AR967">
        <v>231</v>
      </c>
      <c r="AS967">
        <v>463</v>
      </c>
      <c r="AT967">
        <v>4.2359999999999998</v>
      </c>
      <c r="AU967">
        <v>8.6679999999999993</v>
      </c>
      <c r="AV967" t="s">
        <v>3610</v>
      </c>
      <c r="AW967" t="s">
        <v>3317</v>
      </c>
      <c r="AX967" t="s">
        <v>3611</v>
      </c>
    </row>
    <row r="968" spans="1:50" x14ac:dyDescent="0.25">
      <c r="A968" t="s">
        <v>3612</v>
      </c>
      <c r="B968" t="s">
        <v>1679</v>
      </c>
      <c r="C968">
        <v>0</v>
      </c>
      <c r="D968">
        <v>1</v>
      </c>
      <c r="E968" t="s">
        <v>1780</v>
      </c>
      <c r="H968">
        <v>1</v>
      </c>
      <c r="N968">
        <v>1</v>
      </c>
      <c r="Q968">
        <v>0</v>
      </c>
      <c r="R968">
        <v>1</v>
      </c>
      <c r="U968" t="s">
        <v>1687</v>
      </c>
      <c r="V968">
        <v>70</v>
      </c>
      <c r="W968" t="s">
        <v>79</v>
      </c>
      <c r="X968" t="s">
        <v>80</v>
      </c>
      <c r="Y968">
        <v>0</v>
      </c>
      <c r="Z968">
        <v>54.430999999999997</v>
      </c>
      <c r="AB968" t="s">
        <v>74</v>
      </c>
      <c r="AD968" t="s">
        <v>57</v>
      </c>
      <c r="AE968">
        <v>0</v>
      </c>
      <c r="AF968">
        <v>6</v>
      </c>
      <c r="AG968">
        <v>1</v>
      </c>
      <c r="AH968">
        <v>1.5</v>
      </c>
      <c r="AI968">
        <v>512</v>
      </c>
      <c r="AJ968">
        <v>512</v>
      </c>
      <c r="AK968">
        <v>80</v>
      </c>
      <c r="AL968" t="s">
        <v>113</v>
      </c>
      <c r="AM968">
        <v>2</v>
      </c>
      <c r="AN968" t="s">
        <v>996</v>
      </c>
      <c r="AO968" t="s">
        <v>67</v>
      </c>
      <c r="AP968" t="s">
        <v>68</v>
      </c>
      <c r="AQ968">
        <v>15</v>
      </c>
      <c r="AR968">
        <v>154</v>
      </c>
      <c r="AS968">
        <v>308</v>
      </c>
      <c r="AT968">
        <v>4.2</v>
      </c>
      <c r="AU968">
        <v>7</v>
      </c>
      <c r="AV968" t="s">
        <v>3613</v>
      </c>
      <c r="AW968" t="s">
        <v>3614</v>
      </c>
      <c r="AX968" t="s">
        <v>3615</v>
      </c>
    </row>
    <row r="969" spans="1:50" x14ac:dyDescent="0.25">
      <c r="A969" t="s">
        <v>3616</v>
      </c>
      <c r="B969" t="s">
        <v>1679</v>
      </c>
      <c r="C969">
        <v>0</v>
      </c>
      <c r="D969">
        <v>0</v>
      </c>
      <c r="E969" t="s">
        <v>1686</v>
      </c>
      <c r="H969">
        <v>0</v>
      </c>
      <c r="N969">
        <v>1</v>
      </c>
      <c r="Q969">
        <v>0</v>
      </c>
      <c r="R969">
        <v>0</v>
      </c>
      <c r="U969" t="s">
        <v>1687</v>
      </c>
      <c r="V969">
        <v>52</v>
      </c>
      <c r="X969" t="s">
        <v>80</v>
      </c>
      <c r="Y969">
        <v>0</v>
      </c>
      <c r="Z969">
        <v>78.924999999999997</v>
      </c>
      <c r="AB969" t="s">
        <v>94</v>
      </c>
      <c r="AD969" t="s">
        <v>57</v>
      </c>
      <c r="AE969">
        <v>0</v>
      </c>
      <c r="AF969">
        <v>6</v>
      </c>
      <c r="AG969">
        <v>1</v>
      </c>
      <c r="AH969">
        <v>1.5</v>
      </c>
      <c r="AI969">
        <v>512</v>
      </c>
      <c r="AJ969">
        <v>512</v>
      </c>
      <c r="AK969">
        <v>80</v>
      </c>
      <c r="AL969" t="s">
        <v>331</v>
      </c>
      <c r="AM969">
        <v>2</v>
      </c>
      <c r="AN969" t="s">
        <v>1681</v>
      </c>
      <c r="AO969" t="s">
        <v>67</v>
      </c>
      <c r="AP969" t="s">
        <v>68</v>
      </c>
      <c r="AQ969">
        <v>15</v>
      </c>
      <c r="AR969">
        <v>302</v>
      </c>
      <c r="AS969">
        <v>605</v>
      </c>
      <c r="AT969">
        <v>2.7559999999999998</v>
      </c>
      <c r="AU969">
        <v>7.149</v>
      </c>
      <c r="AV969" t="s">
        <v>3617</v>
      </c>
      <c r="AW969" t="s">
        <v>2240</v>
      </c>
      <c r="AX969" t="s">
        <v>3618</v>
      </c>
    </row>
    <row r="970" spans="1:50" x14ac:dyDescent="0.25">
      <c r="A970" t="s">
        <v>3619</v>
      </c>
      <c r="B970" t="s">
        <v>1679</v>
      </c>
      <c r="C970">
        <v>0</v>
      </c>
      <c r="D970">
        <v>1</v>
      </c>
      <c r="E970" t="s">
        <v>2035</v>
      </c>
      <c r="H970">
        <v>1</v>
      </c>
      <c r="N970">
        <v>0</v>
      </c>
      <c r="Q970">
        <v>1</v>
      </c>
      <c r="R970">
        <v>1</v>
      </c>
      <c r="U970" t="s">
        <v>72</v>
      </c>
      <c r="V970">
        <v>49</v>
      </c>
      <c r="W970" t="s">
        <v>1688</v>
      </c>
      <c r="X970" t="s">
        <v>80</v>
      </c>
      <c r="Y970">
        <v>0</v>
      </c>
      <c r="AD970" t="s">
        <v>57</v>
      </c>
      <c r="AE970">
        <v>0</v>
      </c>
      <c r="AF970">
        <v>6</v>
      </c>
      <c r="AG970">
        <v>1</v>
      </c>
      <c r="AH970">
        <v>1.5</v>
      </c>
      <c r="AI970">
        <v>512</v>
      </c>
      <c r="AJ970">
        <v>512</v>
      </c>
      <c r="AK970">
        <v>90</v>
      </c>
      <c r="AL970" t="s">
        <v>196</v>
      </c>
      <c r="AM970">
        <v>2</v>
      </c>
      <c r="AN970" t="s">
        <v>1681</v>
      </c>
      <c r="AO970" t="s">
        <v>67</v>
      </c>
      <c r="AP970" t="s">
        <v>68</v>
      </c>
      <c r="AQ970">
        <v>15</v>
      </c>
      <c r="AR970">
        <v>291</v>
      </c>
      <c r="AS970">
        <v>582</v>
      </c>
      <c r="AT970">
        <v>2.6440000000000001</v>
      </c>
      <c r="AU970">
        <v>6.0670000000000002</v>
      </c>
      <c r="AV970" t="s">
        <v>3620</v>
      </c>
      <c r="AW970" t="s">
        <v>3621</v>
      </c>
      <c r="AX970" t="s">
        <v>3622</v>
      </c>
    </row>
    <row r="971" spans="1:50" x14ac:dyDescent="0.25">
      <c r="A971" t="s">
        <v>3623</v>
      </c>
      <c r="B971" t="s">
        <v>1679</v>
      </c>
      <c r="C971">
        <v>0</v>
      </c>
      <c r="D971">
        <v>1</v>
      </c>
      <c r="E971" t="s">
        <v>1680</v>
      </c>
      <c r="H971">
        <v>1</v>
      </c>
      <c r="N971">
        <v>1</v>
      </c>
      <c r="Q971">
        <v>0</v>
      </c>
      <c r="R971">
        <v>1</v>
      </c>
      <c r="U971" t="s">
        <v>1687</v>
      </c>
      <c r="V971">
        <v>34</v>
      </c>
      <c r="W971" t="s">
        <v>1688</v>
      </c>
      <c r="X971" t="s">
        <v>80</v>
      </c>
      <c r="Y971">
        <v>0</v>
      </c>
      <c r="Z971">
        <v>99.79</v>
      </c>
      <c r="AB971" t="s">
        <v>56</v>
      </c>
      <c r="AD971" t="s">
        <v>57</v>
      </c>
      <c r="AE971">
        <v>0</v>
      </c>
      <c r="AF971">
        <v>6</v>
      </c>
      <c r="AG971">
        <v>1</v>
      </c>
      <c r="AH971">
        <v>3</v>
      </c>
      <c r="AI971">
        <v>512</v>
      </c>
      <c r="AJ971">
        <v>512</v>
      </c>
      <c r="AK971">
        <v>134</v>
      </c>
      <c r="AL971" t="s">
        <v>350</v>
      </c>
      <c r="AM971">
        <v>2.4</v>
      </c>
      <c r="AN971" t="s">
        <v>1786</v>
      </c>
      <c r="AO971" t="s">
        <v>67</v>
      </c>
      <c r="AP971" t="s">
        <v>68</v>
      </c>
      <c r="AQ971">
        <v>15</v>
      </c>
      <c r="AR971">
        <v>286</v>
      </c>
      <c r="AS971">
        <v>572</v>
      </c>
      <c r="AT971">
        <v>2.7160000000000002</v>
      </c>
      <c r="AU971">
        <v>6.4550000000000001</v>
      </c>
      <c r="AV971" t="s">
        <v>1911</v>
      </c>
      <c r="AW971" t="s">
        <v>3624</v>
      </c>
      <c r="AX971" t="s">
        <v>3625</v>
      </c>
    </row>
    <row r="972" spans="1:50" x14ac:dyDescent="0.25">
      <c r="A972" t="s">
        <v>3626</v>
      </c>
      <c r="B972" t="s">
        <v>1679</v>
      </c>
      <c r="C972">
        <v>0</v>
      </c>
      <c r="D972">
        <v>0</v>
      </c>
      <c r="E972" t="s">
        <v>1703</v>
      </c>
      <c r="H972">
        <v>0</v>
      </c>
      <c r="N972">
        <v>0</v>
      </c>
      <c r="Q972">
        <v>0</v>
      </c>
      <c r="R972">
        <v>1</v>
      </c>
      <c r="U972" t="s">
        <v>65</v>
      </c>
      <c r="V972">
        <v>64</v>
      </c>
      <c r="W972" t="s">
        <v>79</v>
      </c>
      <c r="X972" t="s">
        <v>80</v>
      </c>
      <c r="Y972">
        <v>0</v>
      </c>
      <c r="Z972">
        <v>61.263327266200001</v>
      </c>
      <c r="AB972" t="s">
        <v>74</v>
      </c>
      <c r="AD972" t="s">
        <v>57</v>
      </c>
      <c r="AE972">
        <v>0</v>
      </c>
      <c r="AF972">
        <v>6</v>
      </c>
      <c r="AG972">
        <v>1</v>
      </c>
      <c r="AH972">
        <v>1.5</v>
      </c>
      <c r="AI972">
        <v>512</v>
      </c>
      <c r="AJ972">
        <v>512</v>
      </c>
      <c r="AK972">
        <v>80</v>
      </c>
      <c r="AL972" t="s">
        <v>1010</v>
      </c>
      <c r="AM972">
        <v>2</v>
      </c>
      <c r="AN972" t="s">
        <v>1011</v>
      </c>
      <c r="AO972" t="s">
        <v>59</v>
      </c>
      <c r="AP972" t="s">
        <v>60</v>
      </c>
      <c r="AQ972">
        <v>11</v>
      </c>
      <c r="AR972">
        <v>119</v>
      </c>
      <c r="AS972">
        <v>302</v>
      </c>
      <c r="AT972">
        <v>1.81</v>
      </c>
      <c r="AU972">
        <v>4.33</v>
      </c>
      <c r="AV972" t="s">
        <v>3627</v>
      </c>
      <c r="AW972" t="s">
        <v>2866</v>
      </c>
      <c r="AX972" t="s">
        <v>3628</v>
      </c>
    </row>
    <row r="973" spans="1:50" x14ac:dyDescent="0.25">
      <c r="A973" t="s">
        <v>3629</v>
      </c>
      <c r="B973" t="s">
        <v>1679</v>
      </c>
      <c r="C973">
        <v>0</v>
      </c>
      <c r="D973">
        <v>1</v>
      </c>
      <c r="E973" t="s">
        <v>1680</v>
      </c>
      <c r="H973">
        <v>0</v>
      </c>
      <c r="N973">
        <v>1</v>
      </c>
      <c r="Q973">
        <v>0</v>
      </c>
      <c r="R973">
        <v>1</v>
      </c>
      <c r="U973" t="s">
        <v>1687</v>
      </c>
      <c r="V973">
        <v>23</v>
      </c>
      <c r="W973" t="s">
        <v>1688</v>
      </c>
      <c r="X973" t="s">
        <v>80</v>
      </c>
      <c r="Y973">
        <v>0</v>
      </c>
      <c r="Z973">
        <v>63.957000000000001</v>
      </c>
      <c r="AB973" t="s">
        <v>74</v>
      </c>
      <c r="AD973" t="s">
        <v>57</v>
      </c>
      <c r="AE973">
        <v>0</v>
      </c>
      <c r="AF973">
        <v>6</v>
      </c>
      <c r="AG973">
        <v>1</v>
      </c>
      <c r="AH973">
        <v>3</v>
      </c>
      <c r="AI973">
        <v>512</v>
      </c>
      <c r="AJ973">
        <v>512</v>
      </c>
      <c r="AK973">
        <v>80</v>
      </c>
      <c r="AL973" t="s">
        <v>66</v>
      </c>
      <c r="AM973">
        <v>2</v>
      </c>
      <c r="AN973" t="s">
        <v>1915</v>
      </c>
      <c r="AO973" t="s">
        <v>67</v>
      </c>
      <c r="AP973" t="s">
        <v>68</v>
      </c>
      <c r="AQ973">
        <v>15</v>
      </c>
      <c r="AR973">
        <v>299</v>
      </c>
      <c r="AS973">
        <v>599</v>
      </c>
      <c r="AT973">
        <v>2.1800000000000002</v>
      </c>
      <c r="AU973">
        <v>5.431</v>
      </c>
      <c r="AV973" t="s">
        <v>3630</v>
      </c>
      <c r="AW973" t="s">
        <v>2278</v>
      </c>
      <c r="AX973" t="s">
        <v>3631</v>
      </c>
    </row>
    <row r="974" spans="1:50" x14ac:dyDescent="0.25">
      <c r="A974" t="s">
        <v>3632</v>
      </c>
      <c r="B974" t="s">
        <v>1679</v>
      </c>
      <c r="C974">
        <v>0</v>
      </c>
      <c r="D974">
        <v>1</v>
      </c>
      <c r="E974" t="s">
        <v>1740</v>
      </c>
      <c r="H974">
        <v>1</v>
      </c>
      <c r="N974">
        <v>0</v>
      </c>
      <c r="Q974">
        <v>0</v>
      </c>
      <c r="R974">
        <v>1</v>
      </c>
      <c r="U974" t="s">
        <v>65</v>
      </c>
      <c r="V974">
        <v>40</v>
      </c>
      <c r="W974" t="s">
        <v>1726</v>
      </c>
      <c r="X974" t="s">
        <v>55</v>
      </c>
      <c r="Y974">
        <v>0</v>
      </c>
      <c r="Z974">
        <v>93.44</v>
      </c>
      <c r="AB974" t="s">
        <v>118</v>
      </c>
      <c r="AD974" t="s">
        <v>57</v>
      </c>
      <c r="AE974">
        <v>0</v>
      </c>
      <c r="AF974">
        <v>6</v>
      </c>
      <c r="AG974">
        <v>1</v>
      </c>
      <c r="AH974">
        <v>3</v>
      </c>
      <c r="AI974">
        <v>512</v>
      </c>
      <c r="AJ974">
        <v>512</v>
      </c>
      <c r="AK974">
        <v>80</v>
      </c>
      <c r="AL974" t="s">
        <v>66</v>
      </c>
      <c r="AM974">
        <v>2</v>
      </c>
      <c r="AN974" t="s">
        <v>1915</v>
      </c>
      <c r="AO974" t="s">
        <v>67</v>
      </c>
      <c r="AP974" t="s">
        <v>68</v>
      </c>
      <c r="AQ974">
        <v>15</v>
      </c>
      <c r="AR974">
        <v>227</v>
      </c>
      <c r="AS974">
        <v>454</v>
      </c>
      <c r="AT974">
        <v>2.1840000000000002</v>
      </c>
      <c r="AU974">
        <v>5.5190000000000001</v>
      </c>
      <c r="AV974" t="s">
        <v>3633</v>
      </c>
      <c r="AW974" t="s">
        <v>3634</v>
      </c>
      <c r="AX974" t="s">
        <v>3635</v>
      </c>
    </row>
    <row r="975" spans="1:50" x14ac:dyDescent="0.25">
      <c r="A975" t="s">
        <v>3636</v>
      </c>
      <c r="B975" t="s">
        <v>1679</v>
      </c>
      <c r="C975">
        <v>0</v>
      </c>
      <c r="D975">
        <v>0</v>
      </c>
      <c r="E975" t="s">
        <v>1780</v>
      </c>
      <c r="H975">
        <v>1</v>
      </c>
      <c r="N975">
        <v>0</v>
      </c>
      <c r="Q975">
        <v>0</v>
      </c>
      <c r="R975">
        <v>1</v>
      </c>
      <c r="U975" t="s">
        <v>65</v>
      </c>
      <c r="V975">
        <v>33</v>
      </c>
      <c r="W975" t="s">
        <v>1688</v>
      </c>
      <c r="X975" t="s">
        <v>80</v>
      </c>
      <c r="Y975">
        <v>0</v>
      </c>
      <c r="AD975" t="s">
        <v>57</v>
      </c>
      <c r="AE975">
        <v>0</v>
      </c>
      <c r="AF975">
        <v>6</v>
      </c>
      <c r="AG975">
        <v>1</v>
      </c>
      <c r="AH975">
        <v>3</v>
      </c>
      <c r="AI975">
        <v>512</v>
      </c>
      <c r="AJ975">
        <v>512</v>
      </c>
      <c r="AK975">
        <v>134</v>
      </c>
      <c r="AL975" t="s">
        <v>196</v>
      </c>
      <c r="AM975">
        <v>2.4</v>
      </c>
      <c r="AN975" t="s">
        <v>1786</v>
      </c>
      <c r="AO975" t="s">
        <v>67</v>
      </c>
      <c r="AP975" t="s">
        <v>68</v>
      </c>
      <c r="AQ975">
        <v>15</v>
      </c>
      <c r="AR975">
        <v>362</v>
      </c>
      <c r="AS975">
        <v>725</v>
      </c>
      <c r="AT975">
        <v>4.25</v>
      </c>
      <c r="AU975">
        <v>8.5519999999999996</v>
      </c>
      <c r="AV975" t="s">
        <v>3637</v>
      </c>
      <c r="AW975" t="s">
        <v>3638</v>
      </c>
      <c r="AX975" t="s">
        <v>3639</v>
      </c>
    </row>
    <row r="976" spans="1:50" x14ac:dyDescent="0.25">
      <c r="A976" t="s">
        <v>3640</v>
      </c>
      <c r="B976" t="s">
        <v>1679</v>
      </c>
      <c r="C976">
        <v>0</v>
      </c>
      <c r="D976">
        <v>0</v>
      </c>
      <c r="E976" t="s">
        <v>1680</v>
      </c>
      <c r="H976">
        <v>0</v>
      </c>
      <c r="N976">
        <v>0</v>
      </c>
      <c r="Q976">
        <v>0</v>
      </c>
      <c r="R976">
        <v>1</v>
      </c>
      <c r="U976" t="s">
        <v>65</v>
      </c>
      <c r="V976">
        <v>31</v>
      </c>
      <c r="W976" t="s">
        <v>1688</v>
      </c>
      <c r="X976" t="s">
        <v>80</v>
      </c>
      <c r="Y976">
        <v>0</v>
      </c>
      <c r="Z976">
        <v>72.574788432000005</v>
      </c>
      <c r="AB976" t="s">
        <v>94</v>
      </c>
      <c r="AD976" t="s">
        <v>57</v>
      </c>
      <c r="AE976">
        <v>1</v>
      </c>
      <c r="AF976">
        <v>6</v>
      </c>
      <c r="AG976">
        <v>1</v>
      </c>
      <c r="AH976">
        <v>1.5</v>
      </c>
      <c r="AI976">
        <v>384</v>
      </c>
      <c r="AJ976">
        <v>384</v>
      </c>
      <c r="AK976">
        <v>160</v>
      </c>
      <c r="AL976" t="s">
        <v>1800</v>
      </c>
      <c r="AM976">
        <v>1</v>
      </c>
      <c r="AN976" t="s">
        <v>1741</v>
      </c>
      <c r="AO976" t="s">
        <v>59</v>
      </c>
      <c r="AP976" t="s">
        <v>60</v>
      </c>
      <c r="AQ976">
        <v>11</v>
      </c>
      <c r="AR976">
        <v>62</v>
      </c>
      <c r="AS976">
        <v>165</v>
      </c>
      <c r="AT976">
        <v>2.3199999999999998</v>
      </c>
      <c r="AU976">
        <v>5.15</v>
      </c>
      <c r="AV976" t="s">
        <v>2285</v>
      </c>
      <c r="AW976" t="s">
        <v>2127</v>
      </c>
      <c r="AX976" t="s">
        <v>3641</v>
      </c>
    </row>
    <row r="977" spans="1:50" x14ac:dyDescent="0.25">
      <c r="A977" t="s">
        <v>3642</v>
      </c>
      <c r="B977" t="s">
        <v>1679</v>
      </c>
      <c r="C977">
        <v>0</v>
      </c>
      <c r="D977">
        <v>1</v>
      </c>
      <c r="E977" t="s">
        <v>1740</v>
      </c>
      <c r="H977">
        <v>0</v>
      </c>
      <c r="N977">
        <v>0</v>
      </c>
      <c r="Q977">
        <v>0</v>
      </c>
      <c r="R977">
        <v>1</v>
      </c>
      <c r="U977" t="s">
        <v>65</v>
      </c>
      <c r="V977">
        <v>59</v>
      </c>
      <c r="W977" t="s">
        <v>79</v>
      </c>
      <c r="X977" t="s">
        <v>80</v>
      </c>
      <c r="Y977">
        <v>1</v>
      </c>
      <c r="Z977">
        <v>74.843000000000004</v>
      </c>
      <c r="AB977" t="s">
        <v>94</v>
      </c>
      <c r="AD977" t="s">
        <v>57</v>
      </c>
      <c r="AE977">
        <v>0</v>
      </c>
      <c r="AF977">
        <v>6</v>
      </c>
      <c r="AG977">
        <v>1</v>
      </c>
      <c r="AH977">
        <v>1.5</v>
      </c>
      <c r="AI977">
        <v>512</v>
      </c>
      <c r="AJ977">
        <v>512</v>
      </c>
      <c r="AK977">
        <v>80</v>
      </c>
      <c r="AL977" t="s">
        <v>81</v>
      </c>
      <c r="AM977">
        <v>2</v>
      </c>
      <c r="AN977" t="s">
        <v>996</v>
      </c>
      <c r="AO977" t="s">
        <v>67</v>
      </c>
      <c r="AP977" t="s">
        <v>68</v>
      </c>
      <c r="AQ977">
        <v>15</v>
      </c>
      <c r="AR977">
        <v>101</v>
      </c>
      <c r="AS977">
        <v>202</v>
      </c>
      <c r="AT977">
        <v>4.2</v>
      </c>
      <c r="AU977">
        <v>7</v>
      </c>
      <c r="AV977" t="s">
        <v>3643</v>
      </c>
      <c r="AW977" t="s">
        <v>3644</v>
      </c>
      <c r="AX977" t="s">
        <v>3645</v>
      </c>
    </row>
    <row r="978" spans="1:50" x14ac:dyDescent="0.25">
      <c r="A978" t="s">
        <v>3646</v>
      </c>
      <c r="B978" t="s">
        <v>1679</v>
      </c>
      <c r="C978">
        <v>0</v>
      </c>
      <c r="D978">
        <v>1</v>
      </c>
      <c r="E978" t="s">
        <v>1686</v>
      </c>
      <c r="H978">
        <v>1</v>
      </c>
      <c r="N978">
        <v>0</v>
      </c>
      <c r="Q978">
        <v>0</v>
      </c>
      <c r="R978">
        <v>1</v>
      </c>
      <c r="U978" t="s">
        <v>65</v>
      </c>
      <c r="V978">
        <v>47</v>
      </c>
      <c r="W978" t="s">
        <v>1688</v>
      </c>
      <c r="X978" t="s">
        <v>80</v>
      </c>
      <c r="Y978">
        <v>0</v>
      </c>
      <c r="Z978">
        <v>68.039000000000001</v>
      </c>
      <c r="AB978" t="s">
        <v>74</v>
      </c>
      <c r="AD978" t="s">
        <v>57</v>
      </c>
      <c r="AE978">
        <v>0</v>
      </c>
      <c r="AF978">
        <v>6</v>
      </c>
      <c r="AG978">
        <v>1</v>
      </c>
      <c r="AH978">
        <v>1.5</v>
      </c>
      <c r="AI978">
        <v>512</v>
      </c>
      <c r="AJ978">
        <v>512</v>
      </c>
      <c r="AK978">
        <v>72</v>
      </c>
      <c r="AL978" t="s">
        <v>119</v>
      </c>
      <c r="AM978">
        <v>2.2000000000000002</v>
      </c>
      <c r="AN978" t="s">
        <v>1072</v>
      </c>
      <c r="AO978" t="s">
        <v>67</v>
      </c>
      <c r="AP978" t="s">
        <v>68</v>
      </c>
      <c r="AQ978">
        <v>15</v>
      </c>
      <c r="AR978">
        <v>227</v>
      </c>
      <c r="AS978">
        <v>454</v>
      </c>
      <c r="AT978">
        <v>4.2359999999999998</v>
      </c>
      <c r="AU978">
        <v>8.6679999999999993</v>
      </c>
      <c r="AV978" t="s">
        <v>3647</v>
      </c>
      <c r="AW978" t="s">
        <v>3648</v>
      </c>
      <c r="AX978" t="s">
        <v>3649</v>
      </c>
    </row>
    <row r="979" spans="1:50" x14ac:dyDescent="0.25">
      <c r="A979" t="s">
        <v>3650</v>
      </c>
      <c r="B979" t="s">
        <v>1679</v>
      </c>
      <c r="C979">
        <v>0</v>
      </c>
      <c r="D979">
        <v>0</v>
      </c>
      <c r="E979" t="s">
        <v>1680</v>
      </c>
      <c r="H979">
        <v>0</v>
      </c>
      <c r="N979">
        <v>1</v>
      </c>
      <c r="Q979">
        <v>0</v>
      </c>
      <c r="R979">
        <v>0</v>
      </c>
      <c r="U979" t="s">
        <v>1687</v>
      </c>
      <c r="V979">
        <v>52</v>
      </c>
      <c r="W979" t="s">
        <v>1688</v>
      </c>
      <c r="X979" t="s">
        <v>80</v>
      </c>
      <c r="Y979">
        <v>0</v>
      </c>
      <c r="Z979">
        <v>100.69799999999999</v>
      </c>
      <c r="AB979" t="s">
        <v>56</v>
      </c>
      <c r="AD979" t="s">
        <v>57</v>
      </c>
      <c r="AE979">
        <v>0</v>
      </c>
      <c r="AF979">
        <v>6</v>
      </c>
      <c r="AG979">
        <v>1</v>
      </c>
      <c r="AH979">
        <v>3</v>
      </c>
      <c r="AI979">
        <v>512</v>
      </c>
      <c r="AJ979">
        <v>512</v>
      </c>
      <c r="AK979">
        <v>136</v>
      </c>
      <c r="AL979" t="s">
        <v>119</v>
      </c>
      <c r="AM979">
        <v>2.4</v>
      </c>
      <c r="AN979" t="s">
        <v>1786</v>
      </c>
      <c r="AO979" t="s">
        <v>67</v>
      </c>
      <c r="AP979" t="s">
        <v>68</v>
      </c>
      <c r="AQ979">
        <v>15</v>
      </c>
      <c r="AR979">
        <v>142</v>
      </c>
      <c r="AS979">
        <v>284</v>
      </c>
      <c r="AT979">
        <v>2.8119999999999998</v>
      </c>
      <c r="AU979">
        <v>7.3259999999999996</v>
      </c>
      <c r="AV979" t="s">
        <v>1867</v>
      </c>
      <c r="AW979" t="s">
        <v>3651</v>
      </c>
      <c r="AX979" t="s">
        <v>3652</v>
      </c>
    </row>
    <row r="980" spans="1:50" x14ac:dyDescent="0.25">
      <c r="A980" t="s">
        <v>3653</v>
      </c>
      <c r="B980" t="s">
        <v>1679</v>
      </c>
      <c r="C980">
        <v>0</v>
      </c>
      <c r="D980">
        <v>1</v>
      </c>
      <c r="E980" t="s">
        <v>1725</v>
      </c>
      <c r="H980">
        <v>0</v>
      </c>
      <c r="N980">
        <v>0</v>
      </c>
      <c r="Q980">
        <v>0</v>
      </c>
      <c r="R980">
        <v>0</v>
      </c>
      <c r="U980" t="s">
        <v>65</v>
      </c>
      <c r="V980">
        <v>51</v>
      </c>
      <c r="W980" t="s">
        <v>79</v>
      </c>
      <c r="X980" t="s">
        <v>80</v>
      </c>
      <c r="Y980">
        <v>0</v>
      </c>
      <c r="AD980" t="s">
        <v>57</v>
      </c>
      <c r="AE980">
        <v>0</v>
      </c>
      <c r="AF980">
        <v>6</v>
      </c>
      <c r="AG980">
        <v>1</v>
      </c>
      <c r="AH980">
        <v>3</v>
      </c>
      <c r="AI980">
        <v>512</v>
      </c>
      <c r="AJ980">
        <v>512</v>
      </c>
      <c r="AK980">
        <v>134</v>
      </c>
      <c r="AL980" t="s">
        <v>119</v>
      </c>
      <c r="AM980">
        <v>2.4</v>
      </c>
      <c r="AN980" t="s">
        <v>1786</v>
      </c>
      <c r="AO980" t="s">
        <v>67</v>
      </c>
      <c r="AP980" t="s">
        <v>68</v>
      </c>
      <c r="AQ980">
        <v>15</v>
      </c>
      <c r="AR980">
        <v>273</v>
      </c>
      <c r="AS980">
        <v>546</v>
      </c>
      <c r="AT980">
        <v>2.8079999999999998</v>
      </c>
      <c r="AU980">
        <v>7.3120000000000003</v>
      </c>
      <c r="AV980" t="s">
        <v>2491</v>
      </c>
      <c r="AW980" t="s">
        <v>3654</v>
      </c>
      <c r="AX980" t="s">
        <v>3655</v>
      </c>
    </row>
    <row r="981" spans="1:50" x14ac:dyDescent="0.25">
      <c r="A981" t="s">
        <v>3656</v>
      </c>
      <c r="B981" t="s">
        <v>1679</v>
      </c>
      <c r="C981">
        <v>0</v>
      </c>
      <c r="D981">
        <v>1</v>
      </c>
      <c r="E981" t="s">
        <v>1725</v>
      </c>
      <c r="H981">
        <v>0</v>
      </c>
      <c r="N981">
        <v>1</v>
      </c>
      <c r="Q981">
        <v>0</v>
      </c>
      <c r="R981">
        <v>0</v>
      </c>
      <c r="U981" t="s">
        <v>1687</v>
      </c>
      <c r="V981">
        <v>59</v>
      </c>
      <c r="W981" t="s">
        <v>79</v>
      </c>
      <c r="X981" t="s">
        <v>80</v>
      </c>
      <c r="Y981">
        <v>0</v>
      </c>
      <c r="Z981">
        <v>95.254000000000005</v>
      </c>
      <c r="AB981" t="s">
        <v>118</v>
      </c>
      <c r="AD981" t="s">
        <v>57</v>
      </c>
      <c r="AE981">
        <v>0</v>
      </c>
      <c r="AF981">
        <v>6</v>
      </c>
      <c r="AG981">
        <v>1</v>
      </c>
      <c r="AH981">
        <v>1.5</v>
      </c>
      <c r="AI981">
        <v>512</v>
      </c>
      <c r="AJ981">
        <v>512</v>
      </c>
      <c r="AK981">
        <v>66</v>
      </c>
      <c r="AL981" t="s">
        <v>66</v>
      </c>
      <c r="AM981">
        <v>2.4</v>
      </c>
      <c r="AN981" t="s">
        <v>1942</v>
      </c>
      <c r="AO981" t="s">
        <v>67</v>
      </c>
      <c r="AP981" t="s">
        <v>68</v>
      </c>
      <c r="AQ981">
        <v>15</v>
      </c>
      <c r="AR981">
        <v>555</v>
      </c>
      <c r="AS981">
        <v>1110</v>
      </c>
      <c r="AT981">
        <v>3.02</v>
      </c>
      <c r="AU981">
        <v>6.2560000000000002</v>
      </c>
      <c r="AV981" t="s">
        <v>3657</v>
      </c>
      <c r="AW981" t="s">
        <v>2134</v>
      </c>
      <c r="AX981" t="s">
        <v>3658</v>
      </c>
    </row>
    <row r="982" spans="1:50" x14ac:dyDescent="0.25">
      <c r="A982" t="s">
        <v>3659</v>
      </c>
      <c r="B982" t="s">
        <v>1679</v>
      </c>
      <c r="C982">
        <v>0</v>
      </c>
      <c r="D982">
        <v>0</v>
      </c>
      <c r="E982" t="s">
        <v>1740</v>
      </c>
      <c r="H982">
        <v>0</v>
      </c>
      <c r="N982">
        <v>1</v>
      </c>
      <c r="Q982">
        <v>1</v>
      </c>
      <c r="R982">
        <v>0</v>
      </c>
      <c r="U982" t="s">
        <v>1735</v>
      </c>
      <c r="V982">
        <v>44</v>
      </c>
      <c r="W982" t="s">
        <v>1726</v>
      </c>
      <c r="X982" t="s">
        <v>80</v>
      </c>
      <c r="Y982">
        <v>0</v>
      </c>
      <c r="Z982">
        <v>74.843000000000004</v>
      </c>
      <c r="AB982" t="s">
        <v>94</v>
      </c>
      <c r="AD982" t="s">
        <v>57</v>
      </c>
      <c r="AE982">
        <v>0</v>
      </c>
      <c r="AF982">
        <v>6</v>
      </c>
      <c r="AG982">
        <v>1</v>
      </c>
      <c r="AH982">
        <v>1.5</v>
      </c>
      <c r="AI982">
        <v>512</v>
      </c>
      <c r="AJ982">
        <v>512</v>
      </c>
      <c r="AK982">
        <v>80</v>
      </c>
      <c r="AL982" t="s">
        <v>81</v>
      </c>
      <c r="AM982">
        <v>2</v>
      </c>
      <c r="AN982" t="s">
        <v>996</v>
      </c>
      <c r="AO982" t="s">
        <v>67</v>
      </c>
      <c r="AP982" t="s">
        <v>68</v>
      </c>
      <c r="AQ982">
        <v>15</v>
      </c>
      <c r="AR982">
        <v>93</v>
      </c>
      <c r="AS982">
        <v>187</v>
      </c>
      <c r="AT982">
        <v>4.2</v>
      </c>
      <c r="AU982">
        <v>7</v>
      </c>
      <c r="AV982" t="s">
        <v>3660</v>
      </c>
      <c r="AW982" t="s">
        <v>3661</v>
      </c>
      <c r="AX982" t="s">
        <v>3662</v>
      </c>
    </row>
    <row r="983" spans="1:50" x14ac:dyDescent="0.25">
      <c r="A983" t="s">
        <v>3663</v>
      </c>
      <c r="B983" t="s">
        <v>1679</v>
      </c>
      <c r="C983">
        <v>0</v>
      </c>
      <c r="D983">
        <v>1</v>
      </c>
      <c r="E983" t="s">
        <v>1740</v>
      </c>
      <c r="H983">
        <v>0</v>
      </c>
      <c r="N983">
        <v>0</v>
      </c>
      <c r="Q983">
        <v>0</v>
      </c>
      <c r="R983">
        <v>1</v>
      </c>
      <c r="U983" t="s">
        <v>65</v>
      </c>
      <c r="V983">
        <v>44</v>
      </c>
      <c r="W983" t="s">
        <v>1688</v>
      </c>
      <c r="X983" t="s">
        <v>80</v>
      </c>
      <c r="Y983">
        <v>0</v>
      </c>
      <c r="AD983" t="s">
        <v>57</v>
      </c>
      <c r="AE983">
        <v>0</v>
      </c>
      <c r="AF983">
        <v>6</v>
      </c>
      <c r="AG983">
        <v>1</v>
      </c>
      <c r="AH983">
        <v>3</v>
      </c>
      <c r="AI983">
        <v>512</v>
      </c>
      <c r="AJ983">
        <v>512</v>
      </c>
      <c r="AK983">
        <v>134</v>
      </c>
      <c r="AL983" t="s">
        <v>128</v>
      </c>
      <c r="AM983">
        <v>2.4</v>
      </c>
      <c r="AN983" t="s">
        <v>1786</v>
      </c>
      <c r="AO983" t="s">
        <v>67</v>
      </c>
      <c r="AP983" t="s">
        <v>68</v>
      </c>
      <c r="AQ983">
        <v>15</v>
      </c>
      <c r="AR983">
        <v>288</v>
      </c>
      <c r="AS983">
        <v>577</v>
      </c>
      <c r="AT983">
        <v>2.8359999999999999</v>
      </c>
      <c r="AU983">
        <v>7.5410000000000004</v>
      </c>
      <c r="AV983" t="s">
        <v>1730</v>
      </c>
      <c r="AW983" t="s">
        <v>3664</v>
      </c>
      <c r="AX983" t="s">
        <v>3665</v>
      </c>
    </row>
    <row r="984" spans="1:50" x14ac:dyDescent="0.25">
      <c r="A984" t="s">
        <v>3666</v>
      </c>
      <c r="B984" t="s">
        <v>1679</v>
      </c>
      <c r="C984">
        <v>0</v>
      </c>
      <c r="D984">
        <v>1</v>
      </c>
      <c r="E984" t="s">
        <v>1871</v>
      </c>
      <c r="H984">
        <v>0</v>
      </c>
      <c r="N984">
        <v>1</v>
      </c>
      <c r="Q984">
        <v>1</v>
      </c>
      <c r="R984">
        <v>0</v>
      </c>
      <c r="U984" t="s">
        <v>1735</v>
      </c>
      <c r="V984">
        <v>70</v>
      </c>
      <c r="X984" t="s">
        <v>55</v>
      </c>
      <c r="Y984">
        <v>0</v>
      </c>
      <c r="Z984">
        <v>81.647000000000006</v>
      </c>
      <c r="AB984" t="s">
        <v>94</v>
      </c>
      <c r="AD984" t="s">
        <v>57</v>
      </c>
      <c r="AE984">
        <v>0</v>
      </c>
      <c r="AF984">
        <v>6</v>
      </c>
      <c r="AG984">
        <v>1</v>
      </c>
      <c r="AH984">
        <v>1.5</v>
      </c>
      <c r="AI984">
        <v>512</v>
      </c>
      <c r="AJ984">
        <v>512</v>
      </c>
      <c r="AK984">
        <v>72</v>
      </c>
      <c r="AL984" t="s">
        <v>119</v>
      </c>
      <c r="AM984">
        <v>2.2000000000000002</v>
      </c>
      <c r="AN984" t="s">
        <v>1072</v>
      </c>
      <c r="AO984" t="s">
        <v>67</v>
      </c>
      <c r="AP984" t="s">
        <v>68</v>
      </c>
      <c r="AQ984">
        <v>15</v>
      </c>
      <c r="AR984">
        <v>146</v>
      </c>
      <c r="AS984">
        <v>293</v>
      </c>
      <c r="AT984">
        <v>4.2359999999999998</v>
      </c>
      <c r="AU984">
        <v>8.6679999999999993</v>
      </c>
      <c r="AV984" t="s">
        <v>3667</v>
      </c>
      <c r="AW984" t="s">
        <v>3099</v>
      </c>
      <c r="AX984" t="s">
        <v>3668</v>
      </c>
    </row>
    <row r="985" spans="1:50" x14ac:dyDescent="0.25">
      <c r="A985" t="s">
        <v>3669</v>
      </c>
      <c r="B985" t="s">
        <v>1679</v>
      </c>
      <c r="C985">
        <v>0</v>
      </c>
      <c r="D985">
        <v>1</v>
      </c>
      <c r="E985" t="s">
        <v>2035</v>
      </c>
      <c r="H985">
        <v>0</v>
      </c>
      <c r="N985">
        <v>1</v>
      </c>
      <c r="Q985">
        <v>1</v>
      </c>
      <c r="R985">
        <v>1</v>
      </c>
      <c r="U985" t="s">
        <v>1735</v>
      </c>
      <c r="V985">
        <v>51</v>
      </c>
      <c r="X985" t="s">
        <v>80</v>
      </c>
      <c r="Y985">
        <v>0</v>
      </c>
      <c r="Z985">
        <v>60.328000000000003</v>
      </c>
      <c r="AB985" t="s">
        <v>74</v>
      </c>
      <c r="AD985" t="s">
        <v>57</v>
      </c>
      <c r="AE985">
        <v>0</v>
      </c>
      <c r="AF985">
        <v>6</v>
      </c>
      <c r="AG985">
        <v>1</v>
      </c>
      <c r="AH985">
        <v>3</v>
      </c>
      <c r="AI985">
        <v>512</v>
      </c>
      <c r="AJ985">
        <v>512</v>
      </c>
      <c r="AK985">
        <v>136</v>
      </c>
      <c r="AL985" t="s">
        <v>196</v>
      </c>
      <c r="AM985">
        <v>2.4</v>
      </c>
      <c r="AN985" t="s">
        <v>1786</v>
      </c>
      <c r="AO985" t="s">
        <v>67</v>
      </c>
      <c r="AP985" t="s">
        <v>68</v>
      </c>
      <c r="AQ985">
        <v>15</v>
      </c>
      <c r="AR985">
        <v>511</v>
      </c>
      <c r="AS985">
        <v>1023</v>
      </c>
      <c r="AT985">
        <v>4.25</v>
      </c>
      <c r="AU985">
        <v>8.5510000000000002</v>
      </c>
      <c r="AV985" t="s">
        <v>2027</v>
      </c>
      <c r="AW985" t="s">
        <v>3670</v>
      </c>
      <c r="AX985" t="s">
        <v>3671</v>
      </c>
    </row>
    <row r="986" spans="1:50" x14ac:dyDescent="0.25">
      <c r="A986" t="s">
        <v>3672</v>
      </c>
      <c r="B986" t="s">
        <v>1679</v>
      </c>
      <c r="C986">
        <v>0</v>
      </c>
      <c r="D986">
        <v>1</v>
      </c>
      <c r="E986" t="s">
        <v>1686</v>
      </c>
      <c r="H986">
        <v>0</v>
      </c>
      <c r="N986">
        <v>0</v>
      </c>
      <c r="Q986">
        <v>0</v>
      </c>
      <c r="R986">
        <v>1</v>
      </c>
      <c r="U986" t="s">
        <v>65</v>
      </c>
      <c r="V986">
        <v>48</v>
      </c>
      <c r="W986" t="s">
        <v>1688</v>
      </c>
      <c r="X986" t="s">
        <v>55</v>
      </c>
      <c r="Y986">
        <v>0</v>
      </c>
      <c r="Z986">
        <v>89.811000000000007</v>
      </c>
      <c r="AB986" t="s">
        <v>118</v>
      </c>
      <c r="AD986" t="s">
        <v>57</v>
      </c>
      <c r="AE986">
        <v>0</v>
      </c>
      <c r="AF986">
        <v>6</v>
      </c>
      <c r="AG986">
        <v>1</v>
      </c>
      <c r="AH986">
        <v>1.5</v>
      </c>
      <c r="AI986">
        <v>512</v>
      </c>
      <c r="AJ986">
        <v>512</v>
      </c>
      <c r="AK986">
        <v>72</v>
      </c>
      <c r="AL986" t="s">
        <v>119</v>
      </c>
      <c r="AM986">
        <v>2.2000000000000002</v>
      </c>
      <c r="AN986" t="s">
        <v>1072</v>
      </c>
      <c r="AO986" t="s">
        <v>67</v>
      </c>
      <c r="AP986" t="s">
        <v>68</v>
      </c>
      <c r="AQ986">
        <v>15</v>
      </c>
      <c r="AR986">
        <v>216</v>
      </c>
      <c r="AS986">
        <v>433</v>
      </c>
      <c r="AT986">
        <v>4.2359999999999998</v>
      </c>
      <c r="AU986">
        <v>8.6679999999999993</v>
      </c>
      <c r="AV986" t="s">
        <v>3673</v>
      </c>
      <c r="AW986" t="s">
        <v>2526</v>
      </c>
      <c r="AX986" t="s">
        <v>3674</v>
      </c>
    </row>
    <row r="987" spans="1:50" x14ac:dyDescent="0.25">
      <c r="A987" t="s">
        <v>3675</v>
      </c>
      <c r="B987" t="s">
        <v>1679</v>
      </c>
      <c r="C987">
        <v>0</v>
      </c>
      <c r="D987">
        <v>1</v>
      </c>
      <c r="E987" t="s">
        <v>1725</v>
      </c>
      <c r="H987">
        <v>0</v>
      </c>
      <c r="N987">
        <v>0</v>
      </c>
      <c r="Q987">
        <v>0</v>
      </c>
      <c r="R987">
        <v>1</v>
      </c>
      <c r="U987" t="s">
        <v>65</v>
      </c>
      <c r="V987">
        <v>57</v>
      </c>
      <c r="W987" t="s">
        <v>79</v>
      </c>
      <c r="X987" t="s">
        <v>80</v>
      </c>
      <c r="Y987">
        <v>0</v>
      </c>
      <c r="Z987">
        <v>54.430999999999997</v>
      </c>
      <c r="AB987" t="s">
        <v>74</v>
      </c>
      <c r="AD987" t="s">
        <v>57</v>
      </c>
      <c r="AE987">
        <v>0</v>
      </c>
      <c r="AF987">
        <v>6</v>
      </c>
      <c r="AG987">
        <v>1</v>
      </c>
      <c r="AH987">
        <v>1.5</v>
      </c>
      <c r="AI987">
        <v>512</v>
      </c>
      <c r="AJ987">
        <v>512</v>
      </c>
      <c r="AK987">
        <v>80</v>
      </c>
      <c r="AL987" t="s">
        <v>113</v>
      </c>
      <c r="AM987">
        <v>2</v>
      </c>
      <c r="AN987" t="s">
        <v>996</v>
      </c>
      <c r="AO987" t="s">
        <v>67</v>
      </c>
      <c r="AP987" t="s">
        <v>68</v>
      </c>
      <c r="AQ987">
        <v>15</v>
      </c>
      <c r="AR987">
        <v>246</v>
      </c>
      <c r="AS987">
        <v>492</v>
      </c>
      <c r="AT987">
        <v>4.2</v>
      </c>
      <c r="AU987">
        <v>7</v>
      </c>
      <c r="AV987" t="s">
        <v>3676</v>
      </c>
      <c r="AW987" t="s">
        <v>3677</v>
      </c>
      <c r="AX987" t="s">
        <v>3678</v>
      </c>
    </row>
    <row r="988" spans="1:50" x14ac:dyDescent="0.25">
      <c r="A988" t="s">
        <v>3679</v>
      </c>
      <c r="B988" t="s">
        <v>1679</v>
      </c>
      <c r="C988">
        <v>0</v>
      </c>
      <c r="D988">
        <v>0</v>
      </c>
      <c r="E988" t="s">
        <v>1686</v>
      </c>
      <c r="H988">
        <v>1</v>
      </c>
      <c r="N988">
        <v>0</v>
      </c>
      <c r="Q988">
        <v>0</v>
      </c>
      <c r="R988">
        <v>1</v>
      </c>
      <c r="U988" t="s">
        <v>65</v>
      </c>
      <c r="V988">
        <v>42</v>
      </c>
      <c r="W988" t="s">
        <v>1688</v>
      </c>
      <c r="X988" t="s">
        <v>80</v>
      </c>
      <c r="Y988">
        <v>0</v>
      </c>
      <c r="AD988" t="s">
        <v>57</v>
      </c>
      <c r="AE988">
        <v>1</v>
      </c>
      <c r="AF988">
        <v>6</v>
      </c>
      <c r="AG988">
        <v>1</v>
      </c>
      <c r="AH988">
        <v>1.5</v>
      </c>
      <c r="AI988">
        <v>384</v>
      </c>
      <c r="AJ988">
        <v>384</v>
      </c>
      <c r="AK988">
        <v>160</v>
      </c>
      <c r="AL988" t="s">
        <v>75</v>
      </c>
      <c r="AM988">
        <v>1</v>
      </c>
      <c r="AN988" t="s">
        <v>1728</v>
      </c>
      <c r="AO988" t="s">
        <v>59</v>
      </c>
      <c r="AP988" t="s">
        <v>1729</v>
      </c>
      <c r="AQ988">
        <v>11</v>
      </c>
      <c r="AR988">
        <v>54</v>
      </c>
      <c r="AS988">
        <v>144</v>
      </c>
      <c r="AT988">
        <v>1.81</v>
      </c>
      <c r="AU988">
        <v>5.05</v>
      </c>
      <c r="AV988" t="s">
        <v>2325</v>
      </c>
      <c r="AW988" t="s">
        <v>2701</v>
      </c>
      <c r="AX988" t="s">
        <v>3680</v>
      </c>
    </row>
    <row r="989" spans="1:50" x14ac:dyDescent="0.25">
      <c r="A989" t="s">
        <v>3681</v>
      </c>
      <c r="B989" t="s">
        <v>1679</v>
      </c>
      <c r="C989">
        <v>0</v>
      </c>
      <c r="D989">
        <v>1</v>
      </c>
      <c r="E989" t="s">
        <v>1740</v>
      </c>
      <c r="H989">
        <v>0</v>
      </c>
      <c r="N989">
        <v>1</v>
      </c>
      <c r="Q989">
        <v>1</v>
      </c>
      <c r="R989">
        <v>0</v>
      </c>
      <c r="U989" t="s">
        <v>1735</v>
      </c>
      <c r="V989">
        <v>54</v>
      </c>
      <c r="W989" t="s">
        <v>79</v>
      </c>
      <c r="X989" t="s">
        <v>111</v>
      </c>
      <c r="Y989">
        <v>0</v>
      </c>
      <c r="Z989">
        <v>71</v>
      </c>
      <c r="AB989" t="s">
        <v>94</v>
      </c>
      <c r="AD989" t="s">
        <v>57</v>
      </c>
      <c r="AE989">
        <v>0</v>
      </c>
      <c r="AF989">
        <v>6</v>
      </c>
      <c r="AG989">
        <v>1</v>
      </c>
      <c r="AH989">
        <v>1.5</v>
      </c>
      <c r="AI989">
        <v>512</v>
      </c>
      <c r="AJ989">
        <v>512</v>
      </c>
      <c r="AK989">
        <v>80</v>
      </c>
      <c r="AL989" t="s">
        <v>153</v>
      </c>
      <c r="AM989">
        <v>2</v>
      </c>
      <c r="AN989" t="s">
        <v>996</v>
      </c>
      <c r="AO989" t="s">
        <v>67</v>
      </c>
      <c r="AP989" t="s">
        <v>68</v>
      </c>
      <c r="AQ989">
        <v>15</v>
      </c>
      <c r="AR989">
        <v>100</v>
      </c>
      <c r="AS989">
        <v>200</v>
      </c>
      <c r="AT989">
        <v>4.2</v>
      </c>
      <c r="AU989">
        <v>7</v>
      </c>
      <c r="AV989" t="s">
        <v>3682</v>
      </c>
      <c r="AW989" t="s">
        <v>1921</v>
      </c>
      <c r="AX989" t="s">
        <v>3683</v>
      </c>
    </row>
    <row r="990" spans="1:50" x14ac:dyDescent="0.25">
      <c r="A990" t="s">
        <v>3684</v>
      </c>
      <c r="B990" t="s">
        <v>1679</v>
      </c>
      <c r="C990">
        <v>0</v>
      </c>
      <c r="D990">
        <v>1</v>
      </c>
      <c r="E990" t="s">
        <v>1740</v>
      </c>
      <c r="H990">
        <v>0</v>
      </c>
      <c r="N990">
        <v>1</v>
      </c>
      <c r="Q990">
        <v>0</v>
      </c>
      <c r="R990">
        <v>0</v>
      </c>
      <c r="U990" t="s">
        <v>1687</v>
      </c>
      <c r="V990">
        <v>54</v>
      </c>
      <c r="W990" t="s">
        <v>79</v>
      </c>
      <c r="X990" t="s">
        <v>80</v>
      </c>
      <c r="Y990">
        <v>0</v>
      </c>
      <c r="Z990">
        <v>104.32625837099999</v>
      </c>
      <c r="AB990" t="s">
        <v>56</v>
      </c>
      <c r="AD990" t="s">
        <v>57</v>
      </c>
      <c r="AE990">
        <v>1</v>
      </c>
      <c r="AF990">
        <v>6</v>
      </c>
      <c r="AG990">
        <v>1</v>
      </c>
      <c r="AH990">
        <v>1.5</v>
      </c>
      <c r="AI990">
        <v>384</v>
      </c>
      <c r="AJ990">
        <v>384</v>
      </c>
      <c r="AK990">
        <v>144</v>
      </c>
      <c r="AL990" t="s">
        <v>3685</v>
      </c>
      <c r="AM990">
        <v>1.2000000476999999</v>
      </c>
      <c r="AN990" t="s">
        <v>2146</v>
      </c>
      <c r="AO990" t="s">
        <v>59</v>
      </c>
      <c r="AP990" t="s">
        <v>2147</v>
      </c>
      <c r="AQ990">
        <v>11</v>
      </c>
      <c r="AR990">
        <v>34</v>
      </c>
      <c r="AS990">
        <v>91</v>
      </c>
      <c r="AT990">
        <v>1.58</v>
      </c>
      <c r="AU990">
        <v>4.4000000000000004</v>
      </c>
      <c r="AV990" t="s">
        <v>3686</v>
      </c>
      <c r="AW990" t="s">
        <v>3687</v>
      </c>
      <c r="AX990" t="s">
        <v>3688</v>
      </c>
    </row>
    <row r="991" spans="1:50" x14ac:dyDescent="0.25">
      <c r="A991" t="s">
        <v>3689</v>
      </c>
      <c r="B991" t="s">
        <v>1679</v>
      </c>
      <c r="C991">
        <v>0</v>
      </c>
      <c r="D991">
        <v>1</v>
      </c>
      <c r="E991" t="s">
        <v>1780</v>
      </c>
      <c r="H991">
        <v>1</v>
      </c>
      <c r="N991">
        <v>1</v>
      </c>
      <c r="Q991">
        <v>0</v>
      </c>
      <c r="R991">
        <v>1</v>
      </c>
      <c r="U991" t="s">
        <v>1687</v>
      </c>
      <c r="V991">
        <v>34</v>
      </c>
      <c r="W991" t="s">
        <v>1726</v>
      </c>
      <c r="X991" t="s">
        <v>80</v>
      </c>
      <c r="Y991">
        <v>0</v>
      </c>
      <c r="Z991">
        <v>55.338276179399998</v>
      </c>
      <c r="AB991" t="s">
        <v>74</v>
      </c>
      <c r="AD991" t="s">
        <v>57</v>
      </c>
      <c r="AE991">
        <v>0</v>
      </c>
      <c r="AF991">
        <v>6</v>
      </c>
      <c r="AG991">
        <v>1</v>
      </c>
      <c r="AH991">
        <v>1.5</v>
      </c>
      <c r="AI991">
        <v>512</v>
      </c>
      <c r="AJ991">
        <v>512</v>
      </c>
      <c r="AK991">
        <v>80</v>
      </c>
      <c r="AL991" t="s">
        <v>1010</v>
      </c>
      <c r="AM991">
        <v>2</v>
      </c>
      <c r="AN991" t="s">
        <v>1011</v>
      </c>
      <c r="AO991" t="s">
        <v>59</v>
      </c>
      <c r="AP991" t="s">
        <v>60</v>
      </c>
      <c r="AQ991">
        <v>11</v>
      </c>
      <c r="AR991">
        <v>66</v>
      </c>
      <c r="AS991">
        <v>182</v>
      </c>
      <c r="AT991">
        <v>1.67</v>
      </c>
      <c r="AU991">
        <v>4.51</v>
      </c>
      <c r="AV991" t="s">
        <v>3690</v>
      </c>
      <c r="AW991" t="s">
        <v>3691</v>
      </c>
      <c r="AX991" t="s">
        <v>3692</v>
      </c>
    </row>
    <row r="992" spans="1:50" x14ac:dyDescent="0.25">
      <c r="A992" t="s">
        <v>3693</v>
      </c>
      <c r="B992" t="s">
        <v>1679</v>
      </c>
      <c r="C992">
        <v>0</v>
      </c>
      <c r="D992">
        <v>1</v>
      </c>
      <c r="E992" t="s">
        <v>1693</v>
      </c>
      <c r="H992">
        <v>0</v>
      </c>
      <c r="N992">
        <v>0</v>
      </c>
      <c r="Q992">
        <v>0</v>
      </c>
      <c r="R992">
        <v>1</v>
      </c>
      <c r="U992" t="s">
        <v>65</v>
      </c>
      <c r="V992">
        <v>49</v>
      </c>
      <c r="X992" t="s">
        <v>80</v>
      </c>
      <c r="Y992">
        <v>0</v>
      </c>
      <c r="Z992">
        <v>80</v>
      </c>
      <c r="AB992" t="s">
        <v>94</v>
      </c>
      <c r="AD992" t="s">
        <v>57</v>
      </c>
      <c r="AE992">
        <v>0</v>
      </c>
      <c r="AF992">
        <v>6</v>
      </c>
      <c r="AG992">
        <v>1</v>
      </c>
      <c r="AH992">
        <v>1.5</v>
      </c>
      <c r="AI992">
        <v>560</v>
      </c>
      <c r="AJ992">
        <v>560</v>
      </c>
      <c r="AK992">
        <v>160</v>
      </c>
      <c r="AL992" t="s">
        <v>3694</v>
      </c>
      <c r="AM992">
        <v>2</v>
      </c>
      <c r="AN992" t="s">
        <v>1154</v>
      </c>
      <c r="AO992" t="s">
        <v>1155</v>
      </c>
      <c r="AP992" t="s">
        <v>1305</v>
      </c>
      <c r="AQ992">
        <v>11</v>
      </c>
      <c r="AR992">
        <v>729</v>
      </c>
      <c r="AS992">
        <v>1268</v>
      </c>
      <c r="AT992">
        <v>2.871</v>
      </c>
      <c r="AU992">
        <v>5.5404</v>
      </c>
      <c r="AV992" t="s">
        <v>3695</v>
      </c>
      <c r="AW992" t="s">
        <v>3696</v>
      </c>
      <c r="AX992" t="s">
        <v>3697</v>
      </c>
    </row>
    <row r="993" spans="1:50" x14ac:dyDescent="0.25">
      <c r="A993" t="s">
        <v>3698</v>
      </c>
      <c r="B993" t="s">
        <v>1679</v>
      </c>
      <c r="C993">
        <v>0</v>
      </c>
      <c r="D993">
        <v>1</v>
      </c>
      <c r="E993" t="s">
        <v>1791</v>
      </c>
      <c r="H993">
        <v>0</v>
      </c>
      <c r="N993">
        <v>1</v>
      </c>
      <c r="Q993">
        <v>1</v>
      </c>
      <c r="R993">
        <v>0</v>
      </c>
      <c r="U993" t="s">
        <v>1735</v>
      </c>
      <c r="V993">
        <v>57</v>
      </c>
      <c r="W993" t="s">
        <v>79</v>
      </c>
      <c r="X993" t="s">
        <v>80</v>
      </c>
      <c r="Y993">
        <v>0</v>
      </c>
      <c r="AD993" t="s">
        <v>57</v>
      </c>
      <c r="AE993">
        <v>0</v>
      </c>
      <c r="AF993">
        <v>6</v>
      </c>
      <c r="AG993">
        <v>1</v>
      </c>
      <c r="AH993">
        <v>3</v>
      </c>
      <c r="AI993">
        <v>256</v>
      </c>
      <c r="AJ993">
        <v>256</v>
      </c>
      <c r="AK993">
        <v>140</v>
      </c>
      <c r="AL993" t="s">
        <v>2803</v>
      </c>
      <c r="AM993">
        <v>1.1999985611999999</v>
      </c>
      <c r="AN993" t="s">
        <v>1786</v>
      </c>
      <c r="AO993" t="s">
        <v>67</v>
      </c>
      <c r="AP993" t="s">
        <v>68</v>
      </c>
      <c r="AQ993">
        <v>15</v>
      </c>
      <c r="AR993">
        <v>1987</v>
      </c>
      <c r="AS993">
        <v>3970</v>
      </c>
      <c r="AT993">
        <v>4.25</v>
      </c>
      <c r="AU993">
        <v>7.8789999999999996</v>
      </c>
      <c r="AV993" t="s">
        <v>1817</v>
      </c>
      <c r="AW993" t="s">
        <v>3699</v>
      </c>
      <c r="AX993" t="s">
        <v>3700</v>
      </c>
    </row>
    <row r="994" spans="1:50" x14ac:dyDescent="0.25">
      <c r="A994" t="s">
        <v>3701</v>
      </c>
      <c r="B994" t="s">
        <v>1679</v>
      </c>
      <c r="C994">
        <v>0</v>
      </c>
      <c r="D994">
        <v>0</v>
      </c>
      <c r="E994" t="s">
        <v>1693</v>
      </c>
      <c r="H994">
        <v>0</v>
      </c>
      <c r="N994">
        <v>0</v>
      </c>
      <c r="Q994">
        <v>0</v>
      </c>
      <c r="R994">
        <v>1</v>
      </c>
      <c r="U994" t="s">
        <v>65</v>
      </c>
      <c r="V994">
        <v>38</v>
      </c>
      <c r="W994" t="s">
        <v>1688</v>
      </c>
      <c r="X994" t="s">
        <v>80</v>
      </c>
      <c r="Y994">
        <v>0</v>
      </c>
      <c r="Z994">
        <v>60.328000000000003</v>
      </c>
      <c r="AB994" t="s">
        <v>74</v>
      </c>
      <c r="AD994" t="s">
        <v>57</v>
      </c>
      <c r="AE994">
        <v>0</v>
      </c>
      <c r="AF994">
        <v>6</v>
      </c>
      <c r="AG994">
        <v>1</v>
      </c>
      <c r="AH994">
        <v>1.5</v>
      </c>
      <c r="AI994">
        <v>512</v>
      </c>
      <c r="AJ994">
        <v>512</v>
      </c>
      <c r="AK994">
        <v>80</v>
      </c>
      <c r="AL994" t="s">
        <v>196</v>
      </c>
      <c r="AM994">
        <v>2</v>
      </c>
      <c r="AN994" t="s">
        <v>996</v>
      </c>
      <c r="AO994" t="s">
        <v>67</v>
      </c>
      <c r="AP994" t="s">
        <v>68</v>
      </c>
      <c r="AQ994">
        <v>15</v>
      </c>
      <c r="AR994">
        <v>97</v>
      </c>
      <c r="AS994">
        <v>194</v>
      </c>
      <c r="AT994">
        <v>4.2</v>
      </c>
      <c r="AU994">
        <v>7</v>
      </c>
      <c r="AV994" t="s">
        <v>3702</v>
      </c>
      <c r="AW994" t="s">
        <v>3703</v>
      </c>
      <c r="AX994" t="s">
        <v>3704</v>
      </c>
    </row>
    <row r="995" spans="1:50" x14ac:dyDescent="0.25">
      <c r="A995" t="s">
        <v>3705</v>
      </c>
      <c r="B995" t="s">
        <v>1679</v>
      </c>
      <c r="C995">
        <v>0</v>
      </c>
      <c r="D995">
        <v>1</v>
      </c>
      <c r="E995" t="s">
        <v>1740</v>
      </c>
      <c r="H995">
        <v>0</v>
      </c>
      <c r="N995">
        <v>1</v>
      </c>
      <c r="Q995">
        <v>0</v>
      </c>
      <c r="R995">
        <v>0</v>
      </c>
      <c r="U995" t="s">
        <v>1687</v>
      </c>
      <c r="V995">
        <v>49</v>
      </c>
      <c r="W995" t="s">
        <v>1688</v>
      </c>
      <c r="X995" t="s">
        <v>80</v>
      </c>
      <c r="Y995">
        <v>0</v>
      </c>
      <c r="Z995">
        <v>81.646636986000004</v>
      </c>
      <c r="AB995" t="s">
        <v>94</v>
      </c>
      <c r="AD995" t="s">
        <v>57</v>
      </c>
      <c r="AE995">
        <v>1</v>
      </c>
      <c r="AF995">
        <v>6</v>
      </c>
      <c r="AG995">
        <v>1</v>
      </c>
      <c r="AH995">
        <v>1.5</v>
      </c>
      <c r="AI995">
        <v>384</v>
      </c>
      <c r="AJ995">
        <v>384</v>
      </c>
      <c r="AK995">
        <v>160</v>
      </c>
      <c r="AL995" t="s">
        <v>1800</v>
      </c>
      <c r="AM995">
        <v>1</v>
      </c>
      <c r="AN995" t="s">
        <v>1741</v>
      </c>
      <c r="AO995" t="s">
        <v>59</v>
      </c>
      <c r="AP995" t="s">
        <v>60</v>
      </c>
      <c r="AQ995">
        <v>11</v>
      </c>
      <c r="AR995">
        <v>68</v>
      </c>
      <c r="AS995">
        <v>175</v>
      </c>
      <c r="AT995">
        <v>2.3199999999999998</v>
      </c>
      <c r="AU995">
        <v>5.15</v>
      </c>
      <c r="AV995" t="s">
        <v>3310</v>
      </c>
      <c r="AW995" t="s">
        <v>3706</v>
      </c>
      <c r="AX995" t="s">
        <v>3707</v>
      </c>
    </row>
    <row r="996" spans="1:50" x14ac:dyDescent="0.25">
      <c r="A996" t="s">
        <v>3708</v>
      </c>
      <c r="B996" t="s">
        <v>1679</v>
      </c>
      <c r="C996">
        <v>0</v>
      </c>
      <c r="D996">
        <v>1</v>
      </c>
      <c r="E996" t="s">
        <v>1734</v>
      </c>
      <c r="H996">
        <v>0</v>
      </c>
      <c r="N996">
        <v>0</v>
      </c>
      <c r="Q996">
        <v>1</v>
      </c>
      <c r="R996">
        <v>0</v>
      </c>
      <c r="U996" t="s">
        <v>72</v>
      </c>
      <c r="V996">
        <v>65</v>
      </c>
      <c r="X996" t="s">
        <v>80</v>
      </c>
      <c r="Y996">
        <v>0</v>
      </c>
      <c r="Z996">
        <v>59.874000000000002</v>
      </c>
      <c r="AB996" t="s">
        <v>74</v>
      </c>
      <c r="AD996" t="s">
        <v>57</v>
      </c>
      <c r="AE996">
        <v>0</v>
      </c>
      <c r="AF996">
        <v>6</v>
      </c>
      <c r="AG996">
        <v>1</v>
      </c>
      <c r="AH996">
        <v>3</v>
      </c>
      <c r="AI996">
        <v>512</v>
      </c>
      <c r="AJ996">
        <v>512</v>
      </c>
      <c r="AK996">
        <v>80</v>
      </c>
      <c r="AL996" t="s">
        <v>66</v>
      </c>
      <c r="AM996">
        <v>2</v>
      </c>
      <c r="AN996" t="s">
        <v>1915</v>
      </c>
      <c r="AO996" t="s">
        <v>67</v>
      </c>
      <c r="AP996" t="s">
        <v>68</v>
      </c>
      <c r="AQ996">
        <v>15</v>
      </c>
      <c r="AR996">
        <v>300</v>
      </c>
      <c r="AS996">
        <v>601</v>
      </c>
      <c r="AT996">
        <v>2.1760000000000002</v>
      </c>
      <c r="AU996">
        <v>5.431</v>
      </c>
      <c r="AV996" t="s">
        <v>3709</v>
      </c>
      <c r="AW996" t="s">
        <v>3710</v>
      </c>
      <c r="AX996" t="s">
        <v>3711</v>
      </c>
    </row>
    <row r="997" spans="1:50" x14ac:dyDescent="0.25">
      <c r="A997" t="s">
        <v>3712</v>
      </c>
      <c r="B997" t="s">
        <v>1679</v>
      </c>
      <c r="C997">
        <v>0</v>
      </c>
      <c r="D997">
        <v>0</v>
      </c>
      <c r="E997" t="s">
        <v>1698</v>
      </c>
      <c r="H997">
        <v>1</v>
      </c>
      <c r="N997">
        <v>0</v>
      </c>
      <c r="Q997">
        <v>0</v>
      </c>
      <c r="R997">
        <v>1</v>
      </c>
      <c r="U997" t="s">
        <v>65</v>
      </c>
      <c r="V997">
        <v>57</v>
      </c>
      <c r="W997" t="s">
        <v>79</v>
      </c>
      <c r="X997" t="s">
        <v>80</v>
      </c>
      <c r="Y997">
        <v>0</v>
      </c>
      <c r="Z997">
        <v>77.11</v>
      </c>
      <c r="AB997" t="s">
        <v>94</v>
      </c>
      <c r="AD997" t="s">
        <v>57</v>
      </c>
      <c r="AE997">
        <v>0</v>
      </c>
      <c r="AF997">
        <v>6</v>
      </c>
      <c r="AG997">
        <v>1</v>
      </c>
      <c r="AH997">
        <v>1.5</v>
      </c>
      <c r="AI997">
        <v>512</v>
      </c>
      <c r="AJ997">
        <v>512</v>
      </c>
      <c r="AK997">
        <v>80</v>
      </c>
      <c r="AL997" t="s">
        <v>196</v>
      </c>
      <c r="AM997">
        <v>2</v>
      </c>
      <c r="AN997" t="s">
        <v>996</v>
      </c>
      <c r="AO997" t="s">
        <v>67</v>
      </c>
      <c r="AP997" t="s">
        <v>68</v>
      </c>
      <c r="AQ997">
        <v>15</v>
      </c>
      <c r="AR997">
        <v>47</v>
      </c>
      <c r="AS997">
        <v>95</v>
      </c>
      <c r="AT997">
        <v>4.2</v>
      </c>
      <c r="AU997">
        <v>7.0359999999999996</v>
      </c>
      <c r="AV997" t="s">
        <v>3713</v>
      </c>
      <c r="AW997" t="s">
        <v>3714</v>
      </c>
      <c r="AX997" t="s">
        <v>3715</v>
      </c>
    </row>
    <row r="998" spans="1:50" x14ac:dyDescent="0.25">
      <c r="A998" t="s">
        <v>3716</v>
      </c>
      <c r="B998" t="s">
        <v>1679</v>
      </c>
      <c r="C998">
        <v>0</v>
      </c>
      <c r="D998">
        <v>0</v>
      </c>
      <c r="E998" t="s">
        <v>1780</v>
      </c>
      <c r="H998">
        <v>1</v>
      </c>
      <c r="N998">
        <v>0</v>
      </c>
      <c r="Q998">
        <v>0</v>
      </c>
      <c r="R998">
        <v>1</v>
      </c>
      <c r="U998" t="s">
        <v>65</v>
      </c>
      <c r="V998">
        <v>66</v>
      </c>
      <c r="W998" t="s">
        <v>79</v>
      </c>
      <c r="X998" t="s">
        <v>80</v>
      </c>
      <c r="Y998">
        <v>0</v>
      </c>
      <c r="Z998">
        <v>56.698999999999998</v>
      </c>
      <c r="AB998" t="s">
        <v>74</v>
      </c>
      <c r="AD998" t="s">
        <v>57</v>
      </c>
      <c r="AE998">
        <v>0</v>
      </c>
      <c r="AF998">
        <v>6</v>
      </c>
      <c r="AG998">
        <v>1</v>
      </c>
      <c r="AH998">
        <v>1.5</v>
      </c>
      <c r="AI998">
        <v>512</v>
      </c>
      <c r="AJ998">
        <v>512</v>
      </c>
      <c r="AK998">
        <v>80</v>
      </c>
      <c r="AL998" t="s">
        <v>66</v>
      </c>
      <c r="AM998">
        <v>2</v>
      </c>
      <c r="AN998" t="s">
        <v>996</v>
      </c>
      <c r="AO998" t="s">
        <v>67</v>
      </c>
      <c r="AP998" t="s">
        <v>114</v>
      </c>
      <c r="AQ998">
        <v>15</v>
      </c>
      <c r="AR998">
        <v>179</v>
      </c>
      <c r="AS998">
        <v>358</v>
      </c>
      <c r="AT998">
        <v>2.6960000000000002</v>
      </c>
      <c r="AU998">
        <v>6.36</v>
      </c>
      <c r="AV998" t="s">
        <v>3717</v>
      </c>
      <c r="AW998" t="s">
        <v>3718</v>
      </c>
      <c r="AX998" t="s">
        <v>3719</v>
      </c>
    </row>
    <row r="999" spans="1:50" x14ac:dyDescent="0.25">
      <c r="A999" t="s">
        <v>3720</v>
      </c>
      <c r="B999" t="s">
        <v>1679</v>
      </c>
      <c r="C999">
        <v>0</v>
      </c>
      <c r="D999">
        <v>1</v>
      </c>
      <c r="E999" t="s">
        <v>1871</v>
      </c>
      <c r="H999">
        <v>1</v>
      </c>
      <c r="N999">
        <v>0</v>
      </c>
      <c r="Q999">
        <v>1</v>
      </c>
      <c r="R999">
        <v>1</v>
      </c>
      <c r="U999" t="s">
        <v>72</v>
      </c>
      <c r="V999">
        <v>46</v>
      </c>
      <c r="W999" t="s">
        <v>1688</v>
      </c>
      <c r="X999" t="s">
        <v>80</v>
      </c>
      <c r="Y999">
        <v>0</v>
      </c>
      <c r="Z999">
        <v>61.23</v>
      </c>
      <c r="AB999" t="s">
        <v>74</v>
      </c>
      <c r="AD999" t="s">
        <v>57</v>
      </c>
      <c r="AE999">
        <v>0</v>
      </c>
      <c r="AF999">
        <v>6</v>
      </c>
      <c r="AG999">
        <v>1</v>
      </c>
      <c r="AH999">
        <v>1.5</v>
      </c>
      <c r="AI999">
        <v>512</v>
      </c>
      <c r="AJ999">
        <v>512</v>
      </c>
      <c r="AK999">
        <v>80</v>
      </c>
      <c r="AL999" t="s">
        <v>196</v>
      </c>
      <c r="AM999">
        <v>2</v>
      </c>
      <c r="AN999" t="s">
        <v>1705</v>
      </c>
      <c r="AO999" t="s">
        <v>67</v>
      </c>
      <c r="AP999" t="s">
        <v>89</v>
      </c>
      <c r="AQ999">
        <v>15</v>
      </c>
      <c r="AR999">
        <v>398</v>
      </c>
      <c r="AS999">
        <v>796</v>
      </c>
      <c r="AT999">
        <v>2.5840000000000001</v>
      </c>
      <c r="AU999">
        <v>5.6440000000000001</v>
      </c>
      <c r="AV999" t="s">
        <v>3721</v>
      </c>
      <c r="AW999" t="s">
        <v>3722</v>
      </c>
      <c r="AX999" t="s">
        <v>3723</v>
      </c>
    </row>
    <row r="1000" spans="1:50" x14ac:dyDescent="0.25">
      <c r="A1000" t="s">
        <v>3724</v>
      </c>
      <c r="B1000" t="s">
        <v>1679</v>
      </c>
      <c r="C1000">
        <v>0</v>
      </c>
      <c r="D1000">
        <v>1</v>
      </c>
      <c r="E1000" t="s">
        <v>1693</v>
      </c>
      <c r="H1000">
        <v>1</v>
      </c>
      <c r="N1000">
        <v>0</v>
      </c>
      <c r="Q1000">
        <v>0</v>
      </c>
      <c r="R1000">
        <v>0</v>
      </c>
      <c r="U1000" t="s">
        <v>65</v>
      </c>
      <c r="V1000">
        <v>43</v>
      </c>
      <c r="W1000" t="s">
        <v>1726</v>
      </c>
      <c r="X1000" t="s">
        <v>55</v>
      </c>
      <c r="Y1000">
        <v>0</v>
      </c>
      <c r="Z1000">
        <v>95.254000000000005</v>
      </c>
      <c r="AB1000" t="s">
        <v>118</v>
      </c>
      <c r="AD1000" t="s">
        <v>57</v>
      </c>
      <c r="AE1000">
        <v>0</v>
      </c>
      <c r="AF1000">
        <v>6</v>
      </c>
      <c r="AG1000">
        <v>1</v>
      </c>
      <c r="AH1000">
        <v>1.5</v>
      </c>
      <c r="AI1000">
        <v>512</v>
      </c>
      <c r="AJ1000">
        <v>512</v>
      </c>
      <c r="AK1000">
        <v>76</v>
      </c>
      <c r="AL1000" t="s">
        <v>113</v>
      </c>
      <c r="AM1000">
        <v>2.4</v>
      </c>
      <c r="AN1000" t="s">
        <v>1942</v>
      </c>
      <c r="AO1000" t="s">
        <v>67</v>
      </c>
      <c r="AP1000" t="s">
        <v>68</v>
      </c>
      <c r="AQ1000">
        <v>15</v>
      </c>
      <c r="AR1000">
        <v>351</v>
      </c>
      <c r="AS1000">
        <v>703</v>
      </c>
      <c r="AT1000">
        <v>3</v>
      </c>
      <c r="AU1000">
        <v>6.2480000000000002</v>
      </c>
      <c r="AV1000" t="s">
        <v>3725</v>
      </c>
      <c r="AW1000" t="s">
        <v>2980</v>
      </c>
      <c r="AX1000" t="s">
        <v>3726</v>
      </c>
    </row>
    <row r="1001" spans="1:50" x14ac:dyDescent="0.25">
      <c r="A1001" t="s">
        <v>3727</v>
      </c>
      <c r="B1001" t="s">
        <v>1679</v>
      </c>
      <c r="C1001">
        <v>0</v>
      </c>
      <c r="D1001">
        <v>1</v>
      </c>
      <c r="E1001" t="s">
        <v>1703</v>
      </c>
      <c r="H1001">
        <v>0</v>
      </c>
      <c r="N1001">
        <v>1</v>
      </c>
      <c r="Q1001">
        <v>0</v>
      </c>
      <c r="R1001">
        <v>0</v>
      </c>
      <c r="U1001" t="s">
        <v>1687</v>
      </c>
      <c r="V1001">
        <v>32</v>
      </c>
      <c r="W1001" t="s">
        <v>1726</v>
      </c>
      <c r="X1001" t="s">
        <v>80</v>
      </c>
      <c r="Y1001">
        <v>0</v>
      </c>
      <c r="Z1001">
        <v>61.234999999999999</v>
      </c>
      <c r="AB1001" t="s">
        <v>74</v>
      </c>
      <c r="AD1001" t="s">
        <v>57</v>
      </c>
      <c r="AE1001">
        <v>0</v>
      </c>
      <c r="AF1001">
        <v>6</v>
      </c>
      <c r="AG1001">
        <v>1</v>
      </c>
      <c r="AH1001">
        <v>1.5</v>
      </c>
      <c r="AI1001">
        <v>512</v>
      </c>
      <c r="AJ1001">
        <v>512</v>
      </c>
      <c r="AK1001">
        <v>80</v>
      </c>
      <c r="AL1001" t="s">
        <v>2022</v>
      </c>
      <c r="AM1001">
        <v>2</v>
      </c>
      <c r="AN1001" t="s">
        <v>996</v>
      </c>
      <c r="AO1001" t="s">
        <v>67</v>
      </c>
      <c r="AP1001" t="s">
        <v>114</v>
      </c>
      <c r="AQ1001">
        <v>15</v>
      </c>
      <c r="AR1001">
        <v>274</v>
      </c>
      <c r="AS1001">
        <v>548</v>
      </c>
      <c r="AT1001">
        <v>4.548</v>
      </c>
      <c r="AU1001">
        <v>9.2319999999999993</v>
      </c>
      <c r="AV1001" t="s">
        <v>3728</v>
      </c>
      <c r="AW1001" t="s">
        <v>3729</v>
      </c>
      <c r="AX1001" t="s">
        <v>3730</v>
      </c>
    </row>
    <row r="1002" spans="1:50" x14ac:dyDescent="0.25">
      <c r="A1002" t="s">
        <v>3731</v>
      </c>
      <c r="B1002" t="s">
        <v>1679</v>
      </c>
      <c r="C1002">
        <v>0</v>
      </c>
      <c r="D1002">
        <v>1</v>
      </c>
      <c r="E1002" t="s">
        <v>1703</v>
      </c>
      <c r="H1002">
        <v>0</v>
      </c>
      <c r="N1002">
        <v>1</v>
      </c>
      <c r="Q1002">
        <v>0</v>
      </c>
      <c r="R1002">
        <v>0</v>
      </c>
      <c r="U1002" t="s">
        <v>1687</v>
      </c>
      <c r="V1002">
        <v>61</v>
      </c>
      <c r="X1002" t="s">
        <v>80</v>
      </c>
      <c r="Y1002">
        <v>0</v>
      </c>
      <c r="AD1002" t="s">
        <v>57</v>
      </c>
      <c r="AE1002">
        <v>0</v>
      </c>
      <c r="AF1002">
        <v>6</v>
      </c>
      <c r="AG1002">
        <v>1</v>
      </c>
      <c r="AH1002">
        <v>1.5</v>
      </c>
      <c r="AI1002">
        <v>512</v>
      </c>
      <c r="AJ1002">
        <v>512</v>
      </c>
      <c r="AK1002">
        <v>72</v>
      </c>
      <c r="AL1002" t="s">
        <v>119</v>
      </c>
      <c r="AM1002">
        <v>2.2000000000000002</v>
      </c>
      <c r="AN1002" t="s">
        <v>1072</v>
      </c>
      <c r="AO1002" t="s">
        <v>67</v>
      </c>
      <c r="AP1002" t="s">
        <v>68</v>
      </c>
      <c r="AQ1002">
        <v>15</v>
      </c>
      <c r="AR1002">
        <v>174</v>
      </c>
      <c r="AS1002">
        <v>348</v>
      </c>
      <c r="AT1002">
        <v>4.2359999999999998</v>
      </c>
      <c r="AU1002">
        <v>8.6679999999999993</v>
      </c>
      <c r="AV1002" t="s">
        <v>3610</v>
      </c>
      <c r="AW1002" t="s">
        <v>2088</v>
      </c>
      <c r="AX1002" t="s">
        <v>3732</v>
      </c>
    </row>
    <row r="1003" spans="1:50" x14ac:dyDescent="0.25">
      <c r="A1003" t="s">
        <v>3733</v>
      </c>
      <c r="B1003" t="s">
        <v>1679</v>
      </c>
      <c r="C1003">
        <v>0</v>
      </c>
      <c r="D1003">
        <v>1</v>
      </c>
      <c r="E1003" t="s">
        <v>1680</v>
      </c>
      <c r="H1003">
        <v>0</v>
      </c>
      <c r="N1003">
        <v>1</v>
      </c>
      <c r="Q1003">
        <v>0</v>
      </c>
      <c r="R1003">
        <v>0</v>
      </c>
      <c r="U1003" t="s">
        <v>1687</v>
      </c>
      <c r="V1003">
        <v>64</v>
      </c>
      <c r="W1003" t="s">
        <v>79</v>
      </c>
      <c r="X1003" t="s">
        <v>80</v>
      </c>
      <c r="Y1003">
        <v>0</v>
      </c>
      <c r="Z1003">
        <v>69.400000000000006</v>
      </c>
      <c r="AB1003" t="s">
        <v>94</v>
      </c>
      <c r="AD1003" t="s">
        <v>57</v>
      </c>
      <c r="AE1003">
        <v>0</v>
      </c>
      <c r="AF1003">
        <v>6</v>
      </c>
      <c r="AG1003">
        <v>1</v>
      </c>
      <c r="AH1003">
        <v>1.5</v>
      </c>
      <c r="AI1003">
        <v>512</v>
      </c>
      <c r="AJ1003">
        <v>512</v>
      </c>
      <c r="AK1003">
        <v>80</v>
      </c>
      <c r="AL1003" t="s">
        <v>153</v>
      </c>
      <c r="AM1003">
        <v>2</v>
      </c>
      <c r="AN1003" t="s">
        <v>996</v>
      </c>
      <c r="AO1003" t="s">
        <v>67</v>
      </c>
      <c r="AP1003" t="s">
        <v>68</v>
      </c>
      <c r="AQ1003">
        <v>15</v>
      </c>
      <c r="AR1003">
        <v>103</v>
      </c>
      <c r="AS1003">
        <v>206</v>
      </c>
      <c r="AT1003">
        <v>4.2</v>
      </c>
      <c r="AU1003">
        <v>7</v>
      </c>
      <c r="AV1003" t="s">
        <v>3734</v>
      </c>
      <c r="AW1003" t="s">
        <v>3735</v>
      </c>
      <c r="AX1003" t="s">
        <v>3736</v>
      </c>
    </row>
    <row r="1004" spans="1:50" x14ac:dyDescent="0.25">
      <c r="A1004" t="s">
        <v>3737</v>
      </c>
      <c r="B1004" t="s">
        <v>1679</v>
      </c>
      <c r="C1004">
        <v>0</v>
      </c>
      <c r="D1004">
        <v>0</v>
      </c>
      <c r="E1004" t="s">
        <v>1703</v>
      </c>
      <c r="H1004">
        <v>0</v>
      </c>
      <c r="N1004">
        <v>0</v>
      </c>
      <c r="Q1004">
        <v>0</v>
      </c>
      <c r="R1004">
        <v>0</v>
      </c>
      <c r="U1004" t="s">
        <v>65</v>
      </c>
      <c r="V1004">
        <v>42</v>
      </c>
      <c r="W1004" t="s">
        <v>1726</v>
      </c>
      <c r="X1004" t="s">
        <v>80</v>
      </c>
      <c r="Y1004">
        <v>0</v>
      </c>
      <c r="Z1004">
        <v>80</v>
      </c>
      <c r="AB1004" t="s">
        <v>94</v>
      </c>
      <c r="AD1004" t="s">
        <v>57</v>
      </c>
      <c r="AE1004">
        <v>0</v>
      </c>
      <c r="AF1004">
        <v>6</v>
      </c>
      <c r="AG1004">
        <v>1</v>
      </c>
      <c r="AH1004">
        <v>1.5</v>
      </c>
      <c r="AI1004">
        <v>400</v>
      </c>
      <c r="AJ1004">
        <v>400</v>
      </c>
      <c r="AK1004">
        <v>64</v>
      </c>
      <c r="AL1004" t="s">
        <v>1924</v>
      </c>
      <c r="AM1004">
        <v>2.5</v>
      </c>
      <c r="AN1004" t="s">
        <v>1531</v>
      </c>
      <c r="AO1004" t="s">
        <v>1155</v>
      </c>
      <c r="AP1004" t="s">
        <v>1767</v>
      </c>
      <c r="AQ1004">
        <v>11</v>
      </c>
      <c r="AR1004">
        <v>74.14</v>
      </c>
      <c r="AS1004">
        <v>128.97</v>
      </c>
      <c r="AT1004">
        <v>2.5979999999999999</v>
      </c>
      <c r="AU1004">
        <v>5.2077999999999998</v>
      </c>
      <c r="AV1004" t="s">
        <v>3738</v>
      </c>
      <c r="AW1004" t="s">
        <v>3739</v>
      </c>
      <c r="AX1004" t="s">
        <v>3740</v>
      </c>
    </row>
    <row r="1005" spans="1:50" x14ac:dyDescent="0.25">
      <c r="A1005" t="s">
        <v>3741</v>
      </c>
      <c r="B1005" t="s">
        <v>1679</v>
      </c>
      <c r="C1005">
        <v>0</v>
      </c>
      <c r="D1005">
        <v>1</v>
      </c>
      <c r="E1005" t="s">
        <v>1871</v>
      </c>
      <c r="H1005">
        <v>1</v>
      </c>
      <c r="N1005">
        <v>0</v>
      </c>
      <c r="Q1005">
        <v>1</v>
      </c>
      <c r="R1005">
        <v>1</v>
      </c>
      <c r="U1005" t="s">
        <v>72</v>
      </c>
      <c r="V1005">
        <v>39</v>
      </c>
      <c r="W1005" t="s">
        <v>1688</v>
      </c>
      <c r="X1005" t="s">
        <v>80</v>
      </c>
      <c r="Y1005">
        <v>0</v>
      </c>
      <c r="Z1005">
        <v>66</v>
      </c>
      <c r="AB1005" t="s">
        <v>74</v>
      </c>
      <c r="AD1005" t="s">
        <v>57</v>
      </c>
      <c r="AE1005">
        <v>0</v>
      </c>
      <c r="AF1005">
        <v>6</v>
      </c>
      <c r="AG1005">
        <v>1</v>
      </c>
      <c r="AH1005">
        <v>3</v>
      </c>
      <c r="AI1005">
        <v>480</v>
      </c>
      <c r="AJ1005">
        <v>480</v>
      </c>
      <c r="AK1005">
        <v>160</v>
      </c>
      <c r="AL1005" t="s">
        <v>2584</v>
      </c>
      <c r="AM1005">
        <v>2</v>
      </c>
      <c r="AN1005" t="s">
        <v>1419</v>
      </c>
      <c r="AO1005" t="s">
        <v>1155</v>
      </c>
      <c r="AP1005" t="s">
        <v>1767</v>
      </c>
      <c r="AQ1005">
        <v>11</v>
      </c>
      <c r="AR1005">
        <v>1252</v>
      </c>
      <c r="AS1005">
        <v>2176</v>
      </c>
      <c r="AT1005">
        <v>1.7190000000000001</v>
      </c>
      <c r="AU1005">
        <v>4</v>
      </c>
      <c r="AV1005" t="s">
        <v>3742</v>
      </c>
      <c r="AW1005" t="s">
        <v>1894</v>
      </c>
      <c r="AX1005" t="s">
        <v>3743</v>
      </c>
    </row>
    <row r="1006" spans="1:50" x14ac:dyDescent="0.25">
      <c r="A1006" t="s">
        <v>3744</v>
      </c>
      <c r="B1006" t="s">
        <v>1679</v>
      </c>
      <c r="C1006">
        <v>0</v>
      </c>
      <c r="D1006">
        <v>1</v>
      </c>
      <c r="E1006" t="s">
        <v>1698</v>
      </c>
      <c r="H1006">
        <v>1</v>
      </c>
      <c r="N1006">
        <v>1</v>
      </c>
      <c r="Q1006">
        <v>0</v>
      </c>
      <c r="R1006">
        <v>1</v>
      </c>
      <c r="U1006" t="s">
        <v>1687</v>
      </c>
      <c r="V1006">
        <v>44</v>
      </c>
      <c r="W1006" t="s">
        <v>1688</v>
      </c>
      <c r="X1006" t="s">
        <v>80</v>
      </c>
      <c r="Y1006">
        <v>0</v>
      </c>
      <c r="Z1006">
        <v>57.15</v>
      </c>
      <c r="AB1006" t="s">
        <v>74</v>
      </c>
      <c r="AD1006" t="s">
        <v>57</v>
      </c>
      <c r="AE1006">
        <v>0</v>
      </c>
      <c r="AF1006">
        <v>6</v>
      </c>
      <c r="AG1006">
        <v>1</v>
      </c>
      <c r="AH1006">
        <v>3</v>
      </c>
      <c r="AI1006">
        <v>512</v>
      </c>
      <c r="AJ1006">
        <v>512</v>
      </c>
      <c r="AK1006">
        <v>134</v>
      </c>
      <c r="AL1006" t="s">
        <v>119</v>
      </c>
      <c r="AM1006">
        <v>2.4</v>
      </c>
      <c r="AN1006" t="s">
        <v>1786</v>
      </c>
      <c r="AO1006" t="s">
        <v>67</v>
      </c>
      <c r="AP1006" t="s">
        <v>1979</v>
      </c>
      <c r="AQ1006">
        <v>15</v>
      </c>
      <c r="AR1006">
        <v>349</v>
      </c>
      <c r="AS1006">
        <v>699</v>
      </c>
      <c r="AT1006">
        <v>2.6280000000000001</v>
      </c>
      <c r="AU1006">
        <v>5.4279999999999999</v>
      </c>
      <c r="AV1006" t="s">
        <v>3745</v>
      </c>
      <c r="AW1006" t="s">
        <v>3746</v>
      </c>
      <c r="AX1006" t="s">
        <v>3747</v>
      </c>
    </row>
    <row r="1007" spans="1:50" x14ac:dyDescent="0.25">
      <c r="A1007" t="s">
        <v>3748</v>
      </c>
      <c r="B1007" t="s">
        <v>1679</v>
      </c>
      <c r="C1007">
        <v>0</v>
      </c>
      <c r="D1007">
        <v>0</v>
      </c>
      <c r="E1007" t="s">
        <v>1725</v>
      </c>
      <c r="H1007">
        <v>1</v>
      </c>
      <c r="N1007">
        <v>0</v>
      </c>
      <c r="Q1007">
        <v>0</v>
      </c>
      <c r="R1007">
        <v>1</v>
      </c>
      <c r="U1007" t="s">
        <v>65</v>
      </c>
      <c r="V1007">
        <v>45</v>
      </c>
      <c r="W1007" t="s">
        <v>1688</v>
      </c>
      <c r="X1007" t="s">
        <v>80</v>
      </c>
      <c r="Y1007">
        <v>0</v>
      </c>
      <c r="Z1007">
        <v>76.203999999999994</v>
      </c>
      <c r="AB1007" t="s">
        <v>94</v>
      </c>
      <c r="AD1007" t="s">
        <v>57</v>
      </c>
      <c r="AE1007">
        <v>0</v>
      </c>
      <c r="AF1007">
        <v>6</v>
      </c>
      <c r="AG1007">
        <v>1</v>
      </c>
      <c r="AH1007">
        <v>3</v>
      </c>
      <c r="AI1007">
        <v>512</v>
      </c>
      <c r="AJ1007">
        <v>512</v>
      </c>
      <c r="AK1007">
        <v>134</v>
      </c>
      <c r="AL1007" t="s">
        <v>119</v>
      </c>
      <c r="AM1007">
        <v>2.4</v>
      </c>
      <c r="AN1007" t="s">
        <v>1786</v>
      </c>
      <c r="AO1007" t="s">
        <v>67</v>
      </c>
      <c r="AP1007" t="s">
        <v>68</v>
      </c>
      <c r="AQ1007">
        <v>15</v>
      </c>
      <c r="AR1007">
        <v>355</v>
      </c>
      <c r="AS1007">
        <v>711</v>
      </c>
      <c r="AT1007">
        <v>2.8</v>
      </c>
      <c r="AU1007">
        <v>7.3070000000000004</v>
      </c>
      <c r="AV1007" t="s">
        <v>1817</v>
      </c>
      <c r="AW1007" t="s">
        <v>3749</v>
      </c>
      <c r="AX1007" t="s">
        <v>3750</v>
      </c>
    </row>
    <row r="1008" spans="1:50" x14ac:dyDescent="0.25">
      <c r="A1008" t="s">
        <v>3751</v>
      </c>
      <c r="B1008" t="s">
        <v>1679</v>
      </c>
      <c r="C1008">
        <v>0</v>
      </c>
      <c r="D1008">
        <v>0</v>
      </c>
      <c r="E1008" t="s">
        <v>1780</v>
      </c>
      <c r="H1008">
        <v>0</v>
      </c>
      <c r="N1008">
        <v>1</v>
      </c>
      <c r="Q1008">
        <v>0</v>
      </c>
      <c r="R1008">
        <v>0</v>
      </c>
      <c r="U1008" t="s">
        <v>1687</v>
      </c>
      <c r="V1008">
        <v>52</v>
      </c>
      <c r="W1008" t="s">
        <v>79</v>
      </c>
      <c r="X1008" t="s">
        <v>80</v>
      </c>
      <c r="Y1008">
        <v>0</v>
      </c>
      <c r="Z1008">
        <v>59</v>
      </c>
      <c r="AB1008" t="s">
        <v>74</v>
      </c>
      <c r="AD1008" t="s">
        <v>57</v>
      </c>
      <c r="AE1008">
        <v>0</v>
      </c>
      <c r="AF1008">
        <v>6</v>
      </c>
      <c r="AG1008">
        <v>1</v>
      </c>
      <c r="AH1008">
        <v>3</v>
      </c>
      <c r="AI1008">
        <v>640</v>
      </c>
      <c r="AJ1008">
        <v>640</v>
      </c>
      <c r="AK1008">
        <v>160</v>
      </c>
      <c r="AL1008" t="s">
        <v>2431</v>
      </c>
      <c r="AM1008">
        <v>2</v>
      </c>
      <c r="AN1008" t="s">
        <v>1877</v>
      </c>
      <c r="AO1008" t="s">
        <v>1155</v>
      </c>
      <c r="AP1008" t="s">
        <v>1305</v>
      </c>
      <c r="AQ1008">
        <v>11</v>
      </c>
      <c r="AR1008">
        <v>408</v>
      </c>
      <c r="AS1008">
        <v>709</v>
      </c>
      <c r="AT1008">
        <v>4.6040000000000001</v>
      </c>
      <c r="AU1008">
        <v>7.4</v>
      </c>
      <c r="AW1008" t="s">
        <v>3752</v>
      </c>
      <c r="AX1008" t="s">
        <v>3753</v>
      </c>
    </row>
    <row r="1009" spans="1:50" x14ac:dyDescent="0.25">
      <c r="A1009" t="s">
        <v>3754</v>
      </c>
      <c r="B1009" t="s">
        <v>1679</v>
      </c>
      <c r="C1009">
        <v>0</v>
      </c>
      <c r="D1009">
        <v>0</v>
      </c>
      <c r="E1009" t="s">
        <v>1703</v>
      </c>
      <c r="H1009">
        <v>0</v>
      </c>
      <c r="N1009">
        <v>0</v>
      </c>
      <c r="Q1009">
        <v>0</v>
      </c>
      <c r="R1009">
        <v>1</v>
      </c>
      <c r="U1009" t="s">
        <v>65</v>
      </c>
      <c r="V1009">
        <v>45</v>
      </c>
      <c r="W1009" t="s">
        <v>1688</v>
      </c>
      <c r="X1009" t="s">
        <v>80</v>
      </c>
      <c r="Y1009">
        <v>0</v>
      </c>
      <c r="Z1009">
        <v>50</v>
      </c>
      <c r="AB1009" t="s">
        <v>247</v>
      </c>
      <c r="AD1009" t="s">
        <v>57</v>
      </c>
      <c r="AE1009">
        <v>0</v>
      </c>
      <c r="AF1009">
        <v>6</v>
      </c>
      <c r="AG1009">
        <v>1</v>
      </c>
      <c r="AH1009">
        <v>1.5</v>
      </c>
      <c r="AI1009">
        <v>512</v>
      </c>
      <c r="AJ1009">
        <v>512</v>
      </c>
      <c r="AK1009">
        <v>158</v>
      </c>
      <c r="AL1009" t="s">
        <v>1876</v>
      </c>
      <c r="AM1009">
        <v>2</v>
      </c>
      <c r="AN1009" t="s">
        <v>1877</v>
      </c>
      <c r="AO1009" t="s">
        <v>1155</v>
      </c>
      <c r="AP1009" t="s">
        <v>1767</v>
      </c>
      <c r="AQ1009">
        <v>11</v>
      </c>
      <c r="AR1009">
        <v>439</v>
      </c>
      <c r="AS1009">
        <v>763</v>
      </c>
      <c r="AT1009">
        <v>3.5459999999999998</v>
      </c>
      <c r="AU1009">
        <v>7.1875</v>
      </c>
      <c r="AV1009" t="s">
        <v>3755</v>
      </c>
      <c r="AW1009" t="s">
        <v>3756</v>
      </c>
      <c r="AX1009" t="s">
        <v>3757</v>
      </c>
    </row>
    <row r="1010" spans="1:50" x14ac:dyDescent="0.25">
      <c r="A1010" t="s">
        <v>3758</v>
      </c>
      <c r="B1010" t="s">
        <v>1679</v>
      </c>
      <c r="C1010">
        <v>0</v>
      </c>
      <c r="D1010">
        <v>0</v>
      </c>
      <c r="E1010" t="s">
        <v>1839</v>
      </c>
      <c r="H1010">
        <v>1</v>
      </c>
      <c r="N1010">
        <v>1</v>
      </c>
      <c r="Q1010">
        <v>1</v>
      </c>
      <c r="R1010">
        <v>0</v>
      </c>
      <c r="U1010" t="s">
        <v>1735</v>
      </c>
      <c r="V1010">
        <v>63</v>
      </c>
      <c r="W1010" t="s">
        <v>79</v>
      </c>
      <c r="X1010" t="s">
        <v>80</v>
      </c>
      <c r="Y1010">
        <v>0</v>
      </c>
      <c r="Z1010">
        <v>77</v>
      </c>
      <c r="AB1010" t="s">
        <v>94</v>
      </c>
      <c r="AD1010" t="s">
        <v>57</v>
      </c>
      <c r="AE1010">
        <v>0</v>
      </c>
      <c r="AF1010">
        <v>6</v>
      </c>
      <c r="AG1010">
        <v>1</v>
      </c>
      <c r="AH1010">
        <v>3</v>
      </c>
      <c r="AI1010">
        <v>480</v>
      </c>
      <c r="AJ1010">
        <v>480</v>
      </c>
      <c r="AK1010">
        <v>160</v>
      </c>
      <c r="AL1010" t="s">
        <v>2584</v>
      </c>
      <c r="AM1010">
        <v>2</v>
      </c>
      <c r="AN1010" t="s">
        <v>1419</v>
      </c>
      <c r="AO1010" t="s">
        <v>1155</v>
      </c>
      <c r="AP1010" t="s">
        <v>1767</v>
      </c>
      <c r="AQ1010">
        <v>11</v>
      </c>
      <c r="AR1010">
        <v>1815</v>
      </c>
      <c r="AS1010">
        <v>3155</v>
      </c>
      <c r="AT1010">
        <v>1.7190000000000001</v>
      </c>
      <c r="AU1010">
        <v>4</v>
      </c>
      <c r="AV1010" t="s">
        <v>3759</v>
      </c>
      <c r="AW1010" t="s">
        <v>2107</v>
      </c>
      <c r="AX1010" t="s">
        <v>3760</v>
      </c>
    </row>
    <row r="1011" spans="1:50" x14ac:dyDescent="0.25">
      <c r="A1011" t="s">
        <v>3761</v>
      </c>
      <c r="B1011" t="s">
        <v>1679</v>
      </c>
      <c r="C1011">
        <v>0</v>
      </c>
      <c r="D1011">
        <v>1</v>
      </c>
      <c r="E1011" t="s">
        <v>1686</v>
      </c>
      <c r="H1011">
        <v>1</v>
      </c>
      <c r="N1011">
        <v>1</v>
      </c>
      <c r="Q1011">
        <v>0</v>
      </c>
      <c r="R1011">
        <v>0</v>
      </c>
      <c r="U1011" t="s">
        <v>1687</v>
      </c>
      <c r="V1011">
        <v>67</v>
      </c>
      <c r="W1011" t="s">
        <v>79</v>
      </c>
      <c r="X1011" t="s">
        <v>80</v>
      </c>
      <c r="Y1011">
        <v>0</v>
      </c>
      <c r="Z1011">
        <v>96.615187100100002</v>
      </c>
      <c r="AB1011" t="s">
        <v>56</v>
      </c>
      <c r="AD1011" t="s">
        <v>57</v>
      </c>
      <c r="AE1011">
        <v>0</v>
      </c>
      <c r="AF1011">
        <v>6</v>
      </c>
      <c r="AG1011">
        <v>1</v>
      </c>
      <c r="AH1011">
        <v>1.5</v>
      </c>
      <c r="AI1011">
        <v>512</v>
      </c>
      <c r="AJ1011">
        <v>512</v>
      </c>
      <c r="AK1011">
        <v>80</v>
      </c>
      <c r="AL1011" t="s">
        <v>1010</v>
      </c>
      <c r="AM1011">
        <v>2</v>
      </c>
      <c r="AN1011" t="s">
        <v>1011</v>
      </c>
      <c r="AO1011" t="s">
        <v>59</v>
      </c>
      <c r="AP1011" t="s">
        <v>2388</v>
      </c>
      <c r="AQ1011">
        <v>11</v>
      </c>
      <c r="AR1011">
        <v>66</v>
      </c>
      <c r="AS1011">
        <v>182</v>
      </c>
      <c r="AT1011">
        <v>1.96</v>
      </c>
      <c r="AU1011">
        <v>5.07</v>
      </c>
      <c r="AV1011" t="s">
        <v>3762</v>
      </c>
      <c r="AW1011" t="s">
        <v>2405</v>
      </c>
      <c r="AX1011" t="s">
        <v>3763</v>
      </c>
    </row>
    <row r="1012" spans="1:50" x14ac:dyDescent="0.25">
      <c r="A1012" t="s">
        <v>3764</v>
      </c>
      <c r="B1012" t="s">
        <v>1679</v>
      </c>
      <c r="C1012">
        <v>0</v>
      </c>
      <c r="D1012">
        <v>0</v>
      </c>
      <c r="E1012" t="s">
        <v>1693</v>
      </c>
      <c r="H1012">
        <v>1</v>
      </c>
      <c r="N1012">
        <v>0</v>
      </c>
      <c r="Q1012">
        <v>0</v>
      </c>
      <c r="R1012">
        <v>1</v>
      </c>
      <c r="U1012" t="s">
        <v>65</v>
      </c>
      <c r="V1012">
        <v>41</v>
      </c>
      <c r="W1012" t="s">
        <v>1726</v>
      </c>
      <c r="X1012" t="s">
        <v>80</v>
      </c>
      <c r="Y1012">
        <v>0</v>
      </c>
      <c r="Z1012">
        <v>96.329423870599996</v>
      </c>
      <c r="AB1012" t="s">
        <v>56</v>
      </c>
      <c r="AD1012" t="s">
        <v>57</v>
      </c>
      <c r="AE1012">
        <v>1</v>
      </c>
      <c r="AF1012">
        <v>6</v>
      </c>
      <c r="AG1012">
        <v>1</v>
      </c>
      <c r="AH1012">
        <v>1.5</v>
      </c>
      <c r="AI1012">
        <v>256</v>
      </c>
      <c r="AJ1012">
        <v>256</v>
      </c>
      <c r="AK1012">
        <v>160</v>
      </c>
      <c r="AL1012" t="s">
        <v>3765</v>
      </c>
      <c r="AM1012">
        <v>1.2000000476999999</v>
      </c>
      <c r="AN1012" t="s">
        <v>1720</v>
      </c>
      <c r="AO1012" t="s">
        <v>59</v>
      </c>
      <c r="AP1012" t="s">
        <v>60</v>
      </c>
      <c r="AQ1012">
        <v>11</v>
      </c>
      <c r="AR1012">
        <v>250</v>
      </c>
      <c r="AS1012">
        <v>478</v>
      </c>
      <c r="AT1012">
        <v>1.39</v>
      </c>
      <c r="AU1012">
        <v>4.99</v>
      </c>
      <c r="AV1012" t="s">
        <v>3766</v>
      </c>
      <c r="AW1012" t="s">
        <v>2227</v>
      </c>
      <c r="AX1012" t="s">
        <v>3767</v>
      </c>
    </row>
    <row r="1013" spans="1:50" x14ac:dyDescent="0.25">
      <c r="A1013" t="s">
        <v>3768</v>
      </c>
      <c r="B1013" t="s">
        <v>1679</v>
      </c>
      <c r="C1013">
        <v>0</v>
      </c>
      <c r="D1013">
        <v>0</v>
      </c>
      <c r="E1013" t="s">
        <v>1725</v>
      </c>
      <c r="H1013">
        <v>0</v>
      </c>
      <c r="N1013">
        <v>0</v>
      </c>
      <c r="Q1013">
        <v>0</v>
      </c>
      <c r="R1013">
        <v>1</v>
      </c>
      <c r="U1013" t="s">
        <v>65</v>
      </c>
      <c r="V1013">
        <v>44</v>
      </c>
      <c r="W1013" t="s">
        <v>1688</v>
      </c>
      <c r="X1013" t="s">
        <v>80</v>
      </c>
      <c r="Y1013">
        <v>0</v>
      </c>
      <c r="Z1013">
        <v>70.306826293499995</v>
      </c>
      <c r="AB1013" t="s">
        <v>94</v>
      </c>
      <c r="AD1013" t="s">
        <v>57</v>
      </c>
      <c r="AE1013">
        <v>1</v>
      </c>
      <c r="AF1013">
        <v>6</v>
      </c>
      <c r="AG1013">
        <v>1</v>
      </c>
      <c r="AH1013">
        <v>1.5</v>
      </c>
      <c r="AI1013">
        <v>384</v>
      </c>
      <c r="AJ1013">
        <v>384</v>
      </c>
      <c r="AK1013">
        <v>144</v>
      </c>
      <c r="AL1013" t="s">
        <v>1394</v>
      </c>
      <c r="AM1013">
        <v>1.2000000476999999</v>
      </c>
      <c r="AN1013" t="s">
        <v>2146</v>
      </c>
      <c r="AO1013" t="s">
        <v>59</v>
      </c>
      <c r="AP1013" t="s">
        <v>2147</v>
      </c>
      <c r="AQ1013">
        <v>11</v>
      </c>
      <c r="AR1013">
        <v>24</v>
      </c>
      <c r="AS1013">
        <v>62</v>
      </c>
      <c r="AT1013">
        <v>1.62</v>
      </c>
      <c r="AU1013">
        <v>4.57</v>
      </c>
      <c r="AV1013" t="s">
        <v>3769</v>
      </c>
      <c r="AW1013" t="s">
        <v>3770</v>
      </c>
      <c r="AX1013" t="s">
        <v>3771</v>
      </c>
    </row>
    <row r="1014" spans="1:50" x14ac:dyDescent="0.25">
      <c r="A1014" t="s">
        <v>3772</v>
      </c>
      <c r="B1014" t="s">
        <v>1679</v>
      </c>
      <c r="C1014">
        <v>0</v>
      </c>
      <c r="D1014">
        <v>0</v>
      </c>
      <c r="E1014" t="s">
        <v>1686</v>
      </c>
      <c r="H1014">
        <v>1</v>
      </c>
      <c r="N1014">
        <v>0</v>
      </c>
      <c r="Q1014">
        <v>0</v>
      </c>
      <c r="R1014">
        <v>1</v>
      </c>
      <c r="U1014" t="s">
        <v>65</v>
      </c>
      <c r="V1014">
        <v>43</v>
      </c>
      <c r="X1014" t="s">
        <v>80</v>
      </c>
      <c r="Y1014">
        <v>0</v>
      </c>
      <c r="Z1014">
        <v>80.739000000000004</v>
      </c>
      <c r="AB1014" t="s">
        <v>94</v>
      </c>
      <c r="AD1014" t="s">
        <v>57</v>
      </c>
      <c r="AE1014">
        <v>0</v>
      </c>
      <c r="AF1014">
        <v>6</v>
      </c>
      <c r="AG1014">
        <v>1</v>
      </c>
      <c r="AH1014">
        <v>3</v>
      </c>
      <c r="AI1014">
        <v>512</v>
      </c>
      <c r="AJ1014">
        <v>512</v>
      </c>
      <c r="AK1014">
        <v>80</v>
      </c>
      <c r="AL1014" t="s">
        <v>196</v>
      </c>
      <c r="AM1014">
        <v>2</v>
      </c>
      <c r="AN1014" t="s">
        <v>1915</v>
      </c>
      <c r="AO1014" t="s">
        <v>67</v>
      </c>
      <c r="AP1014" t="s">
        <v>68</v>
      </c>
      <c r="AQ1014">
        <v>15</v>
      </c>
      <c r="AR1014">
        <v>362</v>
      </c>
      <c r="AS1014">
        <v>725</v>
      </c>
      <c r="AT1014">
        <v>2.14</v>
      </c>
      <c r="AU1014">
        <v>5.01</v>
      </c>
      <c r="AV1014" t="s">
        <v>3773</v>
      </c>
      <c r="AW1014" t="s">
        <v>1842</v>
      </c>
      <c r="AX1014" t="s">
        <v>3774</v>
      </c>
    </row>
    <row r="1015" spans="1:50" x14ac:dyDescent="0.25">
      <c r="A1015" t="s">
        <v>3775</v>
      </c>
      <c r="B1015" t="s">
        <v>1679</v>
      </c>
      <c r="C1015">
        <v>0</v>
      </c>
      <c r="D1015">
        <v>1</v>
      </c>
      <c r="E1015" t="s">
        <v>1740</v>
      </c>
      <c r="H1015">
        <v>0</v>
      </c>
      <c r="N1015">
        <v>0</v>
      </c>
      <c r="Q1015">
        <v>0</v>
      </c>
      <c r="R1015">
        <v>1</v>
      </c>
      <c r="U1015" t="s">
        <v>65</v>
      </c>
      <c r="V1015">
        <v>57</v>
      </c>
      <c r="X1015" t="s">
        <v>80</v>
      </c>
      <c r="Y1015">
        <v>0</v>
      </c>
      <c r="Z1015">
        <v>101</v>
      </c>
      <c r="AB1015" t="s">
        <v>56</v>
      </c>
      <c r="AD1015" t="s">
        <v>57</v>
      </c>
      <c r="AE1015">
        <v>0</v>
      </c>
      <c r="AF1015">
        <v>6</v>
      </c>
      <c r="AG1015">
        <v>1</v>
      </c>
      <c r="AH1015">
        <v>3</v>
      </c>
      <c r="AI1015">
        <v>512</v>
      </c>
      <c r="AJ1015">
        <v>512</v>
      </c>
      <c r="AK1015">
        <v>80</v>
      </c>
      <c r="AL1015" t="s">
        <v>119</v>
      </c>
      <c r="AM1015">
        <v>2</v>
      </c>
      <c r="AN1015" t="s">
        <v>1915</v>
      </c>
      <c r="AO1015" t="s">
        <v>67</v>
      </c>
      <c r="AP1015" t="s">
        <v>68</v>
      </c>
      <c r="AQ1015">
        <v>15</v>
      </c>
      <c r="AR1015">
        <v>154</v>
      </c>
      <c r="AS1015">
        <v>309</v>
      </c>
      <c r="AT1015">
        <v>2.1</v>
      </c>
      <c r="AU1015">
        <v>4.3570000000000002</v>
      </c>
      <c r="AV1015" t="s">
        <v>3776</v>
      </c>
      <c r="AW1015" t="s">
        <v>3204</v>
      </c>
      <c r="AX1015" t="s">
        <v>3777</v>
      </c>
    </row>
    <row r="1016" spans="1:50" x14ac:dyDescent="0.25">
      <c r="A1016" t="s">
        <v>3778</v>
      </c>
      <c r="B1016" t="s">
        <v>1679</v>
      </c>
      <c r="C1016">
        <v>0</v>
      </c>
      <c r="D1016">
        <v>1</v>
      </c>
      <c r="E1016" t="s">
        <v>1693</v>
      </c>
      <c r="H1016">
        <v>1</v>
      </c>
      <c r="N1016">
        <v>1</v>
      </c>
      <c r="Q1016">
        <v>0</v>
      </c>
      <c r="R1016">
        <v>0</v>
      </c>
      <c r="U1016" t="s">
        <v>1687</v>
      </c>
      <c r="V1016">
        <v>35</v>
      </c>
      <c r="W1016" t="s">
        <v>1688</v>
      </c>
      <c r="X1016" t="s">
        <v>111</v>
      </c>
      <c r="Y1016">
        <v>0</v>
      </c>
      <c r="Z1016">
        <v>57</v>
      </c>
      <c r="AB1016" t="s">
        <v>74</v>
      </c>
      <c r="AD1016" t="s">
        <v>57</v>
      </c>
      <c r="AE1016">
        <v>0</v>
      </c>
      <c r="AF1016">
        <v>6</v>
      </c>
      <c r="AG1016">
        <v>1</v>
      </c>
      <c r="AH1016">
        <v>3</v>
      </c>
      <c r="AI1016">
        <v>512</v>
      </c>
      <c r="AJ1016">
        <v>512</v>
      </c>
      <c r="AK1016">
        <v>160</v>
      </c>
      <c r="AL1016" t="s">
        <v>2372</v>
      </c>
      <c r="AM1016">
        <v>2</v>
      </c>
      <c r="AN1016" t="s">
        <v>1419</v>
      </c>
      <c r="AO1016" t="s">
        <v>1155</v>
      </c>
      <c r="AP1016" t="s">
        <v>1767</v>
      </c>
      <c r="AQ1016">
        <v>15</v>
      </c>
      <c r="AR1016">
        <v>339</v>
      </c>
      <c r="AS1016">
        <v>678</v>
      </c>
      <c r="AT1016">
        <v>1.73</v>
      </c>
      <c r="AU1016">
        <v>4</v>
      </c>
      <c r="AV1016" t="s">
        <v>3779</v>
      </c>
      <c r="AW1016" t="s">
        <v>3179</v>
      </c>
      <c r="AX1016" t="s">
        <v>3780</v>
      </c>
    </row>
    <row r="1017" spans="1:50" x14ac:dyDescent="0.25">
      <c r="A1017" t="s">
        <v>3781</v>
      </c>
      <c r="B1017" t="s">
        <v>1679</v>
      </c>
      <c r="C1017">
        <v>0</v>
      </c>
      <c r="D1017">
        <v>0</v>
      </c>
      <c r="E1017" t="s">
        <v>1780</v>
      </c>
      <c r="H1017">
        <v>0</v>
      </c>
      <c r="N1017">
        <v>1</v>
      </c>
      <c r="Q1017">
        <v>0</v>
      </c>
      <c r="R1017">
        <v>0</v>
      </c>
      <c r="U1017" t="s">
        <v>1687</v>
      </c>
      <c r="V1017">
        <v>44</v>
      </c>
      <c r="W1017" t="s">
        <v>1726</v>
      </c>
      <c r="X1017" t="s">
        <v>80</v>
      </c>
      <c r="Y1017">
        <v>0</v>
      </c>
      <c r="Z1017">
        <v>90.718485540000003</v>
      </c>
      <c r="AB1017" t="s">
        <v>118</v>
      </c>
      <c r="AD1017" t="s">
        <v>57</v>
      </c>
      <c r="AE1017">
        <v>1</v>
      </c>
      <c r="AF1017">
        <v>6</v>
      </c>
      <c r="AG1017">
        <v>1</v>
      </c>
      <c r="AH1017">
        <v>1.5</v>
      </c>
      <c r="AI1017">
        <v>384</v>
      </c>
      <c r="AJ1017">
        <v>384</v>
      </c>
      <c r="AK1017">
        <v>160</v>
      </c>
      <c r="AL1017" t="s">
        <v>1800</v>
      </c>
      <c r="AM1017">
        <v>1</v>
      </c>
      <c r="AN1017" t="s">
        <v>1741</v>
      </c>
      <c r="AO1017" t="s">
        <v>59</v>
      </c>
      <c r="AP1017" t="s">
        <v>60</v>
      </c>
      <c r="AQ1017">
        <v>11</v>
      </c>
      <c r="AR1017">
        <v>82</v>
      </c>
      <c r="AS1017">
        <v>217</v>
      </c>
      <c r="AT1017">
        <v>2.3199999999999998</v>
      </c>
      <c r="AU1017">
        <v>5.15</v>
      </c>
      <c r="AV1017" t="s">
        <v>2348</v>
      </c>
      <c r="AW1017" t="s">
        <v>3782</v>
      </c>
      <c r="AX1017" t="s">
        <v>3783</v>
      </c>
    </row>
    <row r="1018" spans="1:50" x14ac:dyDescent="0.25">
      <c r="A1018" t="s">
        <v>3784</v>
      </c>
      <c r="B1018" t="s">
        <v>1679</v>
      </c>
      <c r="C1018">
        <v>0</v>
      </c>
      <c r="D1018">
        <v>0</v>
      </c>
      <c r="E1018" t="s">
        <v>1791</v>
      </c>
      <c r="H1018">
        <v>1</v>
      </c>
      <c r="N1018">
        <v>0</v>
      </c>
      <c r="Q1018">
        <v>1</v>
      </c>
      <c r="R1018">
        <v>0</v>
      </c>
      <c r="U1018" t="s">
        <v>72</v>
      </c>
      <c r="V1018">
        <v>65</v>
      </c>
      <c r="W1018" t="s">
        <v>79</v>
      </c>
      <c r="X1018" t="s">
        <v>80</v>
      </c>
      <c r="Y1018">
        <v>0</v>
      </c>
      <c r="Z1018">
        <v>127.005879756</v>
      </c>
      <c r="AB1018" t="s">
        <v>269</v>
      </c>
      <c r="AD1018" t="s">
        <v>57</v>
      </c>
      <c r="AE1018">
        <v>1</v>
      </c>
      <c r="AF1018">
        <v>5</v>
      </c>
      <c r="AG1018">
        <v>1</v>
      </c>
      <c r="AH1018">
        <v>1.5</v>
      </c>
      <c r="AI1018">
        <v>384</v>
      </c>
      <c r="AJ1018">
        <v>384</v>
      </c>
      <c r="AK1018">
        <v>176</v>
      </c>
      <c r="AL1018" t="s">
        <v>1034</v>
      </c>
      <c r="AM1018">
        <v>1.1000000238000001</v>
      </c>
      <c r="AN1018" t="s">
        <v>1741</v>
      </c>
      <c r="AO1018" t="s">
        <v>59</v>
      </c>
      <c r="AP1018" t="s">
        <v>60</v>
      </c>
      <c r="AQ1018">
        <v>11</v>
      </c>
      <c r="AR1018">
        <v>330</v>
      </c>
      <c r="AS1018">
        <v>1054</v>
      </c>
      <c r="AT1018">
        <v>2.31</v>
      </c>
      <c r="AU1018">
        <v>5.15</v>
      </c>
      <c r="AV1018" t="s">
        <v>3785</v>
      </c>
      <c r="AW1018" t="s">
        <v>3786</v>
      </c>
      <c r="AX1018" t="s">
        <v>3787</v>
      </c>
    </row>
    <row r="1019" spans="1:50" x14ac:dyDescent="0.25">
      <c r="A1019" t="s">
        <v>3788</v>
      </c>
      <c r="B1019" t="s">
        <v>1679</v>
      </c>
      <c r="C1019">
        <v>1</v>
      </c>
      <c r="D1019">
        <v>1</v>
      </c>
      <c r="E1019" t="s">
        <v>1740</v>
      </c>
      <c r="H1019">
        <v>1</v>
      </c>
      <c r="N1019">
        <v>1</v>
      </c>
      <c r="Q1019">
        <v>1</v>
      </c>
      <c r="R1019">
        <v>0</v>
      </c>
      <c r="U1019" t="s">
        <v>1735</v>
      </c>
      <c r="V1019">
        <v>58</v>
      </c>
      <c r="W1019" t="s">
        <v>79</v>
      </c>
      <c r="X1019" t="s">
        <v>80</v>
      </c>
      <c r="Y1019">
        <v>0</v>
      </c>
      <c r="Z1019">
        <v>90.718485540000003</v>
      </c>
      <c r="AB1019" t="s">
        <v>118</v>
      </c>
      <c r="AD1019" t="s">
        <v>57</v>
      </c>
      <c r="AE1019">
        <v>1</v>
      </c>
      <c r="AF1019">
        <v>6</v>
      </c>
      <c r="AG1019">
        <v>1</v>
      </c>
      <c r="AH1019">
        <v>1.5</v>
      </c>
      <c r="AI1019">
        <v>384</v>
      </c>
      <c r="AJ1019">
        <v>384</v>
      </c>
      <c r="AK1019">
        <v>160</v>
      </c>
      <c r="AL1019" t="s">
        <v>1800</v>
      </c>
      <c r="AM1019">
        <v>1</v>
      </c>
      <c r="AN1019" t="s">
        <v>1741</v>
      </c>
      <c r="AO1019" t="s">
        <v>59</v>
      </c>
      <c r="AP1019" t="s">
        <v>60</v>
      </c>
      <c r="AQ1019">
        <v>11</v>
      </c>
      <c r="AR1019">
        <v>80</v>
      </c>
      <c r="AS1019">
        <v>216</v>
      </c>
      <c r="AT1019">
        <v>2.3199999999999998</v>
      </c>
      <c r="AU1019">
        <v>5.15</v>
      </c>
      <c r="AV1019" t="s">
        <v>3310</v>
      </c>
      <c r="AW1019" t="s">
        <v>3789</v>
      </c>
      <c r="AX1019" t="s">
        <v>3790</v>
      </c>
    </row>
    <row r="1020" spans="1:50" x14ac:dyDescent="0.25">
      <c r="A1020" t="s">
        <v>3791</v>
      </c>
      <c r="B1020" t="s">
        <v>1679</v>
      </c>
      <c r="C1020">
        <v>0</v>
      </c>
      <c r="D1020">
        <v>0</v>
      </c>
      <c r="E1020" t="s">
        <v>1725</v>
      </c>
      <c r="H1020">
        <v>0</v>
      </c>
      <c r="N1020">
        <v>1</v>
      </c>
      <c r="Q1020">
        <v>0</v>
      </c>
      <c r="R1020">
        <v>0</v>
      </c>
      <c r="U1020" t="s">
        <v>1687</v>
      </c>
      <c r="V1020">
        <v>59</v>
      </c>
      <c r="W1020" t="s">
        <v>79</v>
      </c>
      <c r="X1020" t="s">
        <v>80</v>
      </c>
      <c r="Y1020">
        <v>0</v>
      </c>
      <c r="Z1020">
        <v>77</v>
      </c>
      <c r="AB1020" t="s">
        <v>94</v>
      </c>
      <c r="AD1020" t="s">
        <v>57</v>
      </c>
      <c r="AE1020">
        <v>0</v>
      </c>
      <c r="AF1020">
        <v>6</v>
      </c>
      <c r="AG1020">
        <v>1</v>
      </c>
      <c r="AH1020">
        <v>3</v>
      </c>
      <c r="AI1020">
        <v>640</v>
      </c>
      <c r="AJ1020">
        <v>640</v>
      </c>
      <c r="AK1020">
        <v>160</v>
      </c>
      <c r="AL1020" t="s">
        <v>2431</v>
      </c>
      <c r="AM1020">
        <v>2</v>
      </c>
      <c r="AN1020" t="s">
        <v>1877</v>
      </c>
      <c r="AO1020" t="s">
        <v>1155</v>
      </c>
      <c r="AP1020" t="s">
        <v>1305</v>
      </c>
      <c r="AQ1020">
        <v>11</v>
      </c>
      <c r="AR1020">
        <v>409</v>
      </c>
      <c r="AS1020">
        <v>711</v>
      </c>
      <c r="AT1020">
        <v>4.6040000000000001</v>
      </c>
      <c r="AU1020">
        <v>7.4</v>
      </c>
      <c r="AW1020" t="s">
        <v>2210</v>
      </c>
      <c r="AX1020" t="s">
        <v>3792</v>
      </c>
    </row>
    <row r="1021" spans="1:50" x14ac:dyDescent="0.25">
      <c r="A1021" t="s">
        <v>3793</v>
      </c>
      <c r="B1021" t="s">
        <v>1679</v>
      </c>
      <c r="C1021">
        <v>0</v>
      </c>
      <c r="D1021">
        <v>1</v>
      </c>
      <c r="E1021" t="s">
        <v>1698</v>
      </c>
      <c r="H1021">
        <v>0</v>
      </c>
      <c r="N1021">
        <v>0</v>
      </c>
      <c r="Q1021">
        <v>0</v>
      </c>
      <c r="R1021">
        <v>1</v>
      </c>
      <c r="U1021" t="s">
        <v>65</v>
      </c>
      <c r="V1021">
        <v>36</v>
      </c>
      <c r="W1021" t="s">
        <v>1688</v>
      </c>
      <c r="X1021" t="s">
        <v>55</v>
      </c>
      <c r="Y1021">
        <v>0</v>
      </c>
      <c r="AD1021" t="s">
        <v>57</v>
      </c>
      <c r="AE1021">
        <v>0</v>
      </c>
      <c r="AF1021">
        <v>6</v>
      </c>
      <c r="AG1021">
        <v>1</v>
      </c>
      <c r="AH1021">
        <v>1.5</v>
      </c>
      <c r="AI1021">
        <v>512</v>
      </c>
      <c r="AJ1021">
        <v>512</v>
      </c>
      <c r="AK1021">
        <v>64</v>
      </c>
      <c r="AL1021" t="s">
        <v>113</v>
      </c>
      <c r="AM1021">
        <v>2.5</v>
      </c>
      <c r="AN1021" t="s">
        <v>1705</v>
      </c>
      <c r="AO1021" t="s">
        <v>67</v>
      </c>
      <c r="AP1021" t="s">
        <v>89</v>
      </c>
      <c r="AQ1021">
        <v>15</v>
      </c>
      <c r="AR1021">
        <v>475</v>
      </c>
      <c r="AS1021">
        <v>951</v>
      </c>
      <c r="AT1021">
        <v>2.5840000000000001</v>
      </c>
      <c r="AU1021">
        <v>5.9039999999999999</v>
      </c>
      <c r="AV1021" t="s">
        <v>3794</v>
      </c>
      <c r="AW1021" t="s">
        <v>3746</v>
      </c>
      <c r="AX1021" t="s">
        <v>3795</v>
      </c>
    </row>
    <row r="1022" spans="1:50" x14ac:dyDescent="0.25">
      <c r="A1022" t="s">
        <v>3796</v>
      </c>
      <c r="B1022" t="s">
        <v>1679</v>
      </c>
      <c r="C1022">
        <v>0</v>
      </c>
      <c r="D1022">
        <v>1</v>
      </c>
      <c r="E1022" t="s">
        <v>1725</v>
      </c>
      <c r="H1022">
        <v>0</v>
      </c>
      <c r="N1022">
        <v>1</v>
      </c>
      <c r="Q1022">
        <v>0</v>
      </c>
      <c r="R1022">
        <v>0</v>
      </c>
      <c r="U1022" t="s">
        <v>1687</v>
      </c>
      <c r="V1022">
        <v>52</v>
      </c>
      <c r="W1022" t="s">
        <v>1688</v>
      </c>
      <c r="X1022" t="s">
        <v>55</v>
      </c>
      <c r="Y1022">
        <v>0</v>
      </c>
      <c r="Z1022">
        <v>118</v>
      </c>
      <c r="AB1022" t="s">
        <v>269</v>
      </c>
      <c r="AD1022" t="s">
        <v>57</v>
      </c>
      <c r="AE1022">
        <v>0</v>
      </c>
      <c r="AF1022">
        <v>6</v>
      </c>
      <c r="AG1022">
        <v>1</v>
      </c>
      <c r="AH1022">
        <v>1.5</v>
      </c>
      <c r="AI1022">
        <v>400</v>
      </c>
      <c r="AJ1022">
        <v>400</v>
      </c>
      <c r="AK1022">
        <v>64</v>
      </c>
      <c r="AL1022" t="s">
        <v>1924</v>
      </c>
      <c r="AM1022">
        <v>2.5</v>
      </c>
      <c r="AN1022" t="s">
        <v>1531</v>
      </c>
      <c r="AO1022" t="s">
        <v>1155</v>
      </c>
      <c r="AP1022" t="s">
        <v>1767</v>
      </c>
      <c r="AQ1022">
        <v>11</v>
      </c>
      <c r="AR1022">
        <v>74.31</v>
      </c>
      <c r="AS1022">
        <v>129.21</v>
      </c>
      <c r="AT1022">
        <v>2.5979999999999999</v>
      </c>
      <c r="AU1022">
        <v>5.2080000000000002</v>
      </c>
      <c r="AV1022" t="s">
        <v>3797</v>
      </c>
      <c r="AW1022" t="s">
        <v>3506</v>
      </c>
      <c r="AX1022" t="s">
        <v>3798</v>
      </c>
    </row>
    <row r="1023" spans="1:50" x14ac:dyDescent="0.25">
      <c r="A1023" t="s">
        <v>3799</v>
      </c>
      <c r="B1023" t="s">
        <v>1679</v>
      </c>
      <c r="C1023">
        <v>0</v>
      </c>
      <c r="D1023">
        <v>1</v>
      </c>
      <c r="E1023" t="s">
        <v>1780</v>
      </c>
      <c r="H1023">
        <v>0</v>
      </c>
      <c r="N1023">
        <v>1</v>
      </c>
      <c r="Q1023">
        <v>0</v>
      </c>
      <c r="R1023">
        <v>1</v>
      </c>
      <c r="U1023" t="s">
        <v>1687</v>
      </c>
      <c r="V1023">
        <v>46</v>
      </c>
      <c r="W1023" t="s">
        <v>1726</v>
      </c>
      <c r="X1023" t="s">
        <v>80</v>
      </c>
      <c r="Y1023">
        <v>0</v>
      </c>
      <c r="AD1023" t="s">
        <v>57</v>
      </c>
      <c r="AE1023">
        <v>1</v>
      </c>
      <c r="AF1023">
        <v>6</v>
      </c>
      <c r="AG1023">
        <v>1</v>
      </c>
      <c r="AH1023">
        <v>1.5</v>
      </c>
      <c r="AI1023">
        <v>384</v>
      </c>
      <c r="AJ1023">
        <v>384</v>
      </c>
      <c r="AK1023">
        <v>160</v>
      </c>
      <c r="AL1023" t="s">
        <v>1394</v>
      </c>
      <c r="AM1023">
        <v>1.1000000238000001</v>
      </c>
      <c r="AN1023" t="s">
        <v>1741</v>
      </c>
      <c r="AO1023" t="s">
        <v>59</v>
      </c>
      <c r="AP1023" t="s">
        <v>60</v>
      </c>
      <c r="AQ1023">
        <v>11</v>
      </c>
      <c r="AR1023">
        <v>70</v>
      </c>
      <c r="AS1023">
        <v>190</v>
      </c>
      <c r="AT1023">
        <v>2.2599999999999998</v>
      </c>
      <c r="AU1023">
        <v>5.15</v>
      </c>
      <c r="AV1023" t="s">
        <v>2348</v>
      </c>
      <c r="AW1023" t="s">
        <v>2675</v>
      </c>
      <c r="AX1023" t="s">
        <v>3800</v>
      </c>
    </row>
    <row r="1024" spans="1:50" x14ac:dyDescent="0.25">
      <c r="A1024" t="s">
        <v>3801</v>
      </c>
      <c r="B1024" t="s">
        <v>1679</v>
      </c>
      <c r="C1024">
        <v>0</v>
      </c>
      <c r="D1024">
        <v>0</v>
      </c>
      <c r="E1024" t="s">
        <v>1839</v>
      </c>
      <c r="H1024">
        <v>0</v>
      </c>
      <c r="N1024">
        <v>0</v>
      </c>
      <c r="Q1024">
        <v>1</v>
      </c>
      <c r="R1024">
        <v>1</v>
      </c>
      <c r="U1024" t="s">
        <v>72</v>
      </c>
      <c r="V1024">
        <v>41</v>
      </c>
      <c r="W1024" t="s">
        <v>1688</v>
      </c>
      <c r="X1024" t="s">
        <v>1714</v>
      </c>
      <c r="Y1024">
        <v>0</v>
      </c>
      <c r="Z1024">
        <v>99.790334094000002</v>
      </c>
      <c r="AA1024">
        <v>1.7526035074999999</v>
      </c>
      <c r="AB1024" t="s">
        <v>118</v>
      </c>
      <c r="AD1024" t="s">
        <v>57</v>
      </c>
      <c r="AE1024">
        <v>0</v>
      </c>
      <c r="AF1024">
        <v>6</v>
      </c>
      <c r="AG1024">
        <v>1</v>
      </c>
      <c r="AH1024">
        <v>3</v>
      </c>
      <c r="AI1024">
        <v>512</v>
      </c>
      <c r="AJ1024">
        <v>512</v>
      </c>
      <c r="AK1024">
        <v>134</v>
      </c>
      <c r="AL1024" t="s">
        <v>196</v>
      </c>
      <c r="AM1024">
        <v>1.2000000476999999</v>
      </c>
      <c r="AN1024" t="s">
        <v>1741</v>
      </c>
      <c r="AO1024" t="s">
        <v>59</v>
      </c>
      <c r="AP1024" t="s">
        <v>124</v>
      </c>
      <c r="AQ1024">
        <v>11</v>
      </c>
      <c r="AR1024">
        <v>33</v>
      </c>
      <c r="AS1024">
        <v>88</v>
      </c>
      <c r="AT1024">
        <v>1.69</v>
      </c>
      <c r="AU1024">
        <v>4.5999999999999996</v>
      </c>
      <c r="AV1024" t="s">
        <v>3802</v>
      </c>
      <c r="AW1024" t="s">
        <v>1894</v>
      </c>
      <c r="AX1024" t="s">
        <v>3803</v>
      </c>
    </row>
    <row r="1025" spans="1:50" x14ac:dyDescent="0.25">
      <c r="A1025" t="s">
        <v>3804</v>
      </c>
      <c r="B1025" t="s">
        <v>1679</v>
      </c>
      <c r="C1025">
        <v>0</v>
      </c>
      <c r="D1025">
        <v>0</v>
      </c>
      <c r="E1025" t="s">
        <v>1725</v>
      </c>
      <c r="H1025">
        <v>0</v>
      </c>
      <c r="N1025">
        <v>0</v>
      </c>
      <c r="Q1025">
        <v>0</v>
      </c>
      <c r="R1025">
        <v>1</v>
      </c>
      <c r="U1025" t="s">
        <v>65</v>
      </c>
      <c r="V1025">
        <v>37</v>
      </c>
      <c r="W1025" t="s">
        <v>1726</v>
      </c>
      <c r="X1025" t="s">
        <v>80</v>
      </c>
      <c r="Y1025">
        <v>0</v>
      </c>
      <c r="Z1025">
        <v>66.677999999999997</v>
      </c>
      <c r="AB1025" t="s">
        <v>74</v>
      </c>
      <c r="AD1025" t="s">
        <v>57</v>
      </c>
      <c r="AE1025">
        <v>0</v>
      </c>
      <c r="AF1025">
        <v>6</v>
      </c>
      <c r="AG1025">
        <v>1</v>
      </c>
      <c r="AH1025">
        <v>3</v>
      </c>
      <c r="AI1025">
        <v>512</v>
      </c>
      <c r="AJ1025">
        <v>512</v>
      </c>
      <c r="AK1025">
        <v>80</v>
      </c>
      <c r="AL1025" t="s">
        <v>66</v>
      </c>
      <c r="AM1025">
        <v>2</v>
      </c>
      <c r="AN1025" t="s">
        <v>1915</v>
      </c>
      <c r="AO1025" t="s">
        <v>67</v>
      </c>
      <c r="AP1025" t="s">
        <v>68</v>
      </c>
      <c r="AQ1025">
        <v>15</v>
      </c>
      <c r="AR1025">
        <v>248</v>
      </c>
      <c r="AS1025">
        <v>496</v>
      </c>
      <c r="AT1025">
        <v>2.16</v>
      </c>
      <c r="AU1025">
        <v>5.5780000000000003</v>
      </c>
      <c r="AV1025" t="s">
        <v>3805</v>
      </c>
      <c r="AW1025" t="s">
        <v>3806</v>
      </c>
      <c r="AX1025" t="s">
        <v>3807</v>
      </c>
    </row>
    <row r="1026" spans="1:50" x14ac:dyDescent="0.25">
      <c r="A1026" t="s">
        <v>3808</v>
      </c>
      <c r="B1026" t="s">
        <v>1679</v>
      </c>
      <c r="C1026">
        <v>0</v>
      </c>
      <c r="D1026">
        <v>1</v>
      </c>
      <c r="E1026" t="s">
        <v>1734</v>
      </c>
      <c r="H1026">
        <v>0</v>
      </c>
      <c r="N1026">
        <v>0</v>
      </c>
      <c r="Q1026">
        <v>1</v>
      </c>
      <c r="R1026">
        <v>1</v>
      </c>
      <c r="U1026" t="s">
        <v>72</v>
      </c>
      <c r="V1026">
        <v>54</v>
      </c>
      <c r="W1026" t="s">
        <v>1688</v>
      </c>
      <c r="X1026" t="s">
        <v>55</v>
      </c>
      <c r="Y1026">
        <v>0</v>
      </c>
      <c r="Z1026">
        <v>113.4</v>
      </c>
      <c r="AB1026" t="s">
        <v>269</v>
      </c>
      <c r="AD1026" t="s">
        <v>57</v>
      </c>
      <c r="AE1026">
        <v>0</v>
      </c>
      <c r="AF1026">
        <v>6</v>
      </c>
      <c r="AG1026">
        <v>1</v>
      </c>
      <c r="AH1026">
        <v>3</v>
      </c>
      <c r="AI1026">
        <v>512</v>
      </c>
      <c r="AJ1026">
        <v>512</v>
      </c>
      <c r="AK1026">
        <v>150</v>
      </c>
      <c r="AL1026" t="s">
        <v>350</v>
      </c>
      <c r="AM1026">
        <v>2.4</v>
      </c>
      <c r="AN1026" t="s">
        <v>1786</v>
      </c>
      <c r="AO1026" t="s">
        <v>67</v>
      </c>
      <c r="AP1026" t="s">
        <v>1845</v>
      </c>
      <c r="AQ1026">
        <v>15</v>
      </c>
      <c r="AR1026">
        <v>191</v>
      </c>
      <c r="AS1026">
        <v>383</v>
      </c>
      <c r="AT1026">
        <v>4.25</v>
      </c>
      <c r="AU1026">
        <v>7.9119999999999999</v>
      </c>
      <c r="AV1026" t="s">
        <v>1817</v>
      </c>
      <c r="AW1026" t="s">
        <v>2123</v>
      </c>
      <c r="AX1026" t="s">
        <v>3809</v>
      </c>
    </row>
    <row r="1027" spans="1:50" x14ac:dyDescent="0.25">
      <c r="A1027" t="s">
        <v>3810</v>
      </c>
      <c r="B1027" t="s">
        <v>1679</v>
      </c>
      <c r="C1027">
        <v>0</v>
      </c>
      <c r="D1027">
        <v>1</v>
      </c>
      <c r="E1027" t="s">
        <v>1686</v>
      </c>
      <c r="H1027">
        <v>0</v>
      </c>
      <c r="N1027">
        <v>1</v>
      </c>
      <c r="Q1027">
        <v>0</v>
      </c>
      <c r="R1027">
        <v>1</v>
      </c>
      <c r="U1027" t="s">
        <v>1687</v>
      </c>
      <c r="V1027">
        <v>47</v>
      </c>
      <c r="W1027" t="s">
        <v>1688</v>
      </c>
      <c r="X1027" t="s">
        <v>80</v>
      </c>
      <c r="Y1027">
        <v>0</v>
      </c>
      <c r="Z1027">
        <v>65.989999999999995</v>
      </c>
      <c r="AB1027" t="s">
        <v>74</v>
      </c>
      <c r="AD1027" t="s">
        <v>57</v>
      </c>
      <c r="AE1027">
        <v>1</v>
      </c>
      <c r="AF1027">
        <v>6</v>
      </c>
      <c r="AG1027">
        <v>1</v>
      </c>
      <c r="AH1027">
        <v>1.5</v>
      </c>
      <c r="AI1027">
        <v>384</v>
      </c>
      <c r="AJ1027">
        <v>384</v>
      </c>
      <c r="AK1027">
        <v>176</v>
      </c>
      <c r="AL1027" t="s">
        <v>1835</v>
      </c>
      <c r="AM1027">
        <v>1.1000000238000001</v>
      </c>
      <c r="AN1027" t="s">
        <v>1720</v>
      </c>
      <c r="AO1027" t="s">
        <v>59</v>
      </c>
      <c r="AP1027" t="s">
        <v>60</v>
      </c>
      <c r="AQ1027">
        <v>11</v>
      </c>
      <c r="AR1027">
        <v>140</v>
      </c>
      <c r="AS1027">
        <v>371</v>
      </c>
      <c r="AT1027">
        <v>1.55</v>
      </c>
      <c r="AU1027">
        <v>4.21</v>
      </c>
      <c r="AV1027" t="s">
        <v>3811</v>
      </c>
      <c r="AW1027" t="s">
        <v>3812</v>
      </c>
      <c r="AX1027" t="s">
        <v>3813</v>
      </c>
    </row>
    <row r="1028" spans="1:50" x14ac:dyDescent="0.25">
      <c r="A1028" t="s">
        <v>3814</v>
      </c>
      <c r="B1028" t="s">
        <v>1679</v>
      </c>
      <c r="C1028">
        <v>0</v>
      </c>
      <c r="D1028">
        <v>1</v>
      </c>
      <c r="E1028" t="s">
        <v>1703</v>
      </c>
      <c r="H1028">
        <v>1</v>
      </c>
      <c r="N1028">
        <v>0</v>
      </c>
      <c r="Q1028">
        <v>0</v>
      </c>
      <c r="R1028">
        <v>1</v>
      </c>
      <c r="U1028" t="s">
        <v>65</v>
      </c>
      <c r="V1028">
        <v>38</v>
      </c>
      <c r="W1028" t="s">
        <v>1726</v>
      </c>
      <c r="X1028" t="s">
        <v>80</v>
      </c>
      <c r="Y1028">
        <v>0</v>
      </c>
      <c r="Z1028">
        <v>53.523906468600003</v>
      </c>
      <c r="AB1028" t="s">
        <v>74</v>
      </c>
      <c r="AD1028" t="s">
        <v>57</v>
      </c>
      <c r="AE1028">
        <v>1</v>
      </c>
      <c r="AF1028">
        <v>6</v>
      </c>
      <c r="AG1028">
        <v>1</v>
      </c>
      <c r="AH1028">
        <v>1.5</v>
      </c>
      <c r="AI1028">
        <v>384</v>
      </c>
      <c r="AJ1028">
        <v>384</v>
      </c>
      <c r="AK1028">
        <v>144</v>
      </c>
      <c r="AL1028" t="s">
        <v>2145</v>
      </c>
      <c r="AM1028">
        <v>1.2000000476999999</v>
      </c>
      <c r="AN1028" t="s">
        <v>2146</v>
      </c>
      <c r="AO1028" t="s">
        <v>59</v>
      </c>
      <c r="AP1028" t="s">
        <v>2147</v>
      </c>
      <c r="AQ1028">
        <v>11</v>
      </c>
      <c r="AR1028">
        <v>40</v>
      </c>
      <c r="AS1028">
        <v>108</v>
      </c>
      <c r="AT1028">
        <v>1.72</v>
      </c>
      <c r="AU1028">
        <v>4.58</v>
      </c>
      <c r="AV1028" t="s">
        <v>3815</v>
      </c>
      <c r="AW1028" t="s">
        <v>3816</v>
      </c>
      <c r="AX1028" t="s">
        <v>3817</v>
      </c>
    </row>
    <row r="1029" spans="1:50" x14ac:dyDescent="0.25">
      <c r="A1029" t="s">
        <v>3818</v>
      </c>
      <c r="B1029" t="s">
        <v>1679</v>
      </c>
      <c r="C1029">
        <v>0</v>
      </c>
      <c r="D1029">
        <v>0</v>
      </c>
      <c r="E1029" t="s">
        <v>1693</v>
      </c>
      <c r="H1029">
        <v>0</v>
      </c>
      <c r="N1029">
        <v>1</v>
      </c>
      <c r="Q1029">
        <v>0</v>
      </c>
      <c r="R1029">
        <v>0</v>
      </c>
      <c r="U1029" t="s">
        <v>1687</v>
      </c>
      <c r="V1029">
        <v>60</v>
      </c>
      <c r="W1029" t="s">
        <v>79</v>
      </c>
      <c r="X1029" t="s">
        <v>111</v>
      </c>
      <c r="Y1029">
        <v>0</v>
      </c>
      <c r="Z1029">
        <v>70</v>
      </c>
      <c r="AA1029">
        <v>1.6</v>
      </c>
      <c r="AB1029" t="s">
        <v>94</v>
      </c>
      <c r="AD1029" t="s">
        <v>57</v>
      </c>
      <c r="AE1029">
        <v>1</v>
      </c>
      <c r="AF1029">
        <v>6</v>
      </c>
      <c r="AG1029">
        <v>1</v>
      </c>
      <c r="AH1029">
        <v>3</v>
      </c>
      <c r="AI1029">
        <v>384</v>
      </c>
      <c r="AJ1029">
        <v>384</v>
      </c>
      <c r="AK1029">
        <v>80</v>
      </c>
      <c r="AL1029" t="s">
        <v>1835</v>
      </c>
      <c r="AM1029">
        <v>2.5</v>
      </c>
      <c r="AN1029" t="s">
        <v>1114</v>
      </c>
      <c r="AO1029" t="s">
        <v>59</v>
      </c>
      <c r="AP1029" t="s">
        <v>1781</v>
      </c>
      <c r="AQ1029">
        <v>11</v>
      </c>
      <c r="AR1029">
        <v>48</v>
      </c>
      <c r="AS1029">
        <v>131</v>
      </c>
      <c r="AT1029">
        <v>1.38</v>
      </c>
      <c r="AU1029">
        <v>4.32</v>
      </c>
      <c r="AV1029" t="s">
        <v>3819</v>
      </c>
      <c r="AW1029" t="s">
        <v>3820</v>
      </c>
      <c r="AX1029" t="s">
        <v>3821</v>
      </c>
    </row>
    <row r="1030" spans="1:50" x14ac:dyDescent="0.25">
      <c r="A1030" t="s">
        <v>3822</v>
      </c>
      <c r="B1030" t="s">
        <v>1679</v>
      </c>
      <c r="C1030">
        <v>0</v>
      </c>
      <c r="D1030">
        <v>0</v>
      </c>
      <c r="E1030" t="s">
        <v>1871</v>
      </c>
      <c r="H1030">
        <v>0</v>
      </c>
      <c r="N1030">
        <v>1</v>
      </c>
      <c r="Q1030">
        <v>1</v>
      </c>
      <c r="R1030">
        <v>0</v>
      </c>
      <c r="U1030" t="s">
        <v>1735</v>
      </c>
      <c r="V1030">
        <v>60</v>
      </c>
      <c r="W1030" t="s">
        <v>79</v>
      </c>
      <c r="X1030" t="s">
        <v>80</v>
      </c>
      <c r="Y1030">
        <v>0</v>
      </c>
      <c r="Z1030">
        <v>70.307000000000002</v>
      </c>
      <c r="AB1030" t="s">
        <v>94</v>
      </c>
      <c r="AD1030" t="s">
        <v>57</v>
      </c>
      <c r="AE1030">
        <v>0</v>
      </c>
      <c r="AF1030">
        <v>6</v>
      </c>
      <c r="AG1030">
        <v>1</v>
      </c>
      <c r="AH1030">
        <v>1.5</v>
      </c>
      <c r="AI1030">
        <v>512</v>
      </c>
      <c r="AJ1030">
        <v>512</v>
      </c>
      <c r="AK1030">
        <v>72</v>
      </c>
      <c r="AL1030" t="s">
        <v>119</v>
      </c>
      <c r="AM1030">
        <v>2.2000000000000002</v>
      </c>
      <c r="AN1030" t="s">
        <v>1902</v>
      </c>
      <c r="AO1030" t="s">
        <v>67</v>
      </c>
      <c r="AP1030" t="s">
        <v>68</v>
      </c>
      <c r="AQ1030">
        <v>15</v>
      </c>
      <c r="AR1030">
        <v>249</v>
      </c>
      <c r="AS1030">
        <v>499</v>
      </c>
      <c r="AT1030">
        <v>3.1720000000000002</v>
      </c>
      <c r="AU1030">
        <v>6.548</v>
      </c>
      <c r="AV1030" t="s">
        <v>3823</v>
      </c>
      <c r="AW1030" t="s">
        <v>3824</v>
      </c>
      <c r="AX1030" t="s">
        <v>3825</v>
      </c>
    </row>
    <row r="1031" spans="1:50" x14ac:dyDescent="0.25">
      <c r="A1031" t="s">
        <v>3826</v>
      </c>
      <c r="B1031" t="s">
        <v>1679</v>
      </c>
      <c r="C1031">
        <v>0</v>
      </c>
      <c r="D1031">
        <v>1</v>
      </c>
      <c r="E1031" t="s">
        <v>1780</v>
      </c>
      <c r="H1031">
        <v>1</v>
      </c>
      <c r="N1031">
        <v>0</v>
      </c>
      <c r="Q1031">
        <v>0</v>
      </c>
      <c r="R1031">
        <v>1</v>
      </c>
      <c r="U1031" t="s">
        <v>65</v>
      </c>
      <c r="V1031">
        <v>52</v>
      </c>
      <c r="W1031" t="s">
        <v>1726</v>
      </c>
      <c r="X1031" t="s">
        <v>55</v>
      </c>
      <c r="Y1031">
        <v>0</v>
      </c>
      <c r="Z1031">
        <v>100.69751894940001</v>
      </c>
      <c r="AB1031" t="s">
        <v>56</v>
      </c>
      <c r="AD1031" t="s">
        <v>57</v>
      </c>
      <c r="AE1031">
        <v>0</v>
      </c>
      <c r="AF1031">
        <v>6</v>
      </c>
      <c r="AG1031">
        <v>1</v>
      </c>
      <c r="AH1031">
        <v>1.5</v>
      </c>
      <c r="AI1031">
        <v>512</v>
      </c>
      <c r="AJ1031">
        <v>512</v>
      </c>
      <c r="AK1031">
        <v>80</v>
      </c>
      <c r="AL1031" t="s">
        <v>1010</v>
      </c>
      <c r="AM1031">
        <v>2</v>
      </c>
      <c r="AN1031" t="s">
        <v>1011</v>
      </c>
      <c r="AO1031" t="s">
        <v>59</v>
      </c>
      <c r="AP1031" t="s">
        <v>60</v>
      </c>
      <c r="AQ1031">
        <v>15</v>
      </c>
      <c r="AR1031">
        <v>58</v>
      </c>
      <c r="AS1031">
        <v>156</v>
      </c>
      <c r="AT1031">
        <v>1.67</v>
      </c>
      <c r="AU1031">
        <v>4.51</v>
      </c>
      <c r="AV1031" t="s">
        <v>3827</v>
      </c>
      <c r="AW1031" t="s">
        <v>1788</v>
      </c>
      <c r="AX1031" t="s">
        <v>3828</v>
      </c>
    </row>
    <row r="1032" spans="1:50" x14ac:dyDescent="0.25">
      <c r="A1032" t="s">
        <v>3829</v>
      </c>
      <c r="B1032" t="s">
        <v>1679</v>
      </c>
      <c r="C1032">
        <v>0</v>
      </c>
      <c r="D1032">
        <v>1</v>
      </c>
      <c r="E1032" t="s">
        <v>1780</v>
      </c>
      <c r="H1032">
        <v>0</v>
      </c>
      <c r="N1032">
        <v>1</v>
      </c>
      <c r="Q1032">
        <v>0</v>
      </c>
      <c r="R1032">
        <v>0</v>
      </c>
      <c r="U1032" t="s">
        <v>1687</v>
      </c>
      <c r="V1032">
        <v>38</v>
      </c>
      <c r="W1032" t="s">
        <v>1726</v>
      </c>
      <c r="X1032" t="s">
        <v>55</v>
      </c>
      <c r="Y1032">
        <v>0</v>
      </c>
      <c r="Z1032">
        <v>55.792000000000002</v>
      </c>
      <c r="AB1032" t="s">
        <v>74</v>
      </c>
      <c r="AD1032" t="s">
        <v>57</v>
      </c>
      <c r="AE1032">
        <v>0</v>
      </c>
      <c r="AF1032">
        <v>6</v>
      </c>
      <c r="AG1032">
        <v>1</v>
      </c>
      <c r="AH1032">
        <v>1.5</v>
      </c>
      <c r="AI1032">
        <v>512</v>
      </c>
      <c r="AJ1032">
        <v>512</v>
      </c>
      <c r="AK1032">
        <v>80</v>
      </c>
      <c r="AL1032" t="s">
        <v>497</v>
      </c>
      <c r="AM1032">
        <v>2</v>
      </c>
      <c r="AN1032" t="s">
        <v>996</v>
      </c>
      <c r="AO1032" t="s">
        <v>67</v>
      </c>
      <c r="AP1032" t="s">
        <v>68</v>
      </c>
      <c r="AQ1032">
        <v>15</v>
      </c>
      <c r="AR1032">
        <v>189</v>
      </c>
      <c r="AS1032">
        <v>379</v>
      </c>
      <c r="AT1032">
        <v>2.7280000000000002</v>
      </c>
      <c r="AU1032">
        <v>6.7850000000000001</v>
      </c>
      <c r="AV1032" t="s">
        <v>3830</v>
      </c>
      <c r="AW1032" t="s">
        <v>3831</v>
      </c>
      <c r="AX1032" t="s">
        <v>3832</v>
      </c>
    </row>
    <row r="1033" spans="1:50" x14ac:dyDescent="0.25">
      <c r="A1033" t="s">
        <v>3833</v>
      </c>
      <c r="B1033" t="s">
        <v>1679</v>
      </c>
      <c r="C1033">
        <v>0</v>
      </c>
      <c r="D1033">
        <v>1</v>
      </c>
      <c r="E1033" t="s">
        <v>1725</v>
      </c>
      <c r="H1033">
        <v>1</v>
      </c>
      <c r="N1033">
        <v>1</v>
      </c>
      <c r="Q1033">
        <v>0</v>
      </c>
      <c r="R1033">
        <v>0</v>
      </c>
      <c r="U1033" t="s">
        <v>1687</v>
      </c>
      <c r="V1033">
        <v>41</v>
      </c>
      <c r="W1033" t="s">
        <v>1726</v>
      </c>
      <c r="X1033" t="s">
        <v>80</v>
      </c>
      <c r="Y1033">
        <v>0</v>
      </c>
      <c r="Z1033">
        <v>73.468365514599995</v>
      </c>
      <c r="AB1033" t="s">
        <v>94</v>
      </c>
      <c r="AD1033" t="s">
        <v>57</v>
      </c>
      <c r="AE1033">
        <v>1</v>
      </c>
      <c r="AF1033">
        <v>6</v>
      </c>
      <c r="AG1033">
        <v>1</v>
      </c>
      <c r="AH1033">
        <v>1.5</v>
      </c>
      <c r="AI1033">
        <v>256</v>
      </c>
      <c r="AJ1033">
        <v>256</v>
      </c>
      <c r="AK1033">
        <v>160</v>
      </c>
      <c r="AL1033" t="s">
        <v>446</v>
      </c>
      <c r="AM1033">
        <v>0.89999997620000005</v>
      </c>
      <c r="AN1033" t="s">
        <v>1720</v>
      </c>
      <c r="AO1033" t="s">
        <v>59</v>
      </c>
      <c r="AP1033" t="s">
        <v>60</v>
      </c>
      <c r="AQ1033">
        <v>11</v>
      </c>
      <c r="AR1033">
        <v>113</v>
      </c>
      <c r="AS1033">
        <v>260</v>
      </c>
      <c r="AT1033">
        <v>1.43</v>
      </c>
      <c r="AU1033">
        <v>4.99</v>
      </c>
      <c r="AV1033" t="s">
        <v>3834</v>
      </c>
      <c r="AW1033" t="s">
        <v>3739</v>
      </c>
      <c r="AX1033" t="s">
        <v>3835</v>
      </c>
    </row>
    <row r="1034" spans="1:50" x14ac:dyDescent="0.25">
      <c r="A1034" t="s">
        <v>3836</v>
      </c>
      <c r="B1034" t="s">
        <v>1679</v>
      </c>
      <c r="C1034">
        <v>0</v>
      </c>
      <c r="D1034">
        <v>0</v>
      </c>
      <c r="E1034" t="s">
        <v>1703</v>
      </c>
      <c r="H1034">
        <v>0</v>
      </c>
      <c r="N1034">
        <v>1</v>
      </c>
      <c r="Q1034">
        <v>0</v>
      </c>
      <c r="R1034">
        <v>0</v>
      </c>
      <c r="U1034" t="s">
        <v>1687</v>
      </c>
      <c r="V1034">
        <v>57</v>
      </c>
      <c r="W1034" t="s">
        <v>79</v>
      </c>
      <c r="X1034" t="s">
        <v>80</v>
      </c>
      <c r="Y1034">
        <v>0</v>
      </c>
      <c r="Z1034">
        <v>66.224000000000004</v>
      </c>
      <c r="AB1034" t="s">
        <v>74</v>
      </c>
      <c r="AD1034" t="s">
        <v>57</v>
      </c>
      <c r="AE1034">
        <v>0</v>
      </c>
      <c r="AF1034">
        <v>6</v>
      </c>
      <c r="AG1034">
        <v>1</v>
      </c>
      <c r="AH1034">
        <v>1.5</v>
      </c>
      <c r="AI1034">
        <v>512</v>
      </c>
      <c r="AJ1034">
        <v>512</v>
      </c>
      <c r="AK1034">
        <v>72</v>
      </c>
      <c r="AL1034" t="s">
        <v>119</v>
      </c>
      <c r="AM1034">
        <v>2.2000000000000002</v>
      </c>
      <c r="AN1034" t="s">
        <v>1072</v>
      </c>
      <c r="AO1034" t="s">
        <v>67</v>
      </c>
      <c r="AP1034" t="s">
        <v>68</v>
      </c>
      <c r="AQ1034">
        <v>15</v>
      </c>
      <c r="AR1034">
        <v>209</v>
      </c>
      <c r="AS1034">
        <v>418</v>
      </c>
      <c r="AT1034">
        <v>4.28</v>
      </c>
      <c r="AU1034">
        <v>8.7439999999999998</v>
      </c>
      <c r="AV1034" t="s">
        <v>3278</v>
      </c>
      <c r="AW1034" t="s">
        <v>1960</v>
      </c>
      <c r="AX1034" t="s">
        <v>3837</v>
      </c>
    </row>
    <row r="1035" spans="1:50" x14ac:dyDescent="0.25">
      <c r="A1035" t="s">
        <v>3838</v>
      </c>
      <c r="B1035" t="s">
        <v>1679</v>
      </c>
      <c r="C1035">
        <v>0</v>
      </c>
      <c r="D1035">
        <v>1</v>
      </c>
      <c r="E1035" t="s">
        <v>1734</v>
      </c>
      <c r="H1035">
        <v>1</v>
      </c>
      <c r="N1035">
        <v>0</v>
      </c>
      <c r="Q1035">
        <v>1</v>
      </c>
      <c r="R1035">
        <v>1</v>
      </c>
      <c r="U1035" t="s">
        <v>72</v>
      </c>
      <c r="V1035">
        <v>40</v>
      </c>
      <c r="W1035" t="s">
        <v>1688</v>
      </c>
      <c r="X1035" t="s">
        <v>80</v>
      </c>
      <c r="Y1035">
        <v>0</v>
      </c>
      <c r="Z1035">
        <v>61.234999999999999</v>
      </c>
      <c r="AB1035" t="s">
        <v>74</v>
      </c>
      <c r="AD1035" t="s">
        <v>57</v>
      </c>
      <c r="AE1035">
        <v>0</v>
      </c>
      <c r="AF1035">
        <v>6</v>
      </c>
      <c r="AG1035">
        <v>1</v>
      </c>
      <c r="AH1035">
        <v>1.5</v>
      </c>
      <c r="AI1035">
        <v>512</v>
      </c>
      <c r="AJ1035">
        <v>512</v>
      </c>
      <c r="AK1035">
        <v>80</v>
      </c>
      <c r="AL1035" t="s">
        <v>196</v>
      </c>
      <c r="AM1035">
        <v>2</v>
      </c>
      <c r="AN1035" t="s">
        <v>996</v>
      </c>
      <c r="AO1035" t="s">
        <v>67</v>
      </c>
      <c r="AP1035" t="s">
        <v>68</v>
      </c>
      <c r="AQ1035">
        <v>15</v>
      </c>
      <c r="AR1035">
        <v>183</v>
      </c>
      <c r="AS1035">
        <v>366</v>
      </c>
      <c r="AT1035">
        <v>4.2</v>
      </c>
      <c r="AU1035">
        <v>7</v>
      </c>
      <c r="AV1035" t="s">
        <v>3839</v>
      </c>
      <c r="AW1035" t="s">
        <v>3840</v>
      </c>
      <c r="AX1035" t="s">
        <v>3841</v>
      </c>
    </row>
    <row r="1036" spans="1:50" x14ac:dyDescent="0.25">
      <c r="A1036" t="s">
        <v>3842</v>
      </c>
      <c r="B1036" t="s">
        <v>1679</v>
      </c>
      <c r="C1036">
        <v>0</v>
      </c>
      <c r="D1036">
        <v>0</v>
      </c>
      <c r="E1036" t="s">
        <v>1734</v>
      </c>
      <c r="H1036">
        <v>1</v>
      </c>
      <c r="N1036">
        <v>0</v>
      </c>
      <c r="Q1036">
        <v>1</v>
      </c>
      <c r="R1036">
        <v>1</v>
      </c>
      <c r="U1036" t="s">
        <v>72</v>
      </c>
      <c r="V1036">
        <v>58</v>
      </c>
      <c r="W1036" t="s">
        <v>79</v>
      </c>
      <c r="X1036" t="s">
        <v>80</v>
      </c>
      <c r="Y1036">
        <v>0</v>
      </c>
      <c r="Z1036">
        <v>72.112124155700002</v>
      </c>
      <c r="AB1036" t="s">
        <v>94</v>
      </c>
      <c r="AD1036" t="s">
        <v>57</v>
      </c>
      <c r="AE1036">
        <v>1</v>
      </c>
      <c r="AF1036">
        <v>6</v>
      </c>
      <c r="AG1036">
        <v>1</v>
      </c>
      <c r="AH1036">
        <v>1.5</v>
      </c>
      <c r="AI1036">
        <v>384</v>
      </c>
      <c r="AJ1036">
        <v>384</v>
      </c>
      <c r="AK1036">
        <v>160</v>
      </c>
      <c r="AL1036" t="s">
        <v>75</v>
      </c>
      <c r="AM1036">
        <v>1.2000000476999999</v>
      </c>
      <c r="AN1036" t="s">
        <v>1720</v>
      </c>
      <c r="AO1036" t="s">
        <v>59</v>
      </c>
      <c r="AP1036" t="s">
        <v>60</v>
      </c>
      <c r="AQ1036">
        <v>11</v>
      </c>
      <c r="AR1036">
        <v>351</v>
      </c>
      <c r="AS1036">
        <v>802</v>
      </c>
      <c r="AT1036">
        <v>1.56</v>
      </c>
      <c r="AU1036">
        <v>4.99</v>
      </c>
      <c r="AV1036" t="s">
        <v>3843</v>
      </c>
      <c r="AW1036" t="s">
        <v>3844</v>
      </c>
      <c r="AX1036" t="s">
        <v>3845</v>
      </c>
    </row>
    <row r="1037" spans="1:50" x14ac:dyDescent="0.25">
      <c r="A1037" t="s">
        <v>3846</v>
      </c>
      <c r="B1037" t="s">
        <v>1679</v>
      </c>
      <c r="C1037">
        <v>0</v>
      </c>
      <c r="D1037">
        <v>1</v>
      </c>
      <c r="E1037" t="s">
        <v>1780</v>
      </c>
      <c r="H1037">
        <v>0</v>
      </c>
      <c r="N1037">
        <v>1</v>
      </c>
      <c r="Q1037">
        <v>0</v>
      </c>
      <c r="R1037">
        <v>0</v>
      </c>
      <c r="U1037" t="s">
        <v>1687</v>
      </c>
      <c r="V1037">
        <v>47</v>
      </c>
      <c r="W1037" t="s">
        <v>1726</v>
      </c>
      <c r="X1037" t="s">
        <v>80</v>
      </c>
      <c r="Y1037">
        <v>0</v>
      </c>
      <c r="Z1037">
        <v>83.915000000000006</v>
      </c>
      <c r="AB1037" t="s">
        <v>118</v>
      </c>
      <c r="AD1037" t="s">
        <v>57</v>
      </c>
      <c r="AE1037">
        <v>0</v>
      </c>
      <c r="AF1037">
        <v>6</v>
      </c>
      <c r="AG1037">
        <v>1</v>
      </c>
      <c r="AH1037">
        <v>1.5</v>
      </c>
      <c r="AI1037">
        <v>512</v>
      </c>
      <c r="AJ1037">
        <v>512</v>
      </c>
      <c r="AK1037">
        <v>80</v>
      </c>
      <c r="AL1037" t="s">
        <v>113</v>
      </c>
      <c r="AM1037">
        <v>2</v>
      </c>
      <c r="AN1037" t="s">
        <v>996</v>
      </c>
      <c r="AO1037" t="s">
        <v>67</v>
      </c>
      <c r="AP1037" t="s">
        <v>114</v>
      </c>
      <c r="AQ1037">
        <v>15</v>
      </c>
      <c r="AR1037">
        <v>124</v>
      </c>
      <c r="AS1037">
        <v>249</v>
      </c>
      <c r="AT1037">
        <v>2.6720000000000002</v>
      </c>
      <c r="AU1037">
        <v>6.101</v>
      </c>
      <c r="AV1037" t="s">
        <v>3847</v>
      </c>
      <c r="AW1037" t="s">
        <v>3848</v>
      </c>
      <c r="AX1037" t="s">
        <v>3849</v>
      </c>
    </row>
    <row r="1038" spans="1:50" x14ac:dyDescent="0.25">
      <c r="A1038" t="s">
        <v>3850</v>
      </c>
      <c r="B1038" t="s">
        <v>1679</v>
      </c>
      <c r="C1038">
        <v>0</v>
      </c>
      <c r="D1038">
        <v>1</v>
      </c>
      <c r="E1038" t="s">
        <v>1740</v>
      </c>
      <c r="H1038">
        <v>0</v>
      </c>
      <c r="N1038">
        <v>0</v>
      </c>
      <c r="Q1038">
        <v>1</v>
      </c>
      <c r="R1038">
        <v>0</v>
      </c>
      <c r="U1038" t="s">
        <v>72</v>
      </c>
      <c r="V1038">
        <v>55</v>
      </c>
      <c r="W1038" t="s">
        <v>79</v>
      </c>
      <c r="X1038" t="s">
        <v>55</v>
      </c>
      <c r="Y1038">
        <v>0</v>
      </c>
      <c r="Z1038">
        <v>90.718000000000004</v>
      </c>
      <c r="AB1038" t="s">
        <v>118</v>
      </c>
      <c r="AD1038" t="s">
        <v>57</v>
      </c>
      <c r="AE1038">
        <v>0</v>
      </c>
      <c r="AF1038">
        <v>6</v>
      </c>
      <c r="AG1038">
        <v>1</v>
      </c>
      <c r="AH1038">
        <v>1.5</v>
      </c>
      <c r="AI1038">
        <v>512</v>
      </c>
      <c r="AJ1038">
        <v>512</v>
      </c>
      <c r="AK1038">
        <v>66</v>
      </c>
      <c r="AL1038" t="s">
        <v>196</v>
      </c>
      <c r="AM1038">
        <v>2.4</v>
      </c>
      <c r="AN1038" t="s">
        <v>1942</v>
      </c>
      <c r="AO1038" t="s">
        <v>67</v>
      </c>
      <c r="AP1038" t="s">
        <v>68</v>
      </c>
      <c r="AQ1038">
        <v>15</v>
      </c>
      <c r="AR1038">
        <v>395</v>
      </c>
      <c r="AS1038">
        <v>791</v>
      </c>
      <c r="AT1038">
        <v>2.984</v>
      </c>
      <c r="AU1038">
        <v>6.2080000000000002</v>
      </c>
      <c r="AV1038" t="s">
        <v>3851</v>
      </c>
      <c r="AW1038" t="s">
        <v>3852</v>
      </c>
      <c r="AX1038" t="s">
        <v>3853</v>
      </c>
    </row>
    <row r="1039" spans="1:50" x14ac:dyDescent="0.25">
      <c r="A1039" t="s">
        <v>3854</v>
      </c>
      <c r="B1039" t="s">
        <v>1679</v>
      </c>
      <c r="C1039">
        <v>0</v>
      </c>
      <c r="D1039">
        <v>0</v>
      </c>
      <c r="E1039" t="s">
        <v>1725</v>
      </c>
      <c r="H1039">
        <v>0</v>
      </c>
      <c r="N1039">
        <v>0</v>
      </c>
      <c r="Q1039">
        <v>0</v>
      </c>
      <c r="R1039">
        <v>0</v>
      </c>
      <c r="U1039" t="s">
        <v>65</v>
      </c>
      <c r="V1039">
        <v>53</v>
      </c>
      <c r="W1039" t="s">
        <v>79</v>
      </c>
      <c r="X1039" t="s">
        <v>80</v>
      </c>
      <c r="Y1039">
        <v>0</v>
      </c>
      <c r="Z1039">
        <v>86.183000000000007</v>
      </c>
      <c r="AB1039" t="s">
        <v>118</v>
      </c>
      <c r="AD1039" t="s">
        <v>57</v>
      </c>
      <c r="AE1039">
        <v>0</v>
      </c>
      <c r="AF1039">
        <v>6</v>
      </c>
      <c r="AG1039">
        <v>1</v>
      </c>
      <c r="AH1039">
        <v>1.5</v>
      </c>
      <c r="AI1039">
        <v>512</v>
      </c>
      <c r="AJ1039">
        <v>512</v>
      </c>
      <c r="AK1039">
        <v>66</v>
      </c>
      <c r="AL1039" t="s">
        <v>153</v>
      </c>
      <c r="AM1039">
        <v>2.4</v>
      </c>
      <c r="AN1039" t="s">
        <v>1897</v>
      </c>
      <c r="AO1039" t="s">
        <v>67</v>
      </c>
      <c r="AP1039" t="s">
        <v>68</v>
      </c>
      <c r="AQ1039">
        <v>15</v>
      </c>
      <c r="AR1039">
        <v>145</v>
      </c>
      <c r="AS1039">
        <v>291</v>
      </c>
      <c r="AT1039">
        <v>4.1159999999999997</v>
      </c>
      <c r="AU1039">
        <v>8.4320000000000004</v>
      </c>
      <c r="AV1039" t="s">
        <v>3855</v>
      </c>
      <c r="AW1039" t="s">
        <v>3856</v>
      </c>
      <c r="AX1039" t="s">
        <v>3857</v>
      </c>
    </row>
    <row r="1040" spans="1:50" x14ac:dyDescent="0.25">
      <c r="A1040" t="s">
        <v>3858</v>
      </c>
      <c r="B1040" t="s">
        <v>1679</v>
      </c>
      <c r="C1040">
        <v>0</v>
      </c>
      <c r="D1040">
        <v>0</v>
      </c>
      <c r="E1040" t="s">
        <v>1686</v>
      </c>
      <c r="H1040">
        <v>1</v>
      </c>
      <c r="N1040">
        <v>0</v>
      </c>
      <c r="Q1040">
        <v>0</v>
      </c>
      <c r="R1040">
        <v>1</v>
      </c>
      <c r="U1040" t="s">
        <v>65</v>
      </c>
      <c r="V1040">
        <v>45</v>
      </c>
      <c r="W1040" t="s">
        <v>1688</v>
      </c>
      <c r="X1040" t="s">
        <v>80</v>
      </c>
      <c r="Y1040">
        <v>0</v>
      </c>
      <c r="Z1040">
        <v>54.884999999999998</v>
      </c>
      <c r="AB1040" t="s">
        <v>74</v>
      </c>
      <c r="AD1040" t="s">
        <v>57</v>
      </c>
      <c r="AE1040">
        <v>0</v>
      </c>
      <c r="AF1040">
        <v>6</v>
      </c>
      <c r="AG1040">
        <v>1</v>
      </c>
      <c r="AH1040">
        <v>1.5</v>
      </c>
      <c r="AI1040">
        <v>512</v>
      </c>
      <c r="AJ1040">
        <v>512</v>
      </c>
      <c r="AK1040">
        <v>72</v>
      </c>
      <c r="AL1040" t="s">
        <v>119</v>
      </c>
      <c r="AM1040">
        <v>2.2000000000000002</v>
      </c>
      <c r="AN1040" t="s">
        <v>1072</v>
      </c>
      <c r="AO1040" t="s">
        <v>67</v>
      </c>
      <c r="AP1040" t="s">
        <v>68</v>
      </c>
      <c r="AQ1040">
        <v>15</v>
      </c>
      <c r="AR1040">
        <v>261</v>
      </c>
      <c r="AS1040">
        <v>522</v>
      </c>
      <c r="AT1040">
        <v>4.28</v>
      </c>
      <c r="AU1040">
        <v>8.7479999999999993</v>
      </c>
      <c r="AV1040" t="s">
        <v>3859</v>
      </c>
      <c r="AW1040" t="s">
        <v>3860</v>
      </c>
      <c r="AX1040" t="s">
        <v>3861</v>
      </c>
    </row>
    <row r="1041" spans="1:50" x14ac:dyDescent="0.25">
      <c r="A1041" t="s">
        <v>3862</v>
      </c>
      <c r="B1041" t="s">
        <v>1679</v>
      </c>
      <c r="C1041">
        <v>0</v>
      </c>
      <c r="D1041">
        <v>1</v>
      </c>
      <c r="E1041" t="s">
        <v>1703</v>
      </c>
      <c r="H1041">
        <v>0</v>
      </c>
      <c r="N1041">
        <v>0</v>
      </c>
      <c r="Q1041">
        <v>0</v>
      </c>
      <c r="R1041">
        <v>0</v>
      </c>
      <c r="U1041" t="s">
        <v>65</v>
      </c>
      <c r="V1041">
        <v>52</v>
      </c>
      <c r="X1041" t="s">
        <v>55</v>
      </c>
      <c r="Y1041">
        <v>0</v>
      </c>
      <c r="Z1041">
        <v>63.049347450299997</v>
      </c>
      <c r="AB1041" t="s">
        <v>74</v>
      </c>
      <c r="AD1041" t="s">
        <v>57</v>
      </c>
      <c r="AE1041">
        <v>0</v>
      </c>
      <c r="AF1041">
        <v>6</v>
      </c>
      <c r="AG1041">
        <v>1</v>
      </c>
      <c r="AH1041">
        <v>1.5</v>
      </c>
      <c r="AI1041">
        <v>512</v>
      </c>
      <c r="AJ1041">
        <v>512</v>
      </c>
      <c r="AK1041">
        <v>80</v>
      </c>
      <c r="AL1041" t="s">
        <v>1010</v>
      </c>
      <c r="AM1041">
        <v>2</v>
      </c>
      <c r="AN1041" t="s">
        <v>1011</v>
      </c>
      <c r="AO1041" t="s">
        <v>59</v>
      </c>
      <c r="AP1041" t="s">
        <v>60</v>
      </c>
      <c r="AQ1041">
        <v>11</v>
      </c>
      <c r="AR1041">
        <v>70</v>
      </c>
      <c r="AS1041">
        <v>193</v>
      </c>
      <c r="AT1041">
        <v>1.67</v>
      </c>
      <c r="AU1041">
        <v>4.51</v>
      </c>
      <c r="AV1041" t="s">
        <v>3863</v>
      </c>
      <c r="AW1041" t="s">
        <v>3864</v>
      </c>
      <c r="AX1041" t="s">
        <v>3865</v>
      </c>
    </row>
    <row r="1042" spans="1:50" x14ac:dyDescent="0.25">
      <c r="A1042" t="s">
        <v>3866</v>
      </c>
      <c r="B1042" t="s">
        <v>1679</v>
      </c>
      <c r="C1042">
        <v>0</v>
      </c>
      <c r="D1042">
        <v>0</v>
      </c>
      <c r="E1042" t="s">
        <v>1734</v>
      </c>
      <c r="H1042">
        <v>1</v>
      </c>
      <c r="N1042">
        <v>1</v>
      </c>
      <c r="Q1042">
        <v>1</v>
      </c>
      <c r="R1042">
        <v>0</v>
      </c>
      <c r="U1042" t="s">
        <v>1735</v>
      </c>
      <c r="V1042">
        <v>56</v>
      </c>
      <c r="X1042" t="s">
        <v>80</v>
      </c>
      <c r="Y1042">
        <v>0</v>
      </c>
      <c r="Z1042">
        <v>67.132000000000005</v>
      </c>
      <c r="AB1042" t="s">
        <v>74</v>
      </c>
      <c r="AD1042" t="s">
        <v>57</v>
      </c>
      <c r="AE1042">
        <v>0</v>
      </c>
      <c r="AF1042">
        <v>6</v>
      </c>
      <c r="AG1042">
        <v>1</v>
      </c>
      <c r="AH1042">
        <v>1.5</v>
      </c>
      <c r="AI1042">
        <v>512</v>
      </c>
      <c r="AJ1042">
        <v>512</v>
      </c>
      <c r="AK1042">
        <v>76</v>
      </c>
      <c r="AL1042" t="s">
        <v>2022</v>
      </c>
      <c r="AM1042">
        <v>2.4</v>
      </c>
      <c r="AN1042" t="s">
        <v>1942</v>
      </c>
      <c r="AO1042" t="s">
        <v>67</v>
      </c>
      <c r="AP1042" t="s">
        <v>68</v>
      </c>
      <c r="AQ1042">
        <v>15</v>
      </c>
      <c r="AR1042">
        <v>334</v>
      </c>
      <c r="AS1042">
        <v>669</v>
      </c>
      <c r="AT1042">
        <v>3.0880000000000001</v>
      </c>
      <c r="AU1042">
        <v>6.36</v>
      </c>
      <c r="AV1042" t="s">
        <v>3867</v>
      </c>
      <c r="AW1042" t="s">
        <v>3868</v>
      </c>
      <c r="AX1042" t="s">
        <v>3869</v>
      </c>
    </row>
    <row r="1043" spans="1:50" x14ac:dyDescent="0.25">
      <c r="A1043" t="s">
        <v>3870</v>
      </c>
      <c r="B1043" t="s">
        <v>1679</v>
      </c>
      <c r="C1043">
        <v>0</v>
      </c>
      <c r="D1043">
        <v>0</v>
      </c>
      <c r="E1043" t="s">
        <v>1703</v>
      </c>
      <c r="H1043">
        <v>1</v>
      </c>
      <c r="N1043">
        <v>0</v>
      </c>
      <c r="Q1043">
        <v>0</v>
      </c>
      <c r="R1043">
        <v>1</v>
      </c>
      <c r="U1043" t="s">
        <v>65</v>
      </c>
      <c r="V1043">
        <v>48</v>
      </c>
      <c r="W1043" t="s">
        <v>1726</v>
      </c>
      <c r="X1043" t="s">
        <v>80</v>
      </c>
      <c r="Y1043">
        <v>0</v>
      </c>
      <c r="AD1043" t="s">
        <v>57</v>
      </c>
      <c r="AE1043">
        <v>0</v>
      </c>
      <c r="AF1043">
        <v>6</v>
      </c>
      <c r="AG1043">
        <v>1</v>
      </c>
      <c r="AH1043">
        <v>3</v>
      </c>
      <c r="AI1043">
        <v>512</v>
      </c>
      <c r="AJ1043">
        <v>512</v>
      </c>
      <c r="AK1043">
        <v>134</v>
      </c>
      <c r="AL1043" t="s">
        <v>81</v>
      </c>
      <c r="AM1043">
        <v>2.4</v>
      </c>
      <c r="AN1043" t="s">
        <v>1786</v>
      </c>
      <c r="AO1043" t="s">
        <v>67</v>
      </c>
      <c r="AP1043" t="s">
        <v>68</v>
      </c>
      <c r="AQ1043">
        <v>15</v>
      </c>
      <c r="AR1043">
        <v>326</v>
      </c>
      <c r="AS1043">
        <v>652</v>
      </c>
      <c r="AT1043">
        <v>4.25</v>
      </c>
      <c r="AU1043">
        <v>7.8840000000000003</v>
      </c>
      <c r="AV1043" t="s">
        <v>1817</v>
      </c>
      <c r="AW1043" t="s">
        <v>3871</v>
      </c>
      <c r="AX1043" t="s">
        <v>3872</v>
      </c>
    </row>
    <row r="1044" spans="1:50" x14ac:dyDescent="0.25">
      <c r="A1044" t="s">
        <v>3873</v>
      </c>
      <c r="B1044" t="s">
        <v>1679</v>
      </c>
      <c r="C1044">
        <v>0</v>
      </c>
      <c r="D1044">
        <v>1</v>
      </c>
      <c r="E1044" t="s">
        <v>1703</v>
      </c>
      <c r="H1044">
        <v>0</v>
      </c>
      <c r="N1044">
        <v>1</v>
      </c>
      <c r="Q1044">
        <v>0</v>
      </c>
      <c r="R1044">
        <v>1</v>
      </c>
      <c r="U1044" t="s">
        <v>1687</v>
      </c>
      <c r="V1044">
        <v>43</v>
      </c>
      <c r="X1044" t="s">
        <v>55</v>
      </c>
      <c r="Y1044">
        <v>0</v>
      </c>
      <c r="Z1044">
        <v>86.635999999999996</v>
      </c>
      <c r="AB1044" t="s">
        <v>118</v>
      </c>
      <c r="AD1044" t="s">
        <v>57</v>
      </c>
      <c r="AE1044">
        <v>0</v>
      </c>
      <c r="AF1044">
        <v>6</v>
      </c>
      <c r="AG1044">
        <v>1</v>
      </c>
      <c r="AH1044">
        <v>1.5</v>
      </c>
      <c r="AI1044">
        <v>512</v>
      </c>
      <c r="AJ1044">
        <v>512</v>
      </c>
      <c r="AK1044">
        <v>72</v>
      </c>
      <c r="AL1044" t="s">
        <v>119</v>
      </c>
      <c r="AM1044">
        <v>2.2000000000000002</v>
      </c>
      <c r="AN1044" t="s">
        <v>1072</v>
      </c>
      <c r="AO1044" t="s">
        <v>67</v>
      </c>
      <c r="AP1044" t="s">
        <v>68</v>
      </c>
      <c r="AQ1044">
        <v>15</v>
      </c>
      <c r="AR1044">
        <v>309</v>
      </c>
      <c r="AS1044">
        <v>619</v>
      </c>
      <c r="AT1044">
        <v>4.2359999999999998</v>
      </c>
      <c r="AU1044">
        <v>8.6679999999999993</v>
      </c>
      <c r="AV1044" t="s">
        <v>3874</v>
      </c>
      <c r="AW1044" t="s">
        <v>3875</v>
      </c>
      <c r="AX1044" t="s">
        <v>3876</v>
      </c>
    </row>
    <row r="1045" spans="1:50" x14ac:dyDescent="0.25">
      <c r="A1045" t="s">
        <v>3877</v>
      </c>
      <c r="B1045" t="s">
        <v>1679</v>
      </c>
      <c r="C1045">
        <v>0</v>
      </c>
      <c r="D1045">
        <v>0</v>
      </c>
      <c r="E1045" t="s">
        <v>1725</v>
      </c>
      <c r="H1045">
        <v>0</v>
      </c>
      <c r="N1045">
        <v>0</v>
      </c>
      <c r="Q1045">
        <v>0</v>
      </c>
      <c r="R1045">
        <v>1</v>
      </c>
      <c r="U1045" t="s">
        <v>65</v>
      </c>
      <c r="V1045">
        <v>35</v>
      </c>
      <c r="W1045" t="s">
        <v>1688</v>
      </c>
      <c r="X1045" t="s">
        <v>80</v>
      </c>
      <c r="Y1045">
        <v>0</v>
      </c>
      <c r="Z1045">
        <v>86.182561262999997</v>
      </c>
      <c r="AB1045" t="s">
        <v>118</v>
      </c>
      <c r="AD1045" t="s">
        <v>57</v>
      </c>
      <c r="AE1045">
        <v>1</v>
      </c>
      <c r="AF1045">
        <v>6</v>
      </c>
      <c r="AG1045">
        <v>1</v>
      </c>
      <c r="AH1045">
        <v>1.5</v>
      </c>
      <c r="AI1045">
        <v>384</v>
      </c>
      <c r="AJ1045">
        <v>384</v>
      </c>
      <c r="AK1045">
        <v>144</v>
      </c>
      <c r="AL1045" t="s">
        <v>3685</v>
      </c>
      <c r="AM1045">
        <v>1.2000000476999999</v>
      </c>
      <c r="AN1045" t="s">
        <v>2146</v>
      </c>
      <c r="AO1045" t="s">
        <v>59</v>
      </c>
      <c r="AP1045" t="s">
        <v>2147</v>
      </c>
      <c r="AQ1045">
        <v>11</v>
      </c>
      <c r="AR1045">
        <v>33</v>
      </c>
      <c r="AS1045">
        <v>88</v>
      </c>
      <c r="AT1045">
        <v>1.57</v>
      </c>
      <c r="AU1045">
        <v>4.57</v>
      </c>
      <c r="AV1045" t="s">
        <v>2148</v>
      </c>
      <c r="AW1045" t="s">
        <v>2605</v>
      </c>
      <c r="AX1045" t="s">
        <v>3878</v>
      </c>
    </row>
    <row r="1046" spans="1:50" x14ac:dyDescent="0.25">
      <c r="A1046" t="s">
        <v>3879</v>
      </c>
      <c r="B1046" t="s">
        <v>1679</v>
      </c>
      <c r="C1046">
        <v>0</v>
      </c>
      <c r="D1046">
        <v>1</v>
      </c>
      <c r="E1046" t="s">
        <v>1871</v>
      </c>
      <c r="H1046">
        <v>0</v>
      </c>
      <c r="N1046">
        <v>1</v>
      </c>
      <c r="Q1046">
        <v>1</v>
      </c>
      <c r="R1046">
        <v>0</v>
      </c>
      <c r="U1046" t="s">
        <v>1735</v>
      </c>
      <c r="V1046">
        <v>29</v>
      </c>
      <c r="W1046" t="s">
        <v>1688</v>
      </c>
      <c r="X1046" t="s">
        <v>80</v>
      </c>
      <c r="Y1046">
        <v>0</v>
      </c>
      <c r="Z1046">
        <v>52.162999999999997</v>
      </c>
      <c r="AB1046" t="s">
        <v>74</v>
      </c>
      <c r="AD1046" t="s">
        <v>57</v>
      </c>
      <c r="AE1046">
        <v>0</v>
      </c>
      <c r="AF1046">
        <v>6</v>
      </c>
      <c r="AG1046">
        <v>1</v>
      </c>
      <c r="AH1046">
        <v>3</v>
      </c>
      <c r="AI1046">
        <v>512</v>
      </c>
      <c r="AJ1046">
        <v>512</v>
      </c>
      <c r="AK1046">
        <v>134</v>
      </c>
      <c r="AL1046" t="s">
        <v>81</v>
      </c>
      <c r="AM1046">
        <v>2.4</v>
      </c>
      <c r="AN1046" t="s">
        <v>1786</v>
      </c>
      <c r="AO1046" t="s">
        <v>67</v>
      </c>
      <c r="AP1046" t="s">
        <v>68</v>
      </c>
      <c r="AQ1046">
        <v>15</v>
      </c>
      <c r="AR1046">
        <v>374</v>
      </c>
      <c r="AS1046">
        <v>749</v>
      </c>
      <c r="AT1046">
        <v>2.8479999999999999</v>
      </c>
      <c r="AU1046">
        <v>7.7809999999999997</v>
      </c>
      <c r="AV1046" t="s">
        <v>1817</v>
      </c>
      <c r="AW1046" t="s">
        <v>2099</v>
      </c>
      <c r="AX1046" t="s">
        <v>3880</v>
      </c>
    </row>
    <row r="1047" spans="1:50" x14ac:dyDescent="0.25">
      <c r="A1047" t="s">
        <v>3881</v>
      </c>
      <c r="B1047" t="s">
        <v>1679</v>
      </c>
      <c r="C1047">
        <v>0</v>
      </c>
      <c r="D1047">
        <v>1</v>
      </c>
      <c r="E1047" t="s">
        <v>1680</v>
      </c>
      <c r="H1047">
        <v>0</v>
      </c>
      <c r="N1047">
        <v>1</v>
      </c>
      <c r="Q1047">
        <v>0</v>
      </c>
      <c r="R1047">
        <v>1</v>
      </c>
      <c r="U1047" t="s">
        <v>1687</v>
      </c>
      <c r="V1047">
        <v>48</v>
      </c>
      <c r="W1047" t="s">
        <v>1688</v>
      </c>
      <c r="X1047" t="s">
        <v>80</v>
      </c>
      <c r="Y1047">
        <v>0</v>
      </c>
      <c r="Z1047">
        <v>68</v>
      </c>
      <c r="AB1047" t="s">
        <v>74</v>
      </c>
      <c r="AD1047" t="s">
        <v>57</v>
      </c>
      <c r="AE1047">
        <v>0</v>
      </c>
      <c r="AF1047">
        <v>6</v>
      </c>
      <c r="AG1047">
        <v>1</v>
      </c>
      <c r="AH1047">
        <v>3</v>
      </c>
      <c r="AI1047">
        <v>512</v>
      </c>
      <c r="AJ1047">
        <v>512</v>
      </c>
      <c r="AK1047">
        <v>160</v>
      </c>
      <c r="AL1047" t="s">
        <v>2372</v>
      </c>
      <c r="AM1047">
        <v>2</v>
      </c>
      <c r="AN1047" t="s">
        <v>1419</v>
      </c>
      <c r="AO1047" t="s">
        <v>1155</v>
      </c>
      <c r="AP1047" t="s">
        <v>1767</v>
      </c>
      <c r="AQ1047">
        <v>11</v>
      </c>
      <c r="AR1047">
        <v>1609</v>
      </c>
      <c r="AS1047">
        <v>2797</v>
      </c>
      <c r="AT1047">
        <v>1.73</v>
      </c>
      <c r="AU1047">
        <v>4</v>
      </c>
      <c r="AV1047" t="s">
        <v>3882</v>
      </c>
      <c r="AW1047" t="s">
        <v>3883</v>
      </c>
      <c r="AX1047" t="s">
        <v>3884</v>
      </c>
    </row>
    <row r="1048" spans="1:50" x14ac:dyDescent="0.25">
      <c r="A1048" t="s">
        <v>3885</v>
      </c>
      <c r="B1048" t="s">
        <v>1679</v>
      </c>
      <c r="C1048">
        <v>0</v>
      </c>
      <c r="D1048">
        <v>1</v>
      </c>
      <c r="E1048" t="s">
        <v>1725</v>
      </c>
      <c r="H1048">
        <v>0</v>
      </c>
      <c r="N1048">
        <v>1</v>
      </c>
      <c r="Q1048">
        <v>0</v>
      </c>
      <c r="R1048">
        <v>0</v>
      </c>
      <c r="U1048" t="s">
        <v>1687</v>
      </c>
      <c r="V1048">
        <v>53</v>
      </c>
      <c r="X1048" t="s">
        <v>80</v>
      </c>
      <c r="Y1048">
        <v>0</v>
      </c>
      <c r="Z1048">
        <v>92.02</v>
      </c>
      <c r="AA1048">
        <v>1.7</v>
      </c>
      <c r="AB1048" t="s">
        <v>118</v>
      </c>
      <c r="AD1048" t="s">
        <v>57</v>
      </c>
      <c r="AE1048">
        <v>1</v>
      </c>
      <c r="AF1048">
        <v>6</v>
      </c>
      <c r="AG1048">
        <v>1</v>
      </c>
      <c r="AH1048">
        <v>1.5</v>
      </c>
      <c r="AI1048">
        <v>384</v>
      </c>
      <c r="AJ1048">
        <v>384</v>
      </c>
      <c r="AK1048">
        <v>176</v>
      </c>
      <c r="AL1048" t="s">
        <v>1727</v>
      </c>
      <c r="AM1048">
        <v>1.1000000238000001</v>
      </c>
      <c r="AN1048" t="s">
        <v>1720</v>
      </c>
      <c r="AO1048" t="s">
        <v>59</v>
      </c>
      <c r="AP1048" t="s">
        <v>60</v>
      </c>
      <c r="AQ1048">
        <v>11</v>
      </c>
      <c r="AR1048">
        <v>57</v>
      </c>
      <c r="AS1048">
        <v>141</v>
      </c>
      <c r="AT1048">
        <v>1.5</v>
      </c>
      <c r="AU1048">
        <v>4.0999999999999996</v>
      </c>
      <c r="AV1048" t="s">
        <v>3886</v>
      </c>
      <c r="AW1048" t="s">
        <v>2088</v>
      </c>
      <c r="AX1048" t="s">
        <v>3887</v>
      </c>
    </row>
    <row r="1049" spans="1:50" x14ac:dyDescent="0.25">
      <c r="A1049" t="s">
        <v>3888</v>
      </c>
      <c r="B1049" t="s">
        <v>1679</v>
      </c>
      <c r="C1049">
        <v>0</v>
      </c>
      <c r="D1049">
        <v>0</v>
      </c>
      <c r="E1049" t="s">
        <v>1740</v>
      </c>
      <c r="H1049">
        <v>0</v>
      </c>
      <c r="N1049">
        <v>0</v>
      </c>
      <c r="Q1049">
        <v>1</v>
      </c>
      <c r="R1049">
        <v>1</v>
      </c>
      <c r="U1049" t="s">
        <v>72</v>
      </c>
      <c r="V1049">
        <v>46</v>
      </c>
      <c r="W1049" t="s">
        <v>1726</v>
      </c>
      <c r="X1049" t="s">
        <v>80</v>
      </c>
      <c r="Y1049">
        <v>0</v>
      </c>
      <c r="Z1049">
        <v>72.574788432000005</v>
      </c>
      <c r="AB1049" t="s">
        <v>94</v>
      </c>
      <c r="AD1049" t="s">
        <v>57</v>
      </c>
      <c r="AE1049">
        <v>1</v>
      </c>
      <c r="AF1049">
        <v>6</v>
      </c>
      <c r="AG1049">
        <v>1</v>
      </c>
      <c r="AH1049">
        <v>1.5</v>
      </c>
      <c r="AI1049">
        <v>384</v>
      </c>
      <c r="AJ1049">
        <v>384</v>
      </c>
      <c r="AK1049">
        <v>144</v>
      </c>
      <c r="AL1049" t="s">
        <v>1394</v>
      </c>
      <c r="AM1049">
        <v>1.2000000476999999</v>
      </c>
      <c r="AN1049" t="s">
        <v>2146</v>
      </c>
      <c r="AO1049" t="s">
        <v>59</v>
      </c>
      <c r="AP1049" t="s">
        <v>2147</v>
      </c>
      <c r="AQ1049">
        <v>11</v>
      </c>
      <c r="AR1049">
        <v>21</v>
      </c>
      <c r="AS1049">
        <v>55</v>
      </c>
      <c r="AT1049">
        <v>1.62</v>
      </c>
      <c r="AU1049">
        <v>4.57</v>
      </c>
      <c r="AV1049" t="s">
        <v>2198</v>
      </c>
      <c r="AW1049" t="s">
        <v>3889</v>
      </c>
      <c r="AX1049" t="s">
        <v>3890</v>
      </c>
    </row>
    <row r="1050" spans="1:50" x14ac:dyDescent="0.25">
      <c r="A1050" t="s">
        <v>3891</v>
      </c>
      <c r="B1050" t="s">
        <v>1679</v>
      </c>
      <c r="C1050">
        <v>0</v>
      </c>
      <c r="D1050">
        <v>0</v>
      </c>
      <c r="E1050" t="s">
        <v>1725</v>
      </c>
      <c r="H1050">
        <v>0</v>
      </c>
      <c r="N1050">
        <v>0</v>
      </c>
      <c r="Q1050">
        <v>0</v>
      </c>
      <c r="R1050">
        <v>1</v>
      </c>
      <c r="U1050" t="s">
        <v>65</v>
      </c>
      <c r="V1050">
        <v>48</v>
      </c>
      <c r="X1050" t="s">
        <v>80</v>
      </c>
      <c r="Y1050">
        <v>0</v>
      </c>
      <c r="Z1050">
        <v>73.028000000000006</v>
      </c>
      <c r="AB1050" t="s">
        <v>94</v>
      </c>
      <c r="AD1050" t="s">
        <v>57</v>
      </c>
      <c r="AE1050">
        <v>0</v>
      </c>
      <c r="AF1050">
        <v>6</v>
      </c>
      <c r="AG1050">
        <v>1</v>
      </c>
      <c r="AH1050">
        <v>1.5</v>
      </c>
      <c r="AI1050">
        <v>512</v>
      </c>
      <c r="AJ1050">
        <v>512</v>
      </c>
      <c r="AK1050">
        <v>66</v>
      </c>
      <c r="AL1050" t="s">
        <v>66</v>
      </c>
      <c r="AM1050">
        <v>2.4</v>
      </c>
      <c r="AN1050" t="s">
        <v>1942</v>
      </c>
      <c r="AO1050" t="s">
        <v>67</v>
      </c>
      <c r="AP1050" t="s">
        <v>68</v>
      </c>
      <c r="AQ1050">
        <v>15</v>
      </c>
      <c r="AR1050">
        <v>937</v>
      </c>
      <c r="AS1050">
        <v>1875</v>
      </c>
      <c r="AT1050">
        <v>3.02</v>
      </c>
      <c r="AU1050">
        <v>6.2439999999999998</v>
      </c>
      <c r="AV1050" t="s">
        <v>3892</v>
      </c>
      <c r="AW1050" t="s">
        <v>2199</v>
      </c>
      <c r="AX1050" t="s">
        <v>3893</v>
      </c>
    </row>
    <row r="1051" spans="1:50" x14ac:dyDescent="0.25">
      <c r="A1051" t="s">
        <v>3894</v>
      </c>
      <c r="B1051" t="s">
        <v>1679</v>
      </c>
      <c r="C1051">
        <v>0</v>
      </c>
      <c r="D1051">
        <v>0</v>
      </c>
      <c r="E1051" t="s">
        <v>1698</v>
      </c>
      <c r="H1051">
        <v>1</v>
      </c>
      <c r="N1051">
        <v>0</v>
      </c>
      <c r="Q1051">
        <v>0</v>
      </c>
      <c r="R1051">
        <v>1</v>
      </c>
      <c r="U1051" t="s">
        <v>65</v>
      </c>
      <c r="V1051">
        <v>29</v>
      </c>
      <c r="W1051" t="s">
        <v>1688</v>
      </c>
      <c r="X1051" t="s">
        <v>55</v>
      </c>
      <c r="Y1051">
        <v>0</v>
      </c>
      <c r="Z1051">
        <v>84.822000000000003</v>
      </c>
      <c r="AB1051" t="s">
        <v>118</v>
      </c>
      <c r="AD1051" t="s">
        <v>57</v>
      </c>
      <c r="AE1051">
        <v>0</v>
      </c>
      <c r="AF1051">
        <v>6</v>
      </c>
      <c r="AG1051">
        <v>1</v>
      </c>
      <c r="AH1051">
        <v>3</v>
      </c>
      <c r="AI1051">
        <v>512</v>
      </c>
      <c r="AJ1051">
        <v>512</v>
      </c>
      <c r="AK1051">
        <v>134</v>
      </c>
      <c r="AL1051" t="s">
        <v>88</v>
      </c>
      <c r="AM1051">
        <v>2.4</v>
      </c>
      <c r="AN1051" t="s">
        <v>1786</v>
      </c>
      <c r="AO1051" t="s">
        <v>67</v>
      </c>
      <c r="AP1051" t="s">
        <v>68</v>
      </c>
      <c r="AQ1051">
        <v>15</v>
      </c>
      <c r="AR1051">
        <v>316</v>
      </c>
      <c r="AS1051">
        <v>633</v>
      </c>
      <c r="AT1051">
        <v>2.7559999999999998</v>
      </c>
      <c r="AU1051">
        <v>6.9009999999999998</v>
      </c>
      <c r="AV1051" t="s">
        <v>1817</v>
      </c>
      <c r="AW1051" t="s">
        <v>3337</v>
      </c>
      <c r="AX1051" t="s">
        <v>3895</v>
      </c>
    </row>
    <row r="1052" spans="1:50" x14ac:dyDescent="0.25">
      <c r="A1052" t="s">
        <v>3896</v>
      </c>
      <c r="B1052" t="s">
        <v>1679</v>
      </c>
      <c r="C1052">
        <v>0</v>
      </c>
      <c r="D1052">
        <v>0</v>
      </c>
      <c r="E1052" t="s">
        <v>1740</v>
      </c>
      <c r="H1052">
        <v>0</v>
      </c>
      <c r="N1052">
        <v>1</v>
      </c>
      <c r="Q1052">
        <v>0</v>
      </c>
      <c r="R1052">
        <v>1</v>
      </c>
      <c r="U1052" t="s">
        <v>1687</v>
      </c>
      <c r="V1052">
        <v>34</v>
      </c>
      <c r="W1052" t="s">
        <v>1726</v>
      </c>
      <c r="X1052" t="s">
        <v>80</v>
      </c>
      <c r="Y1052">
        <v>0</v>
      </c>
      <c r="AD1052" t="s">
        <v>57</v>
      </c>
      <c r="AE1052">
        <v>0</v>
      </c>
      <c r="AF1052">
        <v>6</v>
      </c>
      <c r="AG1052">
        <v>1</v>
      </c>
      <c r="AH1052">
        <v>1.5</v>
      </c>
      <c r="AI1052">
        <v>512</v>
      </c>
      <c r="AJ1052">
        <v>512</v>
      </c>
      <c r="AK1052">
        <v>80</v>
      </c>
      <c r="AL1052" t="s">
        <v>88</v>
      </c>
      <c r="AM1052">
        <v>2</v>
      </c>
      <c r="AN1052" t="s">
        <v>1681</v>
      </c>
      <c r="AO1052" t="s">
        <v>67</v>
      </c>
      <c r="AP1052" t="s">
        <v>68</v>
      </c>
      <c r="AQ1052">
        <v>15</v>
      </c>
      <c r="AR1052">
        <v>271</v>
      </c>
      <c r="AS1052">
        <v>543</v>
      </c>
      <c r="AT1052">
        <v>2.528</v>
      </c>
      <c r="AU1052">
        <v>5.1840000000000002</v>
      </c>
      <c r="AV1052" t="s">
        <v>3897</v>
      </c>
      <c r="AW1052" t="s">
        <v>3691</v>
      </c>
      <c r="AX1052" t="s">
        <v>3898</v>
      </c>
    </row>
    <row r="1053" spans="1:50" x14ac:dyDescent="0.25">
      <c r="A1053" t="s">
        <v>3899</v>
      </c>
      <c r="B1053" t="s">
        <v>1679</v>
      </c>
      <c r="C1053">
        <v>0</v>
      </c>
      <c r="D1053">
        <v>1</v>
      </c>
      <c r="E1053" t="s">
        <v>1686</v>
      </c>
      <c r="H1053">
        <v>1</v>
      </c>
      <c r="N1053">
        <v>0</v>
      </c>
      <c r="Q1053">
        <v>0</v>
      </c>
      <c r="R1053">
        <v>1</v>
      </c>
      <c r="U1053" t="s">
        <v>65</v>
      </c>
      <c r="V1053">
        <v>40</v>
      </c>
      <c r="W1053" t="s">
        <v>1688</v>
      </c>
      <c r="X1053" t="s">
        <v>55</v>
      </c>
      <c r="Y1053">
        <v>0</v>
      </c>
      <c r="Z1053">
        <v>68.492456582700001</v>
      </c>
      <c r="AA1053">
        <v>1.6256032533</v>
      </c>
      <c r="AB1053" t="s">
        <v>94</v>
      </c>
      <c r="AD1053" t="s">
        <v>57</v>
      </c>
      <c r="AE1053">
        <v>0</v>
      </c>
      <c r="AF1053">
        <v>6</v>
      </c>
      <c r="AG1053">
        <v>1</v>
      </c>
      <c r="AH1053">
        <v>1.5</v>
      </c>
      <c r="AI1053">
        <v>512</v>
      </c>
      <c r="AJ1053">
        <v>512</v>
      </c>
      <c r="AK1053">
        <v>80</v>
      </c>
      <c r="AL1053" t="s">
        <v>1010</v>
      </c>
      <c r="AM1053">
        <v>2</v>
      </c>
      <c r="AN1053" t="s">
        <v>1011</v>
      </c>
      <c r="AO1053" t="s">
        <v>59</v>
      </c>
      <c r="AP1053" t="s">
        <v>60</v>
      </c>
      <c r="AQ1053">
        <v>11</v>
      </c>
      <c r="AR1053">
        <v>83</v>
      </c>
      <c r="AS1053">
        <v>210</v>
      </c>
      <c r="AT1053">
        <v>1.81</v>
      </c>
      <c r="AU1053">
        <v>4.33</v>
      </c>
      <c r="AV1053" t="s">
        <v>3900</v>
      </c>
      <c r="AW1053" t="s">
        <v>1864</v>
      </c>
      <c r="AX1053" t="s">
        <v>3901</v>
      </c>
    </row>
    <row r="1054" spans="1:50" x14ac:dyDescent="0.25">
      <c r="A1054" t="s">
        <v>3902</v>
      </c>
      <c r="B1054" t="s">
        <v>1679</v>
      </c>
      <c r="C1054">
        <v>0</v>
      </c>
      <c r="D1054">
        <v>0</v>
      </c>
      <c r="E1054" t="s">
        <v>1839</v>
      </c>
      <c r="H1054">
        <v>0</v>
      </c>
      <c r="N1054">
        <v>1</v>
      </c>
      <c r="Q1054">
        <v>1</v>
      </c>
      <c r="R1054">
        <v>0</v>
      </c>
      <c r="U1054" t="s">
        <v>1735</v>
      </c>
      <c r="V1054">
        <v>52</v>
      </c>
      <c r="W1054" t="s">
        <v>1688</v>
      </c>
      <c r="X1054" t="s">
        <v>80</v>
      </c>
      <c r="Y1054">
        <v>0</v>
      </c>
      <c r="Z1054">
        <v>107</v>
      </c>
      <c r="AB1054" t="s">
        <v>56</v>
      </c>
      <c r="AD1054" t="s">
        <v>57</v>
      </c>
      <c r="AE1054">
        <v>0</v>
      </c>
      <c r="AF1054">
        <v>6</v>
      </c>
      <c r="AG1054">
        <v>1</v>
      </c>
      <c r="AH1054">
        <v>1.5</v>
      </c>
      <c r="AI1054">
        <v>512</v>
      </c>
      <c r="AJ1054">
        <v>512</v>
      </c>
      <c r="AK1054">
        <v>160</v>
      </c>
      <c r="AL1054" t="s">
        <v>1010</v>
      </c>
      <c r="AM1054">
        <v>2</v>
      </c>
      <c r="AN1054" t="s">
        <v>1154</v>
      </c>
      <c r="AO1054" t="s">
        <v>1155</v>
      </c>
      <c r="AP1054" t="s">
        <v>1305</v>
      </c>
      <c r="AQ1054">
        <v>11</v>
      </c>
      <c r="AR1054">
        <v>670</v>
      </c>
      <c r="AS1054">
        <v>1164</v>
      </c>
      <c r="AT1054">
        <v>2.8140000000000001</v>
      </c>
      <c r="AU1054">
        <v>5.4090999999999996</v>
      </c>
      <c r="AV1054" t="s">
        <v>3903</v>
      </c>
      <c r="AW1054" t="s">
        <v>3904</v>
      </c>
      <c r="AX1054" t="s">
        <v>3905</v>
      </c>
    </row>
    <row r="1055" spans="1:50" x14ac:dyDescent="0.25">
      <c r="A1055" t="s">
        <v>3906</v>
      </c>
      <c r="B1055" t="s">
        <v>1679</v>
      </c>
      <c r="C1055">
        <v>0</v>
      </c>
      <c r="D1055">
        <v>1</v>
      </c>
      <c r="E1055" t="s">
        <v>1740</v>
      </c>
      <c r="H1055">
        <v>0</v>
      </c>
      <c r="N1055">
        <v>1</v>
      </c>
      <c r="Q1055">
        <v>1</v>
      </c>
      <c r="R1055">
        <v>0</v>
      </c>
      <c r="U1055" t="s">
        <v>1735</v>
      </c>
      <c r="V1055">
        <v>50</v>
      </c>
      <c r="W1055" t="s">
        <v>1704</v>
      </c>
      <c r="X1055" t="s">
        <v>80</v>
      </c>
      <c r="Y1055">
        <v>0</v>
      </c>
      <c r="AD1055" t="s">
        <v>57</v>
      </c>
      <c r="AE1055">
        <v>0</v>
      </c>
      <c r="AF1055">
        <v>6</v>
      </c>
      <c r="AG1055">
        <v>1</v>
      </c>
      <c r="AH1055">
        <v>1.5</v>
      </c>
      <c r="AI1055">
        <v>512</v>
      </c>
      <c r="AJ1055">
        <v>512</v>
      </c>
      <c r="AK1055">
        <v>80</v>
      </c>
      <c r="AL1055" t="s">
        <v>240</v>
      </c>
      <c r="AM1055">
        <v>2</v>
      </c>
      <c r="AN1055" t="s">
        <v>1681</v>
      </c>
      <c r="AO1055" t="s">
        <v>67</v>
      </c>
      <c r="AP1055" t="s">
        <v>68</v>
      </c>
      <c r="AQ1055">
        <v>15</v>
      </c>
      <c r="AR1055">
        <v>191</v>
      </c>
      <c r="AS1055">
        <v>383</v>
      </c>
      <c r="AT1055">
        <v>2.54</v>
      </c>
      <c r="AU1055">
        <v>5.2080000000000002</v>
      </c>
      <c r="AV1055" t="s">
        <v>3907</v>
      </c>
      <c r="AW1055" t="s">
        <v>3908</v>
      </c>
      <c r="AX1055" t="s">
        <v>3909</v>
      </c>
    </row>
    <row r="1056" spans="1:50" x14ac:dyDescent="0.25">
      <c r="A1056" t="s">
        <v>3910</v>
      </c>
      <c r="B1056" t="s">
        <v>1679</v>
      </c>
      <c r="C1056">
        <v>0</v>
      </c>
      <c r="D1056">
        <v>0</v>
      </c>
      <c r="E1056" t="s">
        <v>1698</v>
      </c>
      <c r="H1056">
        <v>1</v>
      </c>
      <c r="N1056">
        <v>0</v>
      </c>
      <c r="Q1056">
        <v>0</v>
      </c>
      <c r="R1056">
        <v>1</v>
      </c>
      <c r="U1056" t="s">
        <v>65</v>
      </c>
      <c r="V1056">
        <v>51</v>
      </c>
      <c r="W1056" t="s">
        <v>79</v>
      </c>
      <c r="X1056" t="s">
        <v>80</v>
      </c>
      <c r="Y1056">
        <v>0</v>
      </c>
      <c r="Z1056">
        <v>90.72</v>
      </c>
      <c r="AB1056" t="s">
        <v>118</v>
      </c>
      <c r="AD1056" t="s">
        <v>57</v>
      </c>
      <c r="AE1056">
        <v>0</v>
      </c>
      <c r="AF1056">
        <v>6</v>
      </c>
      <c r="AG1056">
        <v>1</v>
      </c>
      <c r="AH1056">
        <v>3</v>
      </c>
      <c r="AI1056">
        <v>512</v>
      </c>
      <c r="AJ1056">
        <v>512</v>
      </c>
      <c r="AK1056">
        <v>134</v>
      </c>
      <c r="AL1056" t="s">
        <v>81</v>
      </c>
      <c r="AM1056">
        <v>2.4</v>
      </c>
      <c r="AN1056" t="s">
        <v>1786</v>
      </c>
      <c r="AO1056" t="s">
        <v>67</v>
      </c>
      <c r="AP1056" t="s">
        <v>1979</v>
      </c>
      <c r="AQ1056">
        <v>15</v>
      </c>
      <c r="AR1056">
        <v>279</v>
      </c>
      <c r="AS1056">
        <v>558</v>
      </c>
      <c r="AT1056">
        <v>2.6640000000000001</v>
      </c>
      <c r="AU1056">
        <v>5.5</v>
      </c>
      <c r="AV1056" t="s">
        <v>3911</v>
      </c>
      <c r="AW1056" t="s">
        <v>3912</v>
      </c>
      <c r="AX1056" t="s">
        <v>3913</v>
      </c>
    </row>
    <row r="1057" spans="1:50" x14ac:dyDescent="0.25">
      <c r="A1057" t="s">
        <v>3914</v>
      </c>
      <c r="B1057" t="s">
        <v>1679</v>
      </c>
      <c r="C1057">
        <v>0</v>
      </c>
      <c r="D1057">
        <v>1</v>
      </c>
      <c r="E1057" t="s">
        <v>1791</v>
      </c>
      <c r="H1057">
        <v>0</v>
      </c>
      <c r="N1057">
        <v>0</v>
      </c>
      <c r="Q1057">
        <v>1</v>
      </c>
      <c r="R1057">
        <v>0</v>
      </c>
      <c r="U1057" t="s">
        <v>72</v>
      </c>
      <c r="V1057">
        <v>44</v>
      </c>
      <c r="W1057" t="s">
        <v>1726</v>
      </c>
      <c r="X1057" t="s">
        <v>80</v>
      </c>
      <c r="Y1057">
        <v>0</v>
      </c>
      <c r="Z1057">
        <v>58.06</v>
      </c>
      <c r="AB1057" t="s">
        <v>74</v>
      </c>
      <c r="AD1057" t="s">
        <v>57</v>
      </c>
      <c r="AE1057">
        <v>0</v>
      </c>
      <c r="AF1057">
        <v>6</v>
      </c>
      <c r="AG1057">
        <v>1</v>
      </c>
      <c r="AH1057">
        <v>1.5</v>
      </c>
      <c r="AI1057">
        <v>512</v>
      </c>
      <c r="AJ1057">
        <v>512</v>
      </c>
      <c r="AK1057">
        <v>80</v>
      </c>
      <c r="AL1057" t="s">
        <v>196</v>
      </c>
      <c r="AM1057">
        <v>2</v>
      </c>
      <c r="AN1057" t="s">
        <v>996</v>
      </c>
      <c r="AO1057" t="s">
        <v>67</v>
      </c>
      <c r="AP1057" t="s">
        <v>68</v>
      </c>
      <c r="AQ1057">
        <v>15</v>
      </c>
      <c r="AR1057">
        <v>104</v>
      </c>
      <c r="AS1057">
        <v>209</v>
      </c>
      <c r="AT1057">
        <v>2.6440000000000001</v>
      </c>
      <c r="AU1057">
        <v>6.0250000000000004</v>
      </c>
      <c r="AV1057" t="s">
        <v>3915</v>
      </c>
      <c r="AW1057" t="s">
        <v>3916</v>
      </c>
      <c r="AX1057" t="s">
        <v>3917</v>
      </c>
    </row>
    <row r="1058" spans="1:50" x14ac:dyDescent="0.25">
      <c r="A1058" t="s">
        <v>3918</v>
      </c>
      <c r="B1058" t="s">
        <v>1679</v>
      </c>
      <c r="C1058">
        <v>0</v>
      </c>
      <c r="D1058">
        <v>0</v>
      </c>
      <c r="E1058" t="s">
        <v>1703</v>
      </c>
      <c r="H1058">
        <v>1</v>
      </c>
      <c r="N1058">
        <v>0</v>
      </c>
      <c r="Q1058">
        <v>0</v>
      </c>
      <c r="R1058">
        <v>0</v>
      </c>
      <c r="U1058" t="s">
        <v>65</v>
      </c>
      <c r="V1058">
        <v>64</v>
      </c>
      <c r="W1058" t="s">
        <v>79</v>
      </c>
      <c r="X1058" t="s">
        <v>80</v>
      </c>
      <c r="Y1058">
        <v>0</v>
      </c>
      <c r="Z1058">
        <v>99</v>
      </c>
      <c r="AB1058" t="s">
        <v>56</v>
      </c>
      <c r="AD1058" t="s">
        <v>57</v>
      </c>
      <c r="AE1058">
        <v>1</v>
      </c>
      <c r="AF1058">
        <v>6</v>
      </c>
      <c r="AG1058">
        <v>1</v>
      </c>
      <c r="AH1058">
        <v>3</v>
      </c>
      <c r="AI1058">
        <v>384</v>
      </c>
      <c r="AJ1058">
        <v>384</v>
      </c>
      <c r="AK1058">
        <v>220</v>
      </c>
      <c r="AL1058" t="s">
        <v>1394</v>
      </c>
      <c r="AM1058">
        <v>2</v>
      </c>
      <c r="AN1058" t="s">
        <v>1154</v>
      </c>
      <c r="AO1058" t="s">
        <v>1155</v>
      </c>
      <c r="AP1058" t="s">
        <v>1767</v>
      </c>
      <c r="AQ1058">
        <v>15</v>
      </c>
      <c r="AR1058">
        <v>1915</v>
      </c>
      <c r="AS1058">
        <v>3666</v>
      </c>
      <c r="AT1058">
        <v>2.302</v>
      </c>
      <c r="AU1058">
        <v>4.4318</v>
      </c>
      <c r="AW1058" t="s">
        <v>3406</v>
      </c>
      <c r="AX1058" t="s">
        <v>3919</v>
      </c>
    </row>
    <row r="1059" spans="1:50" x14ac:dyDescent="0.25">
      <c r="A1059" t="s">
        <v>3920</v>
      </c>
      <c r="B1059" t="s">
        <v>1679</v>
      </c>
      <c r="C1059">
        <v>0</v>
      </c>
      <c r="D1059">
        <v>1</v>
      </c>
      <c r="E1059" t="s">
        <v>1740</v>
      </c>
      <c r="H1059">
        <v>0</v>
      </c>
      <c r="N1059">
        <v>1</v>
      </c>
      <c r="Q1059">
        <v>0</v>
      </c>
      <c r="R1059">
        <v>0</v>
      </c>
      <c r="U1059" t="s">
        <v>1687</v>
      </c>
      <c r="V1059">
        <v>58</v>
      </c>
      <c r="W1059" t="s">
        <v>79</v>
      </c>
      <c r="X1059" t="s">
        <v>80</v>
      </c>
      <c r="Y1059">
        <v>0</v>
      </c>
      <c r="Z1059">
        <v>83.915000000000006</v>
      </c>
      <c r="AB1059" t="s">
        <v>118</v>
      </c>
      <c r="AD1059" t="s">
        <v>57</v>
      </c>
      <c r="AE1059">
        <v>0</v>
      </c>
      <c r="AF1059">
        <v>6</v>
      </c>
      <c r="AG1059">
        <v>1</v>
      </c>
      <c r="AH1059">
        <v>1.5</v>
      </c>
      <c r="AI1059">
        <v>512</v>
      </c>
      <c r="AJ1059">
        <v>512</v>
      </c>
      <c r="AK1059">
        <v>80</v>
      </c>
      <c r="AL1059" t="s">
        <v>196</v>
      </c>
      <c r="AM1059">
        <v>2</v>
      </c>
      <c r="AN1059" t="s">
        <v>996</v>
      </c>
      <c r="AO1059" t="s">
        <v>67</v>
      </c>
      <c r="AP1059" t="s">
        <v>114</v>
      </c>
      <c r="AQ1059">
        <v>15</v>
      </c>
      <c r="AR1059">
        <v>173</v>
      </c>
      <c r="AS1059">
        <v>347</v>
      </c>
      <c r="AT1059">
        <v>2.6440000000000001</v>
      </c>
      <c r="AU1059">
        <v>5.8970000000000002</v>
      </c>
      <c r="AV1059" t="s">
        <v>3921</v>
      </c>
      <c r="AW1059" t="s">
        <v>3922</v>
      </c>
      <c r="AX1059" t="s">
        <v>3923</v>
      </c>
    </row>
    <row r="1060" spans="1:50" x14ac:dyDescent="0.25">
      <c r="A1060" t="s">
        <v>3924</v>
      </c>
      <c r="B1060" t="s">
        <v>1679</v>
      </c>
      <c r="C1060">
        <v>0</v>
      </c>
      <c r="D1060">
        <v>0</v>
      </c>
      <c r="E1060" t="s">
        <v>1680</v>
      </c>
      <c r="H1060">
        <v>0</v>
      </c>
      <c r="N1060">
        <v>0</v>
      </c>
      <c r="Q1060">
        <v>0</v>
      </c>
      <c r="R1060">
        <v>1</v>
      </c>
      <c r="U1060" t="s">
        <v>65</v>
      </c>
      <c r="V1060">
        <v>32</v>
      </c>
      <c r="W1060" t="s">
        <v>1688</v>
      </c>
      <c r="X1060" t="s">
        <v>80</v>
      </c>
      <c r="Y1060">
        <v>0</v>
      </c>
      <c r="Z1060">
        <v>72</v>
      </c>
      <c r="AB1060" t="s">
        <v>94</v>
      </c>
      <c r="AD1060" t="s">
        <v>57</v>
      </c>
      <c r="AE1060">
        <v>0</v>
      </c>
      <c r="AF1060">
        <v>6</v>
      </c>
      <c r="AG1060">
        <v>1</v>
      </c>
      <c r="AH1060">
        <v>1.5</v>
      </c>
      <c r="AI1060">
        <v>512</v>
      </c>
      <c r="AJ1060">
        <v>512</v>
      </c>
      <c r="AK1060">
        <v>158</v>
      </c>
      <c r="AL1060" t="s">
        <v>1876</v>
      </c>
      <c r="AM1060">
        <v>2</v>
      </c>
      <c r="AN1060" t="s">
        <v>1877</v>
      </c>
      <c r="AO1060" t="s">
        <v>1155</v>
      </c>
      <c r="AP1060" t="s">
        <v>1767</v>
      </c>
      <c r="AQ1060">
        <v>11</v>
      </c>
      <c r="AR1060">
        <v>53.41</v>
      </c>
      <c r="AS1060">
        <v>92.94</v>
      </c>
      <c r="AT1060">
        <v>3.544</v>
      </c>
      <c r="AU1060">
        <v>7.1864999999999997</v>
      </c>
      <c r="AV1060" t="s">
        <v>2273</v>
      </c>
      <c r="AW1060" t="s">
        <v>2976</v>
      </c>
      <c r="AX1060" t="s">
        <v>3925</v>
      </c>
    </row>
    <row r="1061" spans="1:50" x14ac:dyDescent="0.25">
      <c r="A1061" t="s">
        <v>3926</v>
      </c>
      <c r="B1061" t="s">
        <v>1679</v>
      </c>
      <c r="C1061">
        <v>0</v>
      </c>
      <c r="D1061">
        <v>1</v>
      </c>
      <c r="E1061" t="s">
        <v>1680</v>
      </c>
      <c r="H1061">
        <v>0</v>
      </c>
      <c r="N1061">
        <v>0</v>
      </c>
      <c r="Q1061">
        <v>0</v>
      </c>
      <c r="R1061">
        <v>1</v>
      </c>
      <c r="U1061" t="s">
        <v>65</v>
      </c>
      <c r="V1061">
        <v>42</v>
      </c>
      <c r="W1061" t="s">
        <v>1688</v>
      </c>
      <c r="X1061" t="s">
        <v>80</v>
      </c>
      <c r="Y1061">
        <v>0</v>
      </c>
      <c r="Z1061">
        <v>120.202</v>
      </c>
      <c r="AB1061" t="s">
        <v>269</v>
      </c>
      <c r="AD1061" t="s">
        <v>57</v>
      </c>
      <c r="AE1061">
        <v>0</v>
      </c>
      <c r="AF1061">
        <v>6</v>
      </c>
      <c r="AG1061">
        <v>1</v>
      </c>
      <c r="AH1061">
        <v>1.5</v>
      </c>
      <c r="AI1061">
        <v>512</v>
      </c>
      <c r="AJ1061">
        <v>512</v>
      </c>
      <c r="AK1061">
        <v>76</v>
      </c>
      <c r="AL1061" t="s">
        <v>2520</v>
      </c>
      <c r="AM1061">
        <v>2.2000000000000002</v>
      </c>
      <c r="AN1061" t="s">
        <v>1072</v>
      </c>
      <c r="AO1061" t="s">
        <v>67</v>
      </c>
      <c r="AP1061" t="s">
        <v>68</v>
      </c>
      <c r="AQ1061">
        <v>15</v>
      </c>
      <c r="AR1061">
        <v>269</v>
      </c>
      <c r="AS1061">
        <v>538</v>
      </c>
      <c r="AT1061">
        <v>4.12</v>
      </c>
      <c r="AU1061">
        <v>8.4600000000000009</v>
      </c>
      <c r="AV1061" t="s">
        <v>3927</v>
      </c>
      <c r="AW1061" t="s">
        <v>3249</v>
      </c>
      <c r="AX1061" t="s">
        <v>3928</v>
      </c>
    </row>
    <row r="1062" spans="1:50" x14ac:dyDescent="0.25">
      <c r="A1062" t="s">
        <v>3929</v>
      </c>
      <c r="B1062" t="s">
        <v>1679</v>
      </c>
      <c r="C1062">
        <v>0</v>
      </c>
      <c r="D1062">
        <v>1</v>
      </c>
      <c r="E1062" t="s">
        <v>1740</v>
      </c>
      <c r="H1062">
        <v>0</v>
      </c>
      <c r="N1062">
        <v>1</v>
      </c>
      <c r="Q1062">
        <v>0</v>
      </c>
      <c r="R1062">
        <v>0</v>
      </c>
      <c r="U1062" t="s">
        <v>1687</v>
      </c>
      <c r="V1062">
        <v>40</v>
      </c>
      <c r="W1062" t="s">
        <v>1726</v>
      </c>
      <c r="X1062" t="s">
        <v>80</v>
      </c>
      <c r="Y1062">
        <v>1</v>
      </c>
      <c r="Z1062">
        <v>76.203527853599994</v>
      </c>
      <c r="AB1062" t="s">
        <v>94</v>
      </c>
      <c r="AD1062" t="s">
        <v>57</v>
      </c>
      <c r="AE1062">
        <v>0</v>
      </c>
      <c r="AF1062">
        <v>6</v>
      </c>
      <c r="AG1062">
        <v>1</v>
      </c>
      <c r="AH1062">
        <v>1.5</v>
      </c>
      <c r="AI1062">
        <v>512</v>
      </c>
      <c r="AJ1062">
        <v>512</v>
      </c>
      <c r="AK1062">
        <v>80</v>
      </c>
      <c r="AL1062" t="s">
        <v>1010</v>
      </c>
      <c r="AM1062">
        <v>2</v>
      </c>
      <c r="AN1062" t="s">
        <v>1011</v>
      </c>
      <c r="AO1062" t="s">
        <v>59</v>
      </c>
      <c r="AP1062" t="s">
        <v>2388</v>
      </c>
      <c r="AQ1062">
        <v>11</v>
      </c>
      <c r="AR1062">
        <v>72</v>
      </c>
      <c r="AS1062">
        <v>191</v>
      </c>
      <c r="AT1062">
        <v>1.96</v>
      </c>
      <c r="AU1062">
        <v>5.07</v>
      </c>
      <c r="AV1062" t="s">
        <v>3930</v>
      </c>
      <c r="AW1062" t="s">
        <v>3931</v>
      </c>
      <c r="AX1062" t="s">
        <v>3932</v>
      </c>
    </row>
    <row r="1063" spans="1:50" x14ac:dyDescent="0.25">
      <c r="A1063" t="s">
        <v>3933</v>
      </c>
      <c r="B1063" t="s">
        <v>1679</v>
      </c>
      <c r="C1063">
        <v>0</v>
      </c>
      <c r="D1063">
        <v>1</v>
      </c>
      <c r="E1063" t="s">
        <v>1734</v>
      </c>
      <c r="H1063">
        <v>1</v>
      </c>
      <c r="N1063">
        <v>0</v>
      </c>
      <c r="Q1063">
        <v>1</v>
      </c>
      <c r="R1063">
        <v>1</v>
      </c>
      <c r="U1063" t="s">
        <v>72</v>
      </c>
      <c r="V1063">
        <v>58</v>
      </c>
      <c r="W1063" t="s">
        <v>79</v>
      </c>
      <c r="X1063" t="s">
        <v>80</v>
      </c>
      <c r="Y1063">
        <v>0</v>
      </c>
      <c r="Z1063">
        <v>70.306826293499995</v>
      </c>
      <c r="AB1063" t="s">
        <v>94</v>
      </c>
      <c r="AD1063" t="s">
        <v>57</v>
      </c>
      <c r="AE1063">
        <v>0</v>
      </c>
      <c r="AF1063">
        <v>6</v>
      </c>
      <c r="AG1063">
        <v>1</v>
      </c>
      <c r="AH1063">
        <v>1.5</v>
      </c>
      <c r="AI1063">
        <v>512</v>
      </c>
      <c r="AJ1063">
        <v>512</v>
      </c>
      <c r="AK1063">
        <v>80</v>
      </c>
      <c r="AL1063" t="s">
        <v>1010</v>
      </c>
      <c r="AM1063">
        <v>2</v>
      </c>
      <c r="AN1063" t="s">
        <v>1011</v>
      </c>
      <c r="AO1063" t="s">
        <v>59</v>
      </c>
      <c r="AP1063" t="s">
        <v>60</v>
      </c>
      <c r="AQ1063">
        <v>11</v>
      </c>
      <c r="AR1063">
        <v>52</v>
      </c>
      <c r="AS1063">
        <v>140</v>
      </c>
      <c r="AT1063">
        <v>1.67</v>
      </c>
      <c r="AU1063">
        <v>4.51</v>
      </c>
      <c r="AV1063" t="s">
        <v>3934</v>
      </c>
      <c r="AW1063" t="s">
        <v>2134</v>
      </c>
      <c r="AX1063" t="s">
        <v>3935</v>
      </c>
    </row>
    <row r="1064" spans="1:50" x14ac:dyDescent="0.25">
      <c r="A1064" t="s">
        <v>3936</v>
      </c>
      <c r="B1064" t="s">
        <v>1679</v>
      </c>
      <c r="C1064">
        <v>0</v>
      </c>
      <c r="D1064">
        <v>1</v>
      </c>
      <c r="E1064" t="s">
        <v>1680</v>
      </c>
      <c r="H1064">
        <v>0</v>
      </c>
      <c r="N1064">
        <v>0</v>
      </c>
      <c r="Q1064">
        <v>0</v>
      </c>
      <c r="R1064">
        <v>1</v>
      </c>
      <c r="U1064" t="s">
        <v>65</v>
      </c>
      <c r="V1064">
        <v>42</v>
      </c>
      <c r="X1064" t="s">
        <v>80</v>
      </c>
      <c r="Y1064">
        <v>0</v>
      </c>
      <c r="Z1064">
        <v>63.502939877999999</v>
      </c>
      <c r="AB1064" t="s">
        <v>74</v>
      </c>
      <c r="AD1064" t="s">
        <v>57</v>
      </c>
      <c r="AE1064">
        <v>1</v>
      </c>
      <c r="AF1064">
        <v>6</v>
      </c>
      <c r="AG1064">
        <v>1</v>
      </c>
      <c r="AH1064">
        <v>1.5</v>
      </c>
      <c r="AI1064">
        <v>384</v>
      </c>
      <c r="AJ1064">
        <v>384</v>
      </c>
      <c r="AK1064">
        <v>160</v>
      </c>
      <c r="AL1064" t="s">
        <v>1800</v>
      </c>
      <c r="AM1064">
        <v>1</v>
      </c>
      <c r="AN1064" t="s">
        <v>1741</v>
      </c>
      <c r="AO1064" t="s">
        <v>59</v>
      </c>
      <c r="AP1064" t="s">
        <v>60</v>
      </c>
      <c r="AQ1064">
        <v>11</v>
      </c>
      <c r="AR1064">
        <v>91</v>
      </c>
      <c r="AS1064">
        <v>247</v>
      </c>
      <c r="AT1064">
        <v>2.3199999999999998</v>
      </c>
      <c r="AU1064">
        <v>5.15</v>
      </c>
      <c r="AV1064" t="s">
        <v>3937</v>
      </c>
      <c r="AW1064" t="s">
        <v>3938</v>
      </c>
      <c r="AX1064" t="s">
        <v>3939</v>
      </c>
    </row>
    <row r="1065" spans="1:50" x14ac:dyDescent="0.25">
      <c r="A1065" t="s">
        <v>3940</v>
      </c>
      <c r="B1065" t="s">
        <v>1679</v>
      </c>
      <c r="C1065">
        <v>0</v>
      </c>
      <c r="D1065">
        <v>0</v>
      </c>
      <c r="E1065" t="s">
        <v>1780</v>
      </c>
      <c r="H1065">
        <v>0</v>
      </c>
      <c r="N1065">
        <v>0</v>
      </c>
      <c r="Q1065">
        <v>0</v>
      </c>
      <c r="R1065">
        <v>1</v>
      </c>
      <c r="U1065" t="s">
        <v>65</v>
      </c>
      <c r="V1065">
        <v>57</v>
      </c>
      <c r="W1065" t="s">
        <v>79</v>
      </c>
      <c r="X1065" t="s">
        <v>80</v>
      </c>
      <c r="Y1065">
        <v>0</v>
      </c>
      <c r="Z1065">
        <v>68.945999999999998</v>
      </c>
      <c r="AB1065" t="s">
        <v>94</v>
      </c>
      <c r="AD1065" t="s">
        <v>57</v>
      </c>
      <c r="AE1065">
        <v>0</v>
      </c>
      <c r="AF1065">
        <v>6</v>
      </c>
      <c r="AG1065">
        <v>1</v>
      </c>
      <c r="AH1065">
        <v>1.5</v>
      </c>
      <c r="AI1065">
        <v>512</v>
      </c>
      <c r="AJ1065">
        <v>512</v>
      </c>
      <c r="AK1065">
        <v>80</v>
      </c>
      <c r="AL1065" t="s">
        <v>153</v>
      </c>
      <c r="AM1065">
        <v>2</v>
      </c>
      <c r="AN1065" t="s">
        <v>996</v>
      </c>
      <c r="AO1065" t="s">
        <v>67</v>
      </c>
      <c r="AP1065" t="s">
        <v>68</v>
      </c>
      <c r="AQ1065">
        <v>15</v>
      </c>
      <c r="AR1065">
        <v>86</v>
      </c>
      <c r="AS1065">
        <v>173</v>
      </c>
      <c r="AT1065">
        <v>4.2</v>
      </c>
      <c r="AU1065">
        <v>7</v>
      </c>
      <c r="AV1065" t="s">
        <v>3941</v>
      </c>
      <c r="AW1065" t="s">
        <v>3908</v>
      </c>
      <c r="AX1065" t="s">
        <v>3942</v>
      </c>
    </row>
    <row r="1066" spans="1:50" x14ac:dyDescent="0.25">
      <c r="A1066" t="s">
        <v>3943</v>
      </c>
      <c r="B1066" t="s">
        <v>1679</v>
      </c>
      <c r="C1066">
        <v>0</v>
      </c>
      <c r="D1066">
        <v>0</v>
      </c>
      <c r="E1066" t="s">
        <v>1686</v>
      </c>
      <c r="H1066">
        <v>0</v>
      </c>
      <c r="N1066">
        <v>0</v>
      </c>
      <c r="Q1066">
        <v>0</v>
      </c>
      <c r="R1066">
        <v>1</v>
      </c>
      <c r="U1066" t="s">
        <v>65</v>
      </c>
      <c r="V1066">
        <v>53</v>
      </c>
      <c r="W1066" t="s">
        <v>79</v>
      </c>
      <c r="X1066" t="s">
        <v>80</v>
      </c>
      <c r="Y1066">
        <v>1</v>
      </c>
      <c r="Z1066">
        <v>63.503</v>
      </c>
      <c r="AB1066" t="s">
        <v>74</v>
      </c>
      <c r="AD1066" t="s">
        <v>57</v>
      </c>
      <c r="AE1066">
        <v>0</v>
      </c>
      <c r="AF1066">
        <v>6</v>
      </c>
      <c r="AG1066">
        <v>1</v>
      </c>
      <c r="AH1066">
        <v>1.5</v>
      </c>
      <c r="AI1066">
        <v>512</v>
      </c>
      <c r="AJ1066">
        <v>512</v>
      </c>
      <c r="AK1066">
        <v>72</v>
      </c>
      <c r="AL1066" t="s">
        <v>119</v>
      </c>
      <c r="AM1066">
        <v>2.2000000000000002</v>
      </c>
      <c r="AN1066" t="s">
        <v>1072</v>
      </c>
      <c r="AO1066" t="s">
        <v>67</v>
      </c>
      <c r="AP1066" t="s">
        <v>68</v>
      </c>
      <c r="AQ1066">
        <v>15</v>
      </c>
      <c r="AR1066">
        <v>274</v>
      </c>
      <c r="AS1066">
        <v>548</v>
      </c>
      <c r="AT1066">
        <v>4.2359999999999998</v>
      </c>
      <c r="AU1066">
        <v>8.6679999999999993</v>
      </c>
      <c r="AV1066" t="s">
        <v>3944</v>
      </c>
      <c r="AW1066" t="s">
        <v>3756</v>
      </c>
      <c r="AX1066" t="s">
        <v>3945</v>
      </c>
    </row>
    <row r="1067" spans="1:50" x14ac:dyDescent="0.25">
      <c r="A1067" t="s">
        <v>3946</v>
      </c>
      <c r="B1067" t="s">
        <v>1679</v>
      </c>
      <c r="C1067">
        <v>0</v>
      </c>
      <c r="D1067">
        <v>1</v>
      </c>
      <c r="E1067" t="s">
        <v>1703</v>
      </c>
      <c r="H1067">
        <v>0</v>
      </c>
      <c r="N1067">
        <v>1</v>
      </c>
      <c r="Q1067">
        <v>0</v>
      </c>
      <c r="R1067">
        <v>0</v>
      </c>
      <c r="U1067" t="s">
        <v>1687</v>
      </c>
      <c r="V1067">
        <v>28</v>
      </c>
      <c r="W1067" t="s">
        <v>1688</v>
      </c>
      <c r="X1067" t="s">
        <v>80</v>
      </c>
      <c r="Y1067">
        <v>0</v>
      </c>
      <c r="Z1067">
        <v>56.331643596100001</v>
      </c>
      <c r="AB1067" t="s">
        <v>74</v>
      </c>
      <c r="AD1067" t="s">
        <v>57</v>
      </c>
      <c r="AE1067">
        <v>1</v>
      </c>
      <c r="AF1067">
        <v>6</v>
      </c>
      <c r="AG1067">
        <v>1</v>
      </c>
      <c r="AH1067">
        <v>1.5</v>
      </c>
      <c r="AI1067">
        <v>384</v>
      </c>
      <c r="AJ1067">
        <v>384</v>
      </c>
      <c r="AK1067">
        <v>176</v>
      </c>
      <c r="AL1067" t="s">
        <v>1800</v>
      </c>
      <c r="AM1067">
        <v>1.1000000238000001</v>
      </c>
      <c r="AN1067" t="s">
        <v>1720</v>
      </c>
      <c r="AO1067" t="s">
        <v>59</v>
      </c>
      <c r="AP1067" t="s">
        <v>60</v>
      </c>
      <c r="AQ1067">
        <v>11</v>
      </c>
      <c r="AR1067">
        <v>174</v>
      </c>
      <c r="AS1067">
        <v>364</v>
      </c>
      <c r="AT1067">
        <v>1.52</v>
      </c>
      <c r="AU1067">
        <v>4.1399999999999997</v>
      </c>
      <c r="AV1067" t="s">
        <v>3947</v>
      </c>
      <c r="AW1067" t="s">
        <v>3948</v>
      </c>
      <c r="AX1067" t="s">
        <v>3949</v>
      </c>
    </row>
    <row r="1068" spans="1:50" x14ac:dyDescent="0.25">
      <c r="A1068" t="s">
        <v>3950</v>
      </c>
      <c r="B1068" t="s">
        <v>1679</v>
      </c>
      <c r="C1068">
        <v>0</v>
      </c>
      <c r="D1068">
        <v>1</v>
      </c>
      <c r="E1068" t="s">
        <v>1725</v>
      </c>
      <c r="H1068">
        <v>0</v>
      </c>
      <c r="N1068">
        <v>1</v>
      </c>
      <c r="Q1068">
        <v>0</v>
      </c>
      <c r="R1068">
        <v>1</v>
      </c>
      <c r="U1068" t="s">
        <v>1687</v>
      </c>
      <c r="V1068">
        <v>65</v>
      </c>
      <c r="W1068" t="s">
        <v>79</v>
      </c>
      <c r="X1068" t="s">
        <v>80</v>
      </c>
      <c r="Y1068">
        <v>0</v>
      </c>
      <c r="AD1068" t="s">
        <v>57</v>
      </c>
      <c r="AE1068">
        <v>0</v>
      </c>
      <c r="AF1068">
        <v>6</v>
      </c>
      <c r="AG1068">
        <v>1</v>
      </c>
      <c r="AH1068">
        <v>1.5</v>
      </c>
      <c r="AI1068">
        <v>512</v>
      </c>
      <c r="AJ1068">
        <v>512</v>
      </c>
      <c r="AK1068">
        <v>80</v>
      </c>
      <c r="AL1068" t="s">
        <v>66</v>
      </c>
      <c r="AM1068">
        <v>2</v>
      </c>
      <c r="AN1068" t="s">
        <v>1681</v>
      </c>
      <c r="AO1068" t="s">
        <v>67</v>
      </c>
      <c r="AP1068" t="s">
        <v>68</v>
      </c>
      <c r="AQ1068">
        <v>15</v>
      </c>
      <c r="AR1068">
        <v>474</v>
      </c>
      <c r="AS1068">
        <v>1202</v>
      </c>
      <c r="AT1068">
        <v>2.6960000000000002</v>
      </c>
      <c r="AU1068">
        <v>6.59</v>
      </c>
      <c r="AV1068" t="s">
        <v>3951</v>
      </c>
      <c r="AW1068" t="s">
        <v>3952</v>
      </c>
      <c r="AX1068" t="s">
        <v>3953</v>
      </c>
    </row>
    <row r="1069" spans="1:50" x14ac:dyDescent="0.25">
      <c r="A1069" t="s">
        <v>3954</v>
      </c>
      <c r="B1069" t="s">
        <v>1679</v>
      </c>
      <c r="C1069">
        <v>0</v>
      </c>
      <c r="D1069">
        <v>0</v>
      </c>
      <c r="E1069" t="s">
        <v>1734</v>
      </c>
      <c r="H1069">
        <v>1</v>
      </c>
      <c r="N1069">
        <v>0</v>
      </c>
      <c r="Q1069">
        <v>1</v>
      </c>
      <c r="R1069">
        <v>0</v>
      </c>
      <c r="U1069" t="s">
        <v>72</v>
      </c>
      <c r="V1069">
        <v>46</v>
      </c>
      <c r="W1069" t="s">
        <v>1704</v>
      </c>
      <c r="X1069" t="s">
        <v>111</v>
      </c>
      <c r="Y1069">
        <v>0</v>
      </c>
      <c r="Z1069">
        <v>73.936000000000007</v>
      </c>
      <c r="AB1069" t="s">
        <v>94</v>
      </c>
      <c r="AD1069" t="s">
        <v>57</v>
      </c>
      <c r="AE1069">
        <v>0</v>
      </c>
      <c r="AF1069">
        <v>6</v>
      </c>
      <c r="AG1069">
        <v>1</v>
      </c>
      <c r="AH1069">
        <v>1.5</v>
      </c>
      <c r="AI1069">
        <v>512</v>
      </c>
      <c r="AJ1069">
        <v>512</v>
      </c>
      <c r="AK1069">
        <v>80</v>
      </c>
      <c r="AL1069" t="s">
        <v>81</v>
      </c>
      <c r="AM1069">
        <v>2</v>
      </c>
      <c r="AN1069" t="s">
        <v>996</v>
      </c>
      <c r="AO1069" t="s">
        <v>67</v>
      </c>
      <c r="AP1069" t="s">
        <v>68</v>
      </c>
      <c r="AQ1069">
        <v>15</v>
      </c>
      <c r="AR1069">
        <v>83</v>
      </c>
      <c r="AS1069">
        <v>167</v>
      </c>
      <c r="AT1069">
        <v>4.2</v>
      </c>
      <c r="AU1069">
        <v>7</v>
      </c>
      <c r="AV1069" t="s">
        <v>3955</v>
      </c>
      <c r="AW1069" t="s">
        <v>3956</v>
      </c>
      <c r="AX1069" t="s">
        <v>3957</v>
      </c>
    </row>
    <row r="1070" spans="1:50" x14ac:dyDescent="0.25">
      <c r="A1070" t="s">
        <v>3958</v>
      </c>
      <c r="B1070" t="s">
        <v>1679</v>
      </c>
      <c r="C1070">
        <v>0</v>
      </c>
      <c r="D1070">
        <v>0</v>
      </c>
      <c r="E1070" t="s">
        <v>1725</v>
      </c>
      <c r="H1070">
        <v>0</v>
      </c>
      <c r="N1070">
        <v>0</v>
      </c>
      <c r="Q1070">
        <v>0</v>
      </c>
      <c r="R1070">
        <v>1</v>
      </c>
      <c r="U1070" t="s">
        <v>65</v>
      </c>
      <c r="V1070">
        <v>37</v>
      </c>
      <c r="W1070" t="s">
        <v>1726</v>
      </c>
      <c r="X1070" t="s">
        <v>321</v>
      </c>
      <c r="Y1070">
        <v>0</v>
      </c>
      <c r="Z1070">
        <v>61.234999999999999</v>
      </c>
      <c r="AB1070" t="s">
        <v>74</v>
      </c>
      <c r="AD1070" t="s">
        <v>57</v>
      </c>
      <c r="AE1070">
        <v>0</v>
      </c>
      <c r="AF1070">
        <v>6</v>
      </c>
      <c r="AG1070">
        <v>1</v>
      </c>
      <c r="AH1070">
        <v>1.5</v>
      </c>
      <c r="AI1070">
        <v>512</v>
      </c>
      <c r="AJ1070">
        <v>512</v>
      </c>
      <c r="AK1070">
        <v>80</v>
      </c>
      <c r="AL1070" t="s">
        <v>66</v>
      </c>
      <c r="AM1070">
        <v>2</v>
      </c>
      <c r="AN1070" t="s">
        <v>996</v>
      </c>
      <c r="AO1070" t="s">
        <v>67</v>
      </c>
      <c r="AP1070" t="s">
        <v>68</v>
      </c>
      <c r="AQ1070">
        <v>15</v>
      </c>
      <c r="AR1070">
        <v>167</v>
      </c>
      <c r="AS1070">
        <v>334</v>
      </c>
      <c r="AT1070">
        <v>4.2</v>
      </c>
      <c r="AU1070">
        <v>7</v>
      </c>
      <c r="AV1070" t="s">
        <v>3959</v>
      </c>
      <c r="AW1070" t="s">
        <v>1921</v>
      </c>
      <c r="AX1070" t="s">
        <v>3960</v>
      </c>
    </row>
    <row r="1071" spans="1:50" x14ac:dyDescent="0.25">
      <c r="A1071" t="s">
        <v>3961</v>
      </c>
      <c r="B1071" t="s">
        <v>1679</v>
      </c>
      <c r="C1071">
        <v>0</v>
      </c>
      <c r="D1071">
        <v>0</v>
      </c>
      <c r="E1071" t="s">
        <v>1703</v>
      </c>
      <c r="H1071">
        <v>0</v>
      </c>
      <c r="N1071">
        <v>0</v>
      </c>
      <c r="Q1071">
        <v>0</v>
      </c>
      <c r="R1071">
        <v>1</v>
      </c>
      <c r="U1071" t="s">
        <v>65</v>
      </c>
      <c r="V1071">
        <v>33</v>
      </c>
      <c r="W1071" t="s">
        <v>1688</v>
      </c>
      <c r="X1071" t="s">
        <v>111</v>
      </c>
      <c r="Y1071">
        <v>0</v>
      </c>
      <c r="Z1071">
        <v>54.43</v>
      </c>
      <c r="AB1071" t="s">
        <v>74</v>
      </c>
      <c r="AD1071" t="s">
        <v>57</v>
      </c>
      <c r="AE1071">
        <v>0</v>
      </c>
      <c r="AF1071">
        <v>6</v>
      </c>
      <c r="AG1071">
        <v>1</v>
      </c>
      <c r="AH1071">
        <v>1.5</v>
      </c>
      <c r="AI1071">
        <v>512</v>
      </c>
      <c r="AJ1071">
        <v>512</v>
      </c>
      <c r="AK1071">
        <v>80</v>
      </c>
      <c r="AL1071" t="s">
        <v>153</v>
      </c>
      <c r="AM1071">
        <v>2</v>
      </c>
      <c r="AN1071" t="s">
        <v>996</v>
      </c>
      <c r="AO1071" t="s">
        <v>67</v>
      </c>
      <c r="AP1071" t="s">
        <v>68</v>
      </c>
      <c r="AQ1071">
        <v>15</v>
      </c>
      <c r="AR1071">
        <v>20</v>
      </c>
      <c r="AS1071">
        <v>41</v>
      </c>
      <c r="AT1071">
        <v>4.2</v>
      </c>
      <c r="AU1071">
        <v>7.02</v>
      </c>
      <c r="AV1071" t="s">
        <v>3962</v>
      </c>
      <c r="AW1071" t="s">
        <v>3963</v>
      </c>
      <c r="AX1071" t="s">
        <v>3964</v>
      </c>
    </row>
    <row r="1072" spans="1:50" x14ac:dyDescent="0.25">
      <c r="A1072" t="s">
        <v>3965</v>
      </c>
      <c r="B1072" t="s">
        <v>1679</v>
      </c>
      <c r="C1072">
        <v>0</v>
      </c>
      <c r="D1072">
        <v>0</v>
      </c>
      <c r="E1072" t="s">
        <v>1686</v>
      </c>
      <c r="H1072">
        <v>0</v>
      </c>
      <c r="N1072">
        <v>0</v>
      </c>
      <c r="Q1072">
        <v>0</v>
      </c>
      <c r="R1072">
        <v>1</v>
      </c>
      <c r="U1072" t="s">
        <v>65</v>
      </c>
      <c r="V1072">
        <v>52</v>
      </c>
      <c r="X1072" t="s">
        <v>80</v>
      </c>
      <c r="Y1072">
        <v>0</v>
      </c>
      <c r="Z1072">
        <v>112</v>
      </c>
      <c r="AA1072">
        <v>1.57</v>
      </c>
      <c r="AB1072" t="s">
        <v>269</v>
      </c>
      <c r="AD1072" t="s">
        <v>57</v>
      </c>
      <c r="AE1072">
        <v>0</v>
      </c>
      <c r="AF1072">
        <v>6</v>
      </c>
      <c r="AG1072">
        <v>1</v>
      </c>
      <c r="AH1072">
        <v>3</v>
      </c>
      <c r="AI1072">
        <v>416</v>
      </c>
      <c r="AJ1072">
        <v>416</v>
      </c>
      <c r="AK1072">
        <v>64</v>
      </c>
      <c r="AL1072" t="s">
        <v>3392</v>
      </c>
      <c r="AM1072">
        <v>2.5</v>
      </c>
      <c r="AN1072" t="s">
        <v>1114</v>
      </c>
      <c r="AO1072" t="s">
        <v>59</v>
      </c>
      <c r="AP1072" t="s">
        <v>1781</v>
      </c>
      <c r="AQ1072">
        <v>11</v>
      </c>
      <c r="AR1072">
        <v>177</v>
      </c>
      <c r="AS1072">
        <v>344</v>
      </c>
      <c r="AT1072">
        <v>1.46</v>
      </c>
      <c r="AU1072">
        <v>4.74</v>
      </c>
      <c r="AV1072" t="s">
        <v>3966</v>
      </c>
      <c r="AW1072" t="s">
        <v>3967</v>
      </c>
      <c r="AX1072" t="s">
        <v>3968</v>
      </c>
    </row>
    <row r="1073" spans="1:50" x14ac:dyDescent="0.25">
      <c r="A1073" t="s">
        <v>3969</v>
      </c>
      <c r="B1073" t="s">
        <v>1679</v>
      </c>
      <c r="C1073">
        <v>0</v>
      </c>
      <c r="D1073">
        <v>1</v>
      </c>
      <c r="E1073" t="s">
        <v>1693</v>
      </c>
      <c r="H1073">
        <v>0</v>
      </c>
      <c r="N1073">
        <v>0</v>
      </c>
      <c r="Q1073">
        <v>0</v>
      </c>
      <c r="R1073">
        <v>1</v>
      </c>
      <c r="U1073" t="s">
        <v>65</v>
      </c>
      <c r="V1073">
        <v>68</v>
      </c>
      <c r="W1073" t="s">
        <v>79</v>
      </c>
      <c r="X1073" t="s">
        <v>80</v>
      </c>
      <c r="Y1073">
        <v>0</v>
      </c>
      <c r="Z1073">
        <v>90.718000000000004</v>
      </c>
      <c r="AB1073" t="s">
        <v>118</v>
      </c>
      <c r="AD1073" t="s">
        <v>57</v>
      </c>
      <c r="AE1073">
        <v>0</v>
      </c>
      <c r="AF1073">
        <v>6</v>
      </c>
      <c r="AG1073">
        <v>1</v>
      </c>
      <c r="AH1073">
        <v>1.5</v>
      </c>
      <c r="AI1073">
        <v>512</v>
      </c>
      <c r="AJ1073">
        <v>512</v>
      </c>
      <c r="AK1073">
        <v>78</v>
      </c>
      <c r="AL1073" t="s">
        <v>66</v>
      </c>
      <c r="AM1073">
        <v>2.2000000000000002</v>
      </c>
      <c r="AN1073" t="s">
        <v>1897</v>
      </c>
      <c r="AO1073" t="s">
        <v>67</v>
      </c>
      <c r="AP1073" t="s">
        <v>68</v>
      </c>
      <c r="AQ1073">
        <v>15</v>
      </c>
      <c r="AR1073">
        <v>43</v>
      </c>
      <c r="AS1073">
        <v>86</v>
      </c>
      <c r="AT1073">
        <v>4.1760000000000002</v>
      </c>
      <c r="AU1073">
        <v>8.5359999999999996</v>
      </c>
      <c r="AV1073" t="s">
        <v>3970</v>
      </c>
      <c r="AW1073" t="s">
        <v>3971</v>
      </c>
      <c r="AX1073" t="s">
        <v>3972</v>
      </c>
    </row>
    <row r="1074" spans="1:50" x14ac:dyDescent="0.25">
      <c r="A1074" t="s">
        <v>3973</v>
      </c>
      <c r="B1074" t="s">
        <v>1679</v>
      </c>
      <c r="C1074">
        <v>0</v>
      </c>
      <c r="D1074">
        <v>1</v>
      </c>
      <c r="E1074" t="s">
        <v>1725</v>
      </c>
      <c r="H1074">
        <v>1</v>
      </c>
      <c r="N1074">
        <v>0</v>
      </c>
      <c r="Q1074">
        <v>0</v>
      </c>
      <c r="R1074">
        <v>1</v>
      </c>
      <c r="U1074" t="s">
        <v>65</v>
      </c>
      <c r="V1074">
        <v>48</v>
      </c>
      <c r="W1074" t="s">
        <v>1726</v>
      </c>
      <c r="X1074" t="s">
        <v>80</v>
      </c>
      <c r="Y1074">
        <v>0</v>
      </c>
      <c r="AD1074" t="s">
        <v>57</v>
      </c>
      <c r="AE1074">
        <v>1</v>
      </c>
      <c r="AF1074">
        <v>6</v>
      </c>
      <c r="AG1074">
        <v>1</v>
      </c>
      <c r="AH1074">
        <v>1.5</v>
      </c>
      <c r="AI1074">
        <v>384</v>
      </c>
      <c r="AJ1074">
        <v>384</v>
      </c>
      <c r="AK1074">
        <v>160</v>
      </c>
      <c r="AL1074" t="s">
        <v>3974</v>
      </c>
      <c r="AM1074">
        <v>1</v>
      </c>
      <c r="AN1074" t="s">
        <v>1741</v>
      </c>
      <c r="AO1074" t="s">
        <v>59</v>
      </c>
      <c r="AP1074" t="s">
        <v>60</v>
      </c>
      <c r="AQ1074">
        <v>11</v>
      </c>
      <c r="AR1074">
        <v>83</v>
      </c>
      <c r="AS1074">
        <v>218</v>
      </c>
      <c r="AT1074">
        <v>2.39</v>
      </c>
      <c r="AU1074">
        <v>5.18</v>
      </c>
      <c r="AV1074" t="s">
        <v>3975</v>
      </c>
      <c r="AW1074" t="s">
        <v>3976</v>
      </c>
      <c r="AX1074" t="s">
        <v>3977</v>
      </c>
    </row>
    <row r="1075" spans="1:50" x14ac:dyDescent="0.25">
      <c r="A1075" t="s">
        <v>3978</v>
      </c>
      <c r="B1075" t="s">
        <v>1679</v>
      </c>
      <c r="C1075">
        <v>0</v>
      </c>
      <c r="D1075">
        <v>1</v>
      </c>
      <c r="E1075" t="s">
        <v>1703</v>
      </c>
      <c r="H1075">
        <v>0</v>
      </c>
      <c r="N1075">
        <v>1</v>
      </c>
      <c r="Q1075">
        <v>0</v>
      </c>
      <c r="R1075">
        <v>0</v>
      </c>
      <c r="U1075" t="s">
        <v>1687</v>
      </c>
      <c r="V1075">
        <v>58</v>
      </c>
      <c r="X1075" t="s">
        <v>80</v>
      </c>
      <c r="Y1075">
        <v>0</v>
      </c>
      <c r="Z1075">
        <v>93.894000000000005</v>
      </c>
      <c r="AB1075" t="s">
        <v>118</v>
      </c>
      <c r="AD1075" t="s">
        <v>57</v>
      </c>
      <c r="AE1075">
        <v>0</v>
      </c>
      <c r="AF1075">
        <v>6</v>
      </c>
      <c r="AG1075">
        <v>1</v>
      </c>
      <c r="AH1075">
        <v>1.5</v>
      </c>
      <c r="AI1075">
        <v>512</v>
      </c>
      <c r="AJ1075">
        <v>512</v>
      </c>
      <c r="AK1075">
        <v>72</v>
      </c>
      <c r="AL1075" t="s">
        <v>350</v>
      </c>
      <c r="AM1075">
        <v>2.2000000000000002</v>
      </c>
      <c r="AN1075" t="s">
        <v>996</v>
      </c>
      <c r="AO1075" t="s">
        <v>67</v>
      </c>
      <c r="AP1075" t="s">
        <v>68</v>
      </c>
      <c r="AQ1075">
        <v>15</v>
      </c>
      <c r="AR1075">
        <v>95</v>
      </c>
      <c r="AS1075">
        <v>190</v>
      </c>
      <c r="AT1075">
        <v>4.2</v>
      </c>
      <c r="AU1075">
        <v>7</v>
      </c>
      <c r="AV1075" t="s">
        <v>3979</v>
      </c>
      <c r="AW1075" t="s">
        <v>3883</v>
      </c>
      <c r="AX1075" t="s">
        <v>3980</v>
      </c>
    </row>
    <row r="1076" spans="1:50" x14ac:dyDescent="0.25">
      <c r="A1076" t="s">
        <v>3981</v>
      </c>
      <c r="B1076" t="s">
        <v>1679</v>
      </c>
      <c r="C1076">
        <v>0</v>
      </c>
      <c r="D1076">
        <v>0</v>
      </c>
      <c r="E1076" t="s">
        <v>1693</v>
      </c>
      <c r="H1076">
        <v>0</v>
      </c>
      <c r="N1076">
        <v>0</v>
      </c>
      <c r="Q1076">
        <v>0</v>
      </c>
      <c r="R1076">
        <v>1</v>
      </c>
      <c r="U1076" t="s">
        <v>65</v>
      </c>
      <c r="V1076">
        <v>30</v>
      </c>
      <c r="W1076" t="s">
        <v>1688</v>
      </c>
      <c r="X1076" t="s">
        <v>80</v>
      </c>
      <c r="Y1076">
        <v>0</v>
      </c>
      <c r="Z1076">
        <v>57</v>
      </c>
      <c r="AA1076">
        <v>1.57</v>
      </c>
      <c r="AB1076" t="s">
        <v>74</v>
      </c>
      <c r="AD1076" t="s">
        <v>57</v>
      </c>
      <c r="AE1076">
        <v>1</v>
      </c>
      <c r="AF1076">
        <v>6</v>
      </c>
      <c r="AG1076">
        <v>1</v>
      </c>
      <c r="AH1076">
        <v>3</v>
      </c>
      <c r="AI1076">
        <v>384</v>
      </c>
      <c r="AJ1076">
        <v>384</v>
      </c>
      <c r="AK1076">
        <v>72</v>
      </c>
      <c r="AL1076" t="s">
        <v>1800</v>
      </c>
      <c r="AM1076">
        <v>2.5</v>
      </c>
      <c r="AN1076" t="s">
        <v>1114</v>
      </c>
      <c r="AO1076" t="s">
        <v>59</v>
      </c>
      <c r="AP1076" t="s">
        <v>1781</v>
      </c>
      <c r="AQ1076">
        <v>11</v>
      </c>
      <c r="AR1076">
        <v>52</v>
      </c>
      <c r="AS1076">
        <v>142</v>
      </c>
      <c r="AT1076">
        <v>1.42</v>
      </c>
      <c r="AU1076">
        <v>4.32</v>
      </c>
      <c r="AV1076" t="s">
        <v>3982</v>
      </c>
      <c r="AW1076" t="s">
        <v>3983</v>
      </c>
      <c r="AX1076" t="s">
        <v>3984</v>
      </c>
    </row>
    <row r="1077" spans="1:50" x14ac:dyDescent="0.25">
      <c r="A1077" t="s">
        <v>3985</v>
      </c>
      <c r="B1077" t="s">
        <v>1679</v>
      </c>
      <c r="C1077">
        <v>0</v>
      </c>
      <c r="D1077">
        <v>0</v>
      </c>
      <c r="E1077" t="s">
        <v>1698</v>
      </c>
      <c r="H1077">
        <v>0</v>
      </c>
      <c r="N1077">
        <v>1</v>
      </c>
      <c r="Q1077">
        <v>0</v>
      </c>
      <c r="R1077">
        <v>0</v>
      </c>
      <c r="U1077" t="s">
        <v>1687</v>
      </c>
      <c r="V1077">
        <v>33</v>
      </c>
      <c r="W1077" t="s">
        <v>1688</v>
      </c>
      <c r="X1077" t="s">
        <v>80</v>
      </c>
      <c r="Y1077">
        <v>0</v>
      </c>
      <c r="Z1077">
        <v>75.75</v>
      </c>
      <c r="AB1077" t="s">
        <v>94</v>
      </c>
      <c r="AD1077" t="s">
        <v>57</v>
      </c>
      <c r="AE1077">
        <v>1</v>
      </c>
      <c r="AF1077">
        <v>6</v>
      </c>
      <c r="AG1077">
        <v>1</v>
      </c>
      <c r="AH1077">
        <v>1.5</v>
      </c>
      <c r="AI1077">
        <v>256</v>
      </c>
      <c r="AJ1077">
        <v>256</v>
      </c>
      <c r="AK1077">
        <v>240</v>
      </c>
      <c r="AL1077" t="s">
        <v>446</v>
      </c>
      <c r="AM1077">
        <v>0.80000099999999996</v>
      </c>
      <c r="AN1077" t="s">
        <v>1720</v>
      </c>
      <c r="AO1077" t="s">
        <v>67</v>
      </c>
      <c r="AP1077" t="s">
        <v>89</v>
      </c>
      <c r="AQ1077">
        <v>15</v>
      </c>
      <c r="AR1077">
        <v>188</v>
      </c>
      <c r="AS1077">
        <v>376</v>
      </c>
      <c r="AT1077">
        <v>1.9319999999999999</v>
      </c>
      <c r="AU1077">
        <v>4.16</v>
      </c>
      <c r="AV1077" t="s">
        <v>3986</v>
      </c>
      <c r="AW1077" t="s">
        <v>3987</v>
      </c>
      <c r="AX1077" t="s">
        <v>3988</v>
      </c>
    </row>
    <row r="1078" spans="1:50" x14ac:dyDescent="0.25">
      <c r="A1078" t="s">
        <v>3989</v>
      </c>
      <c r="B1078" t="s">
        <v>1679</v>
      </c>
      <c r="C1078">
        <v>0</v>
      </c>
      <c r="D1078">
        <v>0</v>
      </c>
      <c r="E1078" t="s">
        <v>1780</v>
      </c>
      <c r="H1078">
        <v>1</v>
      </c>
      <c r="N1078">
        <v>1</v>
      </c>
      <c r="Q1078">
        <v>0</v>
      </c>
      <c r="R1078">
        <v>1</v>
      </c>
      <c r="U1078" t="s">
        <v>1687</v>
      </c>
      <c r="V1078">
        <v>31</v>
      </c>
      <c r="W1078" t="s">
        <v>1726</v>
      </c>
      <c r="X1078" t="s">
        <v>80</v>
      </c>
      <c r="Y1078">
        <v>0</v>
      </c>
      <c r="Z1078">
        <v>95.689858547599997</v>
      </c>
      <c r="AA1078">
        <v>1.6764033549999999</v>
      </c>
      <c r="AB1078" t="s">
        <v>118</v>
      </c>
      <c r="AD1078" t="s">
        <v>57</v>
      </c>
      <c r="AE1078">
        <v>1</v>
      </c>
      <c r="AF1078">
        <v>6</v>
      </c>
      <c r="AG1078">
        <v>1</v>
      </c>
      <c r="AH1078">
        <v>1.5</v>
      </c>
      <c r="AI1078">
        <v>256</v>
      </c>
      <c r="AJ1078">
        <v>256</v>
      </c>
      <c r="AK1078">
        <v>160</v>
      </c>
      <c r="AL1078" t="s">
        <v>2157</v>
      </c>
      <c r="AM1078">
        <v>1.25</v>
      </c>
      <c r="AN1078" t="s">
        <v>1720</v>
      </c>
      <c r="AO1078" t="s">
        <v>59</v>
      </c>
      <c r="AP1078" t="s">
        <v>60</v>
      </c>
      <c r="AQ1078">
        <v>11</v>
      </c>
      <c r="AR1078">
        <v>178</v>
      </c>
      <c r="AS1078">
        <v>398</v>
      </c>
      <c r="AT1078">
        <v>1.41</v>
      </c>
      <c r="AU1078">
        <v>4.99</v>
      </c>
      <c r="AV1078" t="s">
        <v>3990</v>
      </c>
      <c r="AW1078" t="s">
        <v>3991</v>
      </c>
      <c r="AX1078" t="s">
        <v>3992</v>
      </c>
    </row>
    <row r="1079" spans="1:50" x14ac:dyDescent="0.25">
      <c r="A1079" t="s">
        <v>3993</v>
      </c>
      <c r="B1079" t="s">
        <v>1679</v>
      </c>
      <c r="C1079">
        <v>0</v>
      </c>
      <c r="D1079">
        <v>1</v>
      </c>
      <c r="E1079" t="s">
        <v>1740</v>
      </c>
      <c r="H1079">
        <v>0</v>
      </c>
      <c r="N1079">
        <v>0</v>
      </c>
      <c r="Q1079">
        <v>0</v>
      </c>
      <c r="R1079">
        <v>0</v>
      </c>
      <c r="U1079" t="s">
        <v>65</v>
      </c>
      <c r="V1079">
        <v>62</v>
      </c>
      <c r="W1079" t="s">
        <v>79</v>
      </c>
      <c r="X1079" t="s">
        <v>80</v>
      </c>
      <c r="Y1079">
        <v>0</v>
      </c>
      <c r="Z1079">
        <v>65</v>
      </c>
      <c r="AB1079" t="s">
        <v>74</v>
      </c>
      <c r="AD1079" t="s">
        <v>57</v>
      </c>
      <c r="AE1079">
        <v>0</v>
      </c>
      <c r="AF1079">
        <v>6</v>
      </c>
      <c r="AG1079">
        <v>1</v>
      </c>
      <c r="AH1079">
        <v>3</v>
      </c>
      <c r="AI1079">
        <v>640</v>
      </c>
      <c r="AJ1079">
        <v>640</v>
      </c>
      <c r="AK1079">
        <v>160</v>
      </c>
      <c r="AL1079" t="s">
        <v>2431</v>
      </c>
      <c r="AM1079">
        <v>2</v>
      </c>
      <c r="AN1079" t="s">
        <v>1877</v>
      </c>
      <c r="AO1079" t="s">
        <v>1155</v>
      </c>
      <c r="AP1079" t="s">
        <v>1305</v>
      </c>
      <c r="AQ1079">
        <v>11</v>
      </c>
      <c r="AR1079">
        <v>662</v>
      </c>
      <c r="AS1079">
        <v>1150</v>
      </c>
      <c r="AT1079">
        <v>4.6040000000000001</v>
      </c>
      <c r="AU1079">
        <v>7.4</v>
      </c>
      <c r="AW1079" t="s">
        <v>1743</v>
      </c>
      <c r="AX1079" t="s">
        <v>3994</v>
      </c>
    </row>
    <row r="1080" spans="1:50" x14ac:dyDescent="0.25">
      <c r="A1080" t="s">
        <v>3995</v>
      </c>
      <c r="B1080" t="s">
        <v>1679</v>
      </c>
      <c r="C1080">
        <v>0</v>
      </c>
      <c r="D1080">
        <v>1</v>
      </c>
      <c r="E1080" t="s">
        <v>1740</v>
      </c>
      <c r="H1080">
        <v>1</v>
      </c>
      <c r="N1080">
        <v>1</v>
      </c>
      <c r="Q1080">
        <v>1</v>
      </c>
      <c r="R1080">
        <v>0</v>
      </c>
      <c r="U1080" t="s">
        <v>1735</v>
      </c>
      <c r="V1080">
        <v>58</v>
      </c>
      <c r="W1080" t="s">
        <v>79</v>
      </c>
      <c r="X1080" t="s">
        <v>80</v>
      </c>
      <c r="Y1080">
        <v>0</v>
      </c>
      <c r="Z1080">
        <v>90.718485540000003</v>
      </c>
      <c r="AB1080" t="s">
        <v>118</v>
      </c>
      <c r="AD1080" t="s">
        <v>57</v>
      </c>
      <c r="AE1080">
        <v>1</v>
      </c>
      <c r="AF1080">
        <v>6</v>
      </c>
      <c r="AG1080">
        <v>1</v>
      </c>
      <c r="AH1080">
        <v>1.5</v>
      </c>
      <c r="AI1080">
        <v>384</v>
      </c>
      <c r="AJ1080">
        <v>384</v>
      </c>
      <c r="AK1080">
        <v>176</v>
      </c>
      <c r="AL1080" t="s">
        <v>75</v>
      </c>
      <c r="AM1080">
        <v>1</v>
      </c>
      <c r="AN1080" t="s">
        <v>1741</v>
      </c>
      <c r="AO1080" t="s">
        <v>59</v>
      </c>
      <c r="AP1080" t="s">
        <v>60</v>
      </c>
      <c r="AQ1080">
        <v>11</v>
      </c>
      <c r="AR1080">
        <v>151</v>
      </c>
      <c r="AS1080">
        <v>402</v>
      </c>
      <c r="AT1080">
        <v>2.37</v>
      </c>
      <c r="AU1080">
        <v>5.15</v>
      </c>
      <c r="AV1080" t="s">
        <v>3996</v>
      </c>
      <c r="AW1080" t="s">
        <v>3997</v>
      </c>
      <c r="AX1080" t="s">
        <v>3998</v>
      </c>
    </row>
    <row r="1081" spans="1:50" x14ac:dyDescent="0.25">
      <c r="A1081" t="s">
        <v>3999</v>
      </c>
      <c r="B1081" t="s">
        <v>1679</v>
      </c>
      <c r="C1081">
        <v>0</v>
      </c>
      <c r="D1081">
        <v>0</v>
      </c>
      <c r="E1081" t="s">
        <v>1686</v>
      </c>
      <c r="H1081">
        <v>0</v>
      </c>
      <c r="N1081">
        <v>1</v>
      </c>
      <c r="Q1081">
        <v>0</v>
      </c>
      <c r="R1081">
        <v>1</v>
      </c>
      <c r="U1081" t="s">
        <v>1687</v>
      </c>
      <c r="V1081">
        <v>26</v>
      </c>
      <c r="W1081" t="s">
        <v>1688</v>
      </c>
      <c r="X1081" t="s">
        <v>80</v>
      </c>
      <c r="Y1081">
        <v>0</v>
      </c>
      <c r="Z1081">
        <v>70</v>
      </c>
      <c r="AB1081" t="s">
        <v>94</v>
      </c>
      <c r="AD1081" t="s">
        <v>57</v>
      </c>
      <c r="AE1081">
        <v>0</v>
      </c>
      <c r="AF1081">
        <v>6</v>
      </c>
      <c r="AG1081">
        <v>1</v>
      </c>
      <c r="AH1081">
        <v>3</v>
      </c>
      <c r="AI1081">
        <v>512</v>
      </c>
      <c r="AJ1081">
        <v>512</v>
      </c>
      <c r="AK1081">
        <v>160</v>
      </c>
      <c r="AL1081" t="s">
        <v>196</v>
      </c>
      <c r="AM1081">
        <v>2</v>
      </c>
      <c r="AN1081" t="s">
        <v>1419</v>
      </c>
      <c r="AO1081" t="s">
        <v>1155</v>
      </c>
      <c r="AP1081" t="s">
        <v>1767</v>
      </c>
      <c r="AQ1081">
        <v>15</v>
      </c>
      <c r="AR1081">
        <v>225</v>
      </c>
      <c r="AS1081">
        <v>450</v>
      </c>
      <c r="AT1081">
        <v>2.371</v>
      </c>
      <c r="AU1081">
        <v>4.6463999999999999</v>
      </c>
      <c r="AV1081" t="s">
        <v>4000</v>
      </c>
      <c r="AW1081" t="s">
        <v>4001</v>
      </c>
      <c r="AX1081" t="s">
        <v>4002</v>
      </c>
    </row>
    <row r="1082" spans="1:50" x14ac:dyDescent="0.25">
      <c r="A1082" t="s">
        <v>4003</v>
      </c>
      <c r="B1082" t="s">
        <v>1679</v>
      </c>
      <c r="C1082">
        <v>0</v>
      </c>
      <c r="D1082">
        <v>1</v>
      </c>
      <c r="E1082" t="s">
        <v>1725</v>
      </c>
      <c r="H1082">
        <v>0</v>
      </c>
      <c r="N1082">
        <v>1</v>
      </c>
      <c r="Q1082">
        <v>0</v>
      </c>
      <c r="R1082">
        <v>0</v>
      </c>
      <c r="U1082" t="s">
        <v>1687</v>
      </c>
      <c r="V1082">
        <v>57</v>
      </c>
      <c r="W1082" t="s">
        <v>79</v>
      </c>
      <c r="X1082" t="s">
        <v>1211</v>
      </c>
      <c r="Y1082">
        <v>0</v>
      </c>
      <c r="Z1082">
        <v>73.936000000000007</v>
      </c>
      <c r="AB1082" t="s">
        <v>94</v>
      </c>
      <c r="AD1082" t="s">
        <v>57</v>
      </c>
      <c r="AE1082">
        <v>0</v>
      </c>
      <c r="AF1082">
        <v>6</v>
      </c>
      <c r="AG1082">
        <v>1</v>
      </c>
      <c r="AH1082">
        <v>1.5</v>
      </c>
      <c r="AI1082">
        <v>512</v>
      </c>
      <c r="AJ1082">
        <v>512</v>
      </c>
      <c r="AK1082">
        <v>80</v>
      </c>
      <c r="AL1082" t="s">
        <v>128</v>
      </c>
      <c r="AM1082">
        <v>2</v>
      </c>
      <c r="AN1082" t="s">
        <v>996</v>
      </c>
      <c r="AO1082" t="s">
        <v>67</v>
      </c>
      <c r="AP1082" t="s">
        <v>68</v>
      </c>
      <c r="AQ1082">
        <v>15</v>
      </c>
      <c r="AR1082">
        <v>108</v>
      </c>
      <c r="AS1082">
        <v>217</v>
      </c>
      <c r="AT1082">
        <v>4.2</v>
      </c>
      <c r="AU1082">
        <v>7</v>
      </c>
      <c r="AV1082" t="s">
        <v>1975</v>
      </c>
      <c r="AW1082" t="s">
        <v>3770</v>
      </c>
      <c r="AX1082" t="s">
        <v>4004</v>
      </c>
    </row>
    <row r="1083" spans="1:50" x14ac:dyDescent="0.25">
      <c r="A1083" t="s">
        <v>4005</v>
      </c>
      <c r="B1083" t="s">
        <v>1679</v>
      </c>
      <c r="C1083">
        <v>0</v>
      </c>
      <c r="D1083">
        <v>1</v>
      </c>
      <c r="E1083" t="s">
        <v>1703</v>
      </c>
      <c r="H1083">
        <v>0</v>
      </c>
      <c r="N1083">
        <v>1</v>
      </c>
      <c r="Q1083">
        <v>0</v>
      </c>
      <c r="R1083">
        <v>0</v>
      </c>
      <c r="U1083" t="s">
        <v>1687</v>
      </c>
      <c r="V1083">
        <v>46</v>
      </c>
      <c r="W1083" t="s">
        <v>1688</v>
      </c>
      <c r="X1083" t="s">
        <v>111</v>
      </c>
      <c r="Y1083">
        <v>0</v>
      </c>
      <c r="Z1083">
        <v>70.760000000000005</v>
      </c>
      <c r="AB1083" t="s">
        <v>94</v>
      </c>
      <c r="AD1083" t="s">
        <v>57</v>
      </c>
      <c r="AE1083">
        <v>0</v>
      </c>
      <c r="AF1083">
        <v>6</v>
      </c>
      <c r="AG1083">
        <v>1</v>
      </c>
      <c r="AH1083">
        <v>1.5</v>
      </c>
      <c r="AI1083">
        <v>512</v>
      </c>
      <c r="AJ1083">
        <v>512</v>
      </c>
      <c r="AK1083">
        <v>72</v>
      </c>
      <c r="AL1083" t="s">
        <v>119</v>
      </c>
      <c r="AM1083">
        <v>2.2000000000000002</v>
      </c>
      <c r="AN1083" t="s">
        <v>1072</v>
      </c>
      <c r="AO1083" t="s">
        <v>67</v>
      </c>
      <c r="AP1083" t="s">
        <v>68</v>
      </c>
      <c r="AQ1083">
        <v>15</v>
      </c>
      <c r="AR1083">
        <v>264</v>
      </c>
      <c r="AS1083">
        <v>529</v>
      </c>
      <c r="AT1083">
        <v>4.2359999999999998</v>
      </c>
      <c r="AU1083">
        <v>8.6679999999999993</v>
      </c>
      <c r="AV1083" t="s">
        <v>4006</v>
      </c>
      <c r="AW1083" t="s">
        <v>3379</v>
      </c>
      <c r="AX1083" t="s">
        <v>4007</v>
      </c>
    </row>
    <row r="1084" spans="1:50" x14ac:dyDescent="0.25">
      <c r="A1084" t="s">
        <v>4008</v>
      </c>
      <c r="B1084" t="s">
        <v>1679</v>
      </c>
      <c r="C1084">
        <v>0</v>
      </c>
      <c r="D1084">
        <v>1</v>
      </c>
      <c r="E1084" t="s">
        <v>1871</v>
      </c>
      <c r="H1084">
        <v>1</v>
      </c>
      <c r="N1084">
        <v>0</v>
      </c>
      <c r="Q1084">
        <v>1</v>
      </c>
      <c r="R1084">
        <v>1</v>
      </c>
      <c r="U1084" t="s">
        <v>72</v>
      </c>
      <c r="V1084">
        <v>67</v>
      </c>
      <c r="W1084" t="s">
        <v>79</v>
      </c>
      <c r="X1084" t="s">
        <v>80</v>
      </c>
      <c r="Y1084">
        <v>0</v>
      </c>
      <c r="Z1084">
        <v>73.481999999999999</v>
      </c>
      <c r="AB1084" t="s">
        <v>94</v>
      </c>
      <c r="AD1084" t="s">
        <v>57</v>
      </c>
      <c r="AE1084">
        <v>0</v>
      </c>
      <c r="AF1084">
        <v>6</v>
      </c>
      <c r="AG1084">
        <v>1</v>
      </c>
      <c r="AH1084">
        <v>1.5</v>
      </c>
      <c r="AI1084">
        <v>512</v>
      </c>
      <c r="AJ1084">
        <v>512</v>
      </c>
      <c r="AK1084">
        <v>66</v>
      </c>
      <c r="AL1084" t="s">
        <v>196</v>
      </c>
      <c r="AM1084">
        <v>2.4</v>
      </c>
      <c r="AN1084" t="s">
        <v>1942</v>
      </c>
      <c r="AO1084" t="s">
        <v>67</v>
      </c>
      <c r="AP1084" t="s">
        <v>68</v>
      </c>
      <c r="AQ1084">
        <v>15</v>
      </c>
      <c r="AR1084">
        <v>380</v>
      </c>
      <c r="AS1084">
        <v>761</v>
      </c>
      <c r="AT1084">
        <v>2.98</v>
      </c>
      <c r="AU1084">
        <v>6.1959999999999997</v>
      </c>
      <c r="AV1084" t="s">
        <v>4009</v>
      </c>
      <c r="AW1084" t="s">
        <v>3282</v>
      </c>
      <c r="AX1084" t="s">
        <v>4010</v>
      </c>
    </row>
    <row r="1085" spans="1:50" x14ac:dyDescent="0.25">
      <c r="A1085" t="s">
        <v>4011</v>
      </c>
      <c r="B1085" t="s">
        <v>1679</v>
      </c>
      <c r="C1085">
        <v>0</v>
      </c>
      <c r="D1085">
        <v>0</v>
      </c>
      <c r="E1085" t="s">
        <v>1725</v>
      </c>
      <c r="H1085">
        <v>0</v>
      </c>
      <c r="N1085">
        <v>1</v>
      </c>
      <c r="Q1085">
        <v>0</v>
      </c>
      <c r="R1085">
        <v>0</v>
      </c>
      <c r="U1085" t="s">
        <v>1687</v>
      </c>
      <c r="V1085">
        <v>58</v>
      </c>
      <c r="W1085" t="s">
        <v>79</v>
      </c>
      <c r="X1085" t="s">
        <v>80</v>
      </c>
      <c r="Y1085">
        <v>0</v>
      </c>
      <c r="Z1085">
        <v>70.307000000000002</v>
      </c>
      <c r="AB1085" t="s">
        <v>94</v>
      </c>
      <c r="AD1085" t="s">
        <v>57</v>
      </c>
      <c r="AE1085">
        <v>0</v>
      </c>
      <c r="AF1085">
        <v>6</v>
      </c>
      <c r="AG1085">
        <v>1</v>
      </c>
      <c r="AH1085">
        <v>1.5</v>
      </c>
      <c r="AI1085">
        <v>512</v>
      </c>
      <c r="AJ1085">
        <v>512</v>
      </c>
      <c r="AK1085">
        <v>80</v>
      </c>
      <c r="AL1085" t="s">
        <v>81</v>
      </c>
      <c r="AM1085">
        <v>2</v>
      </c>
      <c r="AN1085" t="s">
        <v>996</v>
      </c>
      <c r="AO1085" t="s">
        <v>67</v>
      </c>
      <c r="AP1085" t="s">
        <v>68</v>
      </c>
      <c r="AQ1085">
        <v>15</v>
      </c>
      <c r="AR1085">
        <v>120</v>
      </c>
      <c r="AS1085">
        <v>240</v>
      </c>
      <c r="AT1085">
        <v>4.2</v>
      </c>
      <c r="AU1085">
        <v>7</v>
      </c>
      <c r="AV1085" t="s">
        <v>4012</v>
      </c>
      <c r="AW1085" t="s">
        <v>3871</v>
      </c>
      <c r="AX1085" t="s">
        <v>4013</v>
      </c>
    </row>
    <row r="1086" spans="1:50" x14ac:dyDescent="0.25">
      <c r="A1086" t="s">
        <v>4014</v>
      </c>
      <c r="B1086" t="s">
        <v>1679</v>
      </c>
      <c r="C1086">
        <v>0</v>
      </c>
      <c r="D1086">
        <v>0</v>
      </c>
      <c r="E1086" t="s">
        <v>1686</v>
      </c>
      <c r="H1086">
        <v>0</v>
      </c>
      <c r="N1086">
        <v>1</v>
      </c>
      <c r="Q1086">
        <v>0</v>
      </c>
      <c r="R1086">
        <v>1</v>
      </c>
      <c r="U1086" t="s">
        <v>1687</v>
      </c>
      <c r="V1086">
        <v>35</v>
      </c>
      <c r="X1086" t="s">
        <v>80</v>
      </c>
      <c r="Y1086">
        <v>0</v>
      </c>
      <c r="Z1086">
        <v>88</v>
      </c>
      <c r="AB1086" t="s">
        <v>118</v>
      </c>
      <c r="AD1086" t="s">
        <v>57</v>
      </c>
      <c r="AE1086">
        <v>0</v>
      </c>
      <c r="AF1086">
        <v>6</v>
      </c>
      <c r="AG1086">
        <v>1</v>
      </c>
      <c r="AH1086">
        <v>1.5</v>
      </c>
      <c r="AI1086">
        <v>400</v>
      </c>
      <c r="AJ1086">
        <v>400</v>
      </c>
      <c r="AK1086">
        <v>64</v>
      </c>
      <c r="AL1086" t="s">
        <v>1924</v>
      </c>
      <c r="AM1086">
        <v>2.5</v>
      </c>
      <c r="AN1086" t="s">
        <v>1531</v>
      </c>
      <c r="AO1086" t="s">
        <v>1155</v>
      </c>
      <c r="AP1086" t="s">
        <v>1767</v>
      </c>
      <c r="AQ1086">
        <v>11</v>
      </c>
      <c r="AR1086">
        <v>89.75</v>
      </c>
      <c r="AS1086">
        <v>156.04</v>
      </c>
      <c r="AT1086">
        <v>2.5979999999999999</v>
      </c>
      <c r="AU1086">
        <v>5.2080000000000002</v>
      </c>
      <c r="AV1086" t="s">
        <v>4015</v>
      </c>
      <c r="AW1086" t="s">
        <v>4016</v>
      </c>
      <c r="AX1086" t="s">
        <v>4017</v>
      </c>
    </row>
    <row r="1087" spans="1:50" x14ac:dyDescent="0.25">
      <c r="A1087" t="s">
        <v>4018</v>
      </c>
      <c r="B1087" t="s">
        <v>1679</v>
      </c>
      <c r="C1087">
        <v>0</v>
      </c>
      <c r="D1087">
        <v>1</v>
      </c>
      <c r="E1087" t="s">
        <v>1871</v>
      </c>
      <c r="H1087">
        <v>0</v>
      </c>
      <c r="N1087">
        <v>0</v>
      </c>
      <c r="Q1087">
        <v>1</v>
      </c>
      <c r="R1087">
        <v>0</v>
      </c>
      <c r="U1087" t="s">
        <v>72</v>
      </c>
      <c r="V1087">
        <v>50</v>
      </c>
      <c r="W1087" t="s">
        <v>1688</v>
      </c>
      <c r="X1087" t="s">
        <v>80</v>
      </c>
      <c r="Y1087">
        <v>0</v>
      </c>
      <c r="Z1087">
        <v>94.800817389299993</v>
      </c>
      <c r="AA1087">
        <v>1.6764033549999999</v>
      </c>
      <c r="AB1087" t="s">
        <v>118</v>
      </c>
      <c r="AD1087" t="s">
        <v>57</v>
      </c>
      <c r="AE1087">
        <v>0</v>
      </c>
      <c r="AF1087">
        <v>6</v>
      </c>
      <c r="AG1087">
        <v>1</v>
      </c>
      <c r="AH1087">
        <v>3</v>
      </c>
      <c r="AI1087">
        <v>512</v>
      </c>
      <c r="AJ1087">
        <v>512</v>
      </c>
      <c r="AK1087">
        <v>124</v>
      </c>
      <c r="AL1087" t="s">
        <v>1861</v>
      </c>
      <c r="AM1087">
        <v>1.2999999523000001</v>
      </c>
      <c r="AN1087" t="s">
        <v>1741</v>
      </c>
      <c r="AO1087" t="s">
        <v>59</v>
      </c>
      <c r="AP1087" t="s">
        <v>1862</v>
      </c>
      <c r="AQ1087">
        <v>11</v>
      </c>
      <c r="AR1087">
        <v>30</v>
      </c>
      <c r="AS1087">
        <v>80</v>
      </c>
      <c r="AT1087">
        <v>1.82</v>
      </c>
      <c r="AU1087">
        <v>4.72</v>
      </c>
      <c r="AV1087" t="s">
        <v>4019</v>
      </c>
      <c r="AW1087" t="s">
        <v>4020</v>
      </c>
      <c r="AX1087" t="s">
        <v>4021</v>
      </c>
    </row>
    <row r="1088" spans="1:50" x14ac:dyDescent="0.25">
      <c r="A1088" t="s">
        <v>4022</v>
      </c>
      <c r="B1088" t="s">
        <v>1679</v>
      </c>
      <c r="C1088">
        <v>1</v>
      </c>
      <c r="D1088">
        <v>1</v>
      </c>
      <c r="E1088" t="s">
        <v>1725</v>
      </c>
      <c r="H1088">
        <v>0</v>
      </c>
      <c r="N1088">
        <v>0</v>
      </c>
      <c r="Q1088">
        <v>0</v>
      </c>
      <c r="R1088">
        <v>0</v>
      </c>
      <c r="U1088" t="s">
        <v>65</v>
      </c>
      <c r="V1088">
        <v>52</v>
      </c>
      <c r="W1088" t="s">
        <v>79</v>
      </c>
      <c r="X1088" t="s">
        <v>80</v>
      </c>
      <c r="Y1088">
        <v>0</v>
      </c>
      <c r="AD1088" t="s">
        <v>57</v>
      </c>
      <c r="AE1088">
        <v>1</v>
      </c>
      <c r="AF1088">
        <v>6</v>
      </c>
      <c r="AG1088">
        <v>1</v>
      </c>
      <c r="AH1088">
        <v>1.5</v>
      </c>
      <c r="AI1088">
        <v>384</v>
      </c>
      <c r="AJ1088">
        <v>384</v>
      </c>
      <c r="AK1088">
        <v>160</v>
      </c>
      <c r="AL1088" t="s">
        <v>75</v>
      </c>
      <c r="AM1088">
        <v>1</v>
      </c>
      <c r="AN1088" t="s">
        <v>1728</v>
      </c>
      <c r="AO1088" t="s">
        <v>59</v>
      </c>
      <c r="AP1088" t="s">
        <v>1729</v>
      </c>
      <c r="AQ1088">
        <v>11</v>
      </c>
      <c r="AR1088">
        <v>61</v>
      </c>
      <c r="AS1088">
        <v>164</v>
      </c>
      <c r="AT1088">
        <v>1.81</v>
      </c>
      <c r="AU1088">
        <v>5.05</v>
      </c>
      <c r="AV1088" t="s">
        <v>2106</v>
      </c>
      <c r="AW1088" t="s">
        <v>4023</v>
      </c>
      <c r="AX1088" t="s">
        <v>4024</v>
      </c>
    </row>
    <row r="1089" spans="1:50" x14ac:dyDescent="0.25">
      <c r="A1089" t="s">
        <v>4025</v>
      </c>
      <c r="B1089" t="s">
        <v>1679</v>
      </c>
      <c r="C1089">
        <v>0</v>
      </c>
      <c r="D1089">
        <v>1</v>
      </c>
      <c r="E1089" t="s">
        <v>1693</v>
      </c>
      <c r="H1089">
        <v>0</v>
      </c>
      <c r="N1089">
        <v>1</v>
      </c>
      <c r="Q1089">
        <v>0</v>
      </c>
      <c r="R1089">
        <v>0</v>
      </c>
      <c r="U1089" t="s">
        <v>1687</v>
      </c>
      <c r="V1089">
        <v>63</v>
      </c>
      <c r="W1089" t="s">
        <v>79</v>
      </c>
      <c r="X1089" t="s">
        <v>80</v>
      </c>
      <c r="Y1089">
        <v>0</v>
      </c>
      <c r="Z1089">
        <v>71.668000000000006</v>
      </c>
      <c r="AB1089" t="s">
        <v>94</v>
      </c>
      <c r="AD1089" t="s">
        <v>57</v>
      </c>
      <c r="AE1089">
        <v>0</v>
      </c>
      <c r="AF1089">
        <v>6</v>
      </c>
      <c r="AG1089">
        <v>1</v>
      </c>
      <c r="AH1089">
        <v>1.5</v>
      </c>
      <c r="AI1089">
        <v>512</v>
      </c>
      <c r="AJ1089">
        <v>512</v>
      </c>
      <c r="AK1089">
        <v>80</v>
      </c>
      <c r="AL1089" t="s">
        <v>128</v>
      </c>
      <c r="AM1089">
        <v>2</v>
      </c>
      <c r="AN1089" t="s">
        <v>996</v>
      </c>
      <c r="AO1089" t="s">
        <v>67</v>
      </c>
      <c r="AP1089" t="s">
        <v>68</v>
      </c>
      <c r="AQ1089">
        <v>15</v>
      </c>
      <c r="AR1089">
        <v>120</v>
      </c>
      <c r="AS1089">
        <v>240</v>
      </c>
      <c r="AT1089">
        <v>4.2</v>
      </c>
      <c r="AU1089">
        <v>7</v>
      </c>
      <c r="AV1089" t="s">
        <v>4026</v>
      </c>
      <c r="AW1089" t="s">
        <v>2605</v>
      </c>
      <c r="AX1089" t="s">
        <v>4027</v>
      </c>
    </row>
    <row r="1090" spans="1:50" x14ac:dyDescent="0.25">
      <c r="A1090" t="s">
        <v>4028</v>
      </c>
      <c r="B1090" t="s">
        <v>1679</v>
      </c>
      <c r="C1090">
        <v>0</v>
      </c>
      <c r="D1090">
        <v>0</v>
      </c>
      <c r="E1090" t="s">
        <v>1698</v>
      </c>
      <c r="H1090">
        <v>0</v>
      </c>
      <c r="N1090">
        <v>0</v>
      </c>
      <c r="Q1090">
        <v>0</v>
      </c>
      <c r="R1090">
        <v>1</v>
      </c>
      <c r="U1090" t="s">
        <v>65</v>
      </c>
      <c r="V1090">
        <v>37</v>
      </c>
      <c r="W1090" t="s">
        <v>1688</v>
      </c>
      <c r="X1090" t="s">
        <v>80</v>
      </c>
      <c r="Y1090">
        <v>0</v>
      </c>
      <c r="Z1090">
        <v>81.650000000000006</v>
      </c>
      <c r="AB1090" t="s">
        <v>94</v>
      </c>
      <c r="AD1090" t="s">
        <v>57</v>
      </c>
      <c r="AE1090">
        <v>0</v>
      </c>
      <c r="AF1090">
        <v>6</v>
      </c>
      <c r="AG1090">
        <v>1</v>
      </c>
      <c r="AH1090">
        <v>1.5</v>
      </c>
      <c r="AI1090">
        <v>512</v>
      </c>
      <c r="AJ1090">
        <v>512</v>
      </c>
      <c r="AK1090">
        <v>76</v>
      </c>
      <c r="AL1090" t="s">
        <v>153</v>
      </c>
      <c r="AM1090">
        <v>2.1</v>
      </c>
      <c r="AN1090" t="s">
        <v>996</v>
      </c>
      <c r="AO1090" t="s">
        <v>67</v>
      </c>
      <c r="AP1090" t="s">
        <v>68</v>
      </c>
      <c r="AQ1090">
        <v>15</v>
      </c>
      <c r="AR1090">
        <v>50</v>
      </c>
      <c r="AS1090">
        <v>100</v>
      </c>
      <c r="AT1090">
        <v>4.2</v>
      </c>
      <c r="AU1090">
        <v>7.016</v>
      </c>
      <c r="AV1090" t="s">
        <v>4029</v>
      </c>
      <c r="AW1090" t="s">
        <v>4030</v>
      </c>
      <c r="AX1090" t="s">
        <v>4031</v>
      </c>
    </row>
    <row r="1091" spans="1:50" x14ac:dyDescent="0.25">
      <c r="A1091" t="s">
        <v>4032</v>
      </c>
      <c r="B1091" t="s">
        <v>1679</v>
      </c>
      <c r="C1091">
        <v>0</v>
      </c>
      <c r="D1091">
        <v>1</v>
      </c>
      <c r="E1091" t="s">
        <v>1740</v>
      </c>
      <c r="H1091">
        <v>1</v>
      </c>
      <c r="N1091">
        <v>0</v>
      </c>
      <c r="Q1091">
        <v>0</v>
      </c>
      <c r="R1091">
        <v>1</v>
      </c>
      <c r="U1091" t="s">
        <v>65</v>
      </c>
      <c r="V1091">
        <v>65</v>
      </c>
      <c r="W1091" t="s">
        <v>79</v>
      </c>
      <c r="X1091" t="s">
        <v>80</v>
      </c>
      <c r="Y1091">
        <v>0</v>
      </c>
      <c r="Z1091">
        <v>75.749935425900006</v>
      </c>
      <c r="AB1091" t="s">
        <v>94</v>
      </c>
      <c r="AD1091" t="s">
        <v>57</v>
      </c>
      <c r="AE1091">
        <v>1</v>
      </c>
      <c r="AF1091">
        <v>6</v>
      </c>
      <c r="AG1091">
        <v>1</v>
      </c>
      <c r="AH1091">
        <v>1.5</v>
      </c>
      <c r="AI1091">
        <v>384</v>
      </c>
      <c r="AJ1091">
        <v>384</v>
      </c>
      <c r="AK1091">
        <v>160</v>
      </c>
      <c r="AL1091" t="s">
        <v>75</v>
      </c>
      <c r="AM1091">
        <v>1</v>
      </c>
      <c r="AN1091" t="s">
        <v>1728</v>
      </c>
      <c r="AO1091" t="s">
        <v>59</v>
      </c>
      <c r="AP1091" t="s">
        <v>1729</v>
      </c>
      <c r="AQ1091">
        <v>11</v>
      </c>
      <c r="AR1091">
        <v>60</v>
      </c>
      <c r="AS1091">
        <v>159</v>
      </c>
      <c r="AT1091">
        <v>1.81</v>
      </c>
      <c r="AU1091">
        <v>5.05</v>
      </c>
      <c r="AV1091" t="s">
        <v>2325</v>
      </c>
      <c r="AW1091" t="s">
        <v>4033</v>
      </c>
      <c r="AX1091" t="s">
        <v>4034</v>
      </c>
    </row>
    <row r="1092" spans="1:50" x14ac:dyDescent="0.25">
      <c r="A1092" t="s">
        <v>4035</v>
      </c>
      <c r="B1092" t="s">
        <v>1679</v>
      </c>
      <c r="C1092">
        <v>0</v>
      </c>
      <c r="D1092">
        <v>1</v>
      </c>
      <c r="E1092" t="s">
        <v>1725</v>
      </c>
      <c r="H1092">
        <v>0</v>
      </c>
      <c r="N1092">
        <v>0</v>
      </c>
      <c r="Q1092">
        <v>0</v>
      </c>
      <c r="R1092">
        <v>1</v>
      </c>
      <c r="U1092" t="s">
        <v>65</v>
      </c>
      <c r="V1092">
        <v>36</v>
      </c>
      <c r="W1092" t="s">
        <v>1688</v>
      </c>
      <c r="X1092" t="s">
        <v>80</v>
      </c>
      <c r="Y1092">
        <v>0</v>
      </c>
      <c r="Z1092">
        <v>63.957000000000001</v>
      </c>
      <c r="AB1092" t="s">
        <v>74</v>
      </c>
      <c r="AD1092" t="s">
        <v>57</v>
      </c>
      <c r="AE1092">
        <v>0</v>
      </c>
      <c r="AF1092">
        <v>6</v>
      </c>
      <c r="AG1092">
        <v>1</v>
      </c>
      <c r="AH1092">
        <v>3</v>
      </c>
      <c r="AI1092">
        <v>512</v>
      </c>
      <c r="AJ1092">
        <v>512</v>
      </c>
      <c r="AK1092">
        <v>80</v>
      </c>
      <c r="AL1092" t="s">
        <v>66</v>
      </c>
      <c r="AM1092">
        <v>2</v>
      </c>
      <c r="AN1092" t="s">
        <v>1915</v>
      </c>
      <c r="AO1092" t="s">
        <v>67</v>
      </c>
      <c r="AP1092" t="s">
        <v>68</v>
      </c>
      <c r="AQ1092">
        <v>15</v>
      </c>
      <c r="AR1092">
        <v>722</v>
      </c>
      <c r="AS1092">
        <v>1445</v>
      </c>
      <c r="AT1092">
        <v>2.1760000000000002</v>
      </c>
      <c r="AU1092">
        <v>5.452</v>
      </c>
      <c r="AV1092" t="s">
        <v>4036</v>
      </c>
      <c r="AW1092" t="s">
        <v>4037</v>
      </c>
      <c r="AX1092" t="s">
        <v>4038</v>
      </c>
    </row>
    <row r="1093" spans="1:50" x14ac:dyDescent="0.25">
      <c r="A1093" t="s">
        <v>4039</v>
      </c>
      <c r="B1093" t="s">
        <v>1679</v>
      </c>
      <c r="C1093">
        <v>0</v>
      </c>
      <c r="D1093">
        <v>1</v>
      </c>
      <c r="E1093" t="s">
        <v>1725</v>
      </c>
      <c r="H1093">
        <v>0</v>
      </c>
      <c r="N1093">
        <v>1</v>
      </c>
      <c r="Q1093">
        <v>0</v>
      </c>
      <c r="R1093">
        <v>0</v>
      </c>
      <c r="U1093" t="s">
        <v>1687</v>
      </c>
      <c r="V1093">
        <v>35</v>
      </c>
      <c r="W1093" t="s">
        <v>1688</v>
      </c>
      <c r="X1093" t="s">
        <v>80</v>
      </c>
      <c r="Y1093">
        <v>0</v>
      </c>
      <c r="Z1093">
        <v>109</v>
      </c>
      <c r="AB1093" t="s">
        <v>269</v>
      </c>
      <c r="AD1093" t="s">
        <v>57</v>
      </c>
      <c r="AE1093">
        <v>0</v>
      </c>
      <c r="AF1093">
        <v>6</v>
      </c>
      <c r="AG1093">
        <v>1</v>
      </c>
      <c r="AH1093">
        <v>3</v>
      </c>
      <c r="AI1093">
        <v>512</v>
      </c>
      <c r="AJ1093">
        <v>512</v>
      </c>
      <c r="AK1093">
        <v>160</v>
      </c>
      <c r="AL1093" t="s">
        <v>2372</v>
      </c>
      <c r="AM1093">
        <v>2</v>
      </c>
      <c r="AN1093" t="s">
        <v>1419</v>
      </c>
      <c r="AO1093" t="s">
        <v>1155</v>
      </c>
      <c r="AP1093" t="s">
        <v>1767</v>
      </c>
      <c r="AQ1093">
        <v>11</v>
      </c>
      <c r="AR1093">
        <v>1461</v>
      </c>
      <c r="AS1093">
        <v>2540</v>
      </c>
      <c r="AT1093">
        <v>1.73</v>
      </c>
      <c r="AU1093">
        <v>4</v>
      </c>
      <c r="AV1093" t="s">
        <v>4040</v>
      </c>
      <c r="AW1093" t="s">
        <v>3155</v>
      </c>
      <c r="AX1093" t="s">
        <v>4041</v>
      </c>
    </row>
    <row r="1094" spans="1:50" x14ac:dyDescent="0.25">
      <c r="A1094" t="s">
        <v>4042</v>
      </c>
      <c r="B1094" t="s">
        <v>1679</v>
      </c>
      <c r="C1094">
        <v>0</v>
      </c>
      <c r="D1094">
        <v>0</v>
      </c>
      <c r="E1094" t="s">
        <v>1703</v>
      </c>
      <c r="H1094">
        <v>1</v>
      </c>
      <c r="N1094">
        <v>0</v>
      </c>
      <c r="Q1094">
        <v>0</v>
      </c>
      <c r="R1094">
        <v>1</v>
      </c>
      <c r="U1094" t="s">
        <v>65</v>
      </c>
      <c r="V1094">
        <v>38</v>
      </c>
      <c r="W1094" t="s">
        <v>1688</v>
      </c>
      <c r="X1094" t="s">
        <v>111</v>
      </c>
      <c r="Y1094">
        <v>0</v>
      </c>
      <c r="Z1094">
        <v>63.503</v>
      </c>
      <c r="AB1094" t="s">
        <v>74</v>
      </c>
      <c r="AD1094" t="s">
        <v>57</v>
      </c>
      <c r="AE1094">
        <v>0</v>
      </c>
      <c r="AF1094">
        <v>6</v>
      </c>
      <c r="AG1094">
        <v>1</v>
      </c>
      <c r="AH1094">
        <v>1.5</v>
      </c>
      <c r="AI1094">
        <v>512</v>
      </c>
      <c r="AJ1094">
        <v>512</v>
      </c>
      <c r="AK1094">
        <v>80</v>
      </c>
      <c r="AL1094" t="s">
        <v>81</v>
      </c>
      <c r="AM1094">
        <v>2</v>
      </c>
      <c r="AN1094" t="s">
        <v>996</v>
      </c>
      <c r="AO1094" t="s">
        <v>67</v>
      </c>
      <c r="AP1094" t="s">
        <v>68</v>
      </c>
      <c r="AQ1094">
        <v>15</v>
      </c>
      <c r="AR1094">
        <v>125</v>
      </c>
      <c r="AS1094">
        <v>250</v>
      </c>
      <c r="AT1094">
        <v>4.2</v>
      </c>
      <c r="AU1094">
        <v>7</v>
      </c>
      <c r="AV1094" t="s">
        <v>2525</v>
      </c>
      <c r="AW1094" t="s">
        <v>1992</v>
      </c>
      <c r="AX1094" t="s">
        <v>4043</v>
      </c>
    </row>
    <row r="1095" spans="1:50" x14ac:dyDescent="0.25">
      <c r="A1095" t="s">
        <v>4044</v>
      </c>
      <c r="B1095" t="s">
        <v>1679</v>
      </c>
      <c r="C1095">
        <v>0</v>
      </c>
      <c r="D1095">
        <v>0</v>
      </c>
      <c r="E1095" t="s">
        <v>1703</v>
      </c>
      <c r="H1095">
        <v>0</v>
      </c>
      <c r="N1095">
        <v>1</v>
      </c>
      <c r="Q1095">
        <v>0</v>
      </c>
      <c r="R1095">
        <v>0</v>
      </c>
      <c r="U1095" t="s">
        <v>1687</v>
      </c>
      <c r="V1095">
        <v>46</v>
      </c>
      <c r="W1095" t="s">
        <v>1688</v>
      </c>
      <c r="X1095" t="s">
        <v>111</v>
      </c>
      <c r="Y1095">
        <v>0</v>
      </c>
      <c r="Z1095">
        <v>54.430999999999997</v>
      </c>
      <c r="AB1095" t="s">
        <v>74</v>
      </c>
      <c r="AD1095" t="s">
        <v>57</v>
      </c>
      <c r="AE1095">
        <v>0</v>
      </c>
      <c r="AF1095">
        <v>6</v>
      </c>
      <c r="AG1095">
        <v>1</v>
      </c>
      <c r="AH1095">
        <v>1.5</v>
      </c>
      <c r="AI1095">
        <v>512</v>
      </c>
      <c r="AJ1095">
        <v>512</v>
      </c>
      <c r="AK1095">
        <v>80</v>
      </c>
      <c r="AL1095" t="s">
        <v>113</v>
      </c>
      <c r="AM1095">
        <v>2</v>
      </c>
      <c r="AN1095" t="s">
        <v>996</v>
      </c>
      <c r="AO1095" t="s">
        <v>67</v>
      </c>
      <c r="AP1095" t="s">
        <v>68</v>
      </c>
      <c r="AQ1095">
        <v>15</v>
      </c>
      <c r="AR1095">
        <v>378</v>
      </c>
      <c r="AS1095">
        <v>756</v>
      </c>
      <c r="AT1095">
        <v>4.2</v>
      </c>
      <c r="AU1095">
        <v>7</v>
      </c>
      <c r="AV1095" t="s">
        <v>4045</v>
      </c>
      <c r="AW1095" t="s">
        <v>1683</v>
      </c>
      <c r="AX1095" t="s">
        <v>4046</v>
      </c>
    </row>
    <row r="1096" spans="1:50" x14ac:dyDescent="0.25">
      <c r="A1096" t="s">
        <v>4047</v>
      </c>
      <c r="B1096" t="s">
        <v>1679</v>
      </c>
      <c r="C1096">
        <v>0</v>
      </c>
      <c r="D1096">
        <v>0</v>
      </c>
      <c r="E1096" t="s">
        <v>1693</v>
      </c>
      <c r="H1096">
        <v>0</v>
      </c>
      <c r="N1096">
        <v>1</v>
      </c>
      <c r="Q1096">
        <v>0</v>
      </c>
      <c r="R1096">
        <v>0</v>
      </c>
      <c r="U1096" t="s">
        <v>1687</v>
      </c>
      <c r="V1096">
        <v>34</v>
      </c>
      <c r="W1096" t="s">
        <v>1688</v>
      </c>
      <c r="X1096" t="s">
        <v>80</v>
      </c>
      <c r="Y1096">
        <v>0</v>
      </c>
      <c r="Z1096">
        <v>79.379000000000005</v>
      </c>
      <c r="AB1096" t="s">
        <v>94</v>
      </c>
      <c r="AD1096" t="s">
        <v>57</v>
      </c>
      <c r="AE1096">
        <v>0</v>
      </c>
      <c r="AF1096">
        <v>6</v>
      </c>
      <c r="AG1096">
        <v>1</v>
      </c>
      <c r="AH1096">
        <v>3</v>
      </c>
      <c r="AI1096">
        <v>512</v>
      </c>
      <c r="AJ1096">
        <v>512</v>
      </c>
      <c r="AK1096">
        <v>134</v>
      </c>
      <c r="AL1096" t="s">
        <v>128</v>
      </c>
      <c r="AM1096">
        <v>2.4</v>
      </c>
      <c r="AN1096" t="s">
        <v>1786</v>
      </c>
      <c r="AO1096" t="s">
        <v>67</v>
      </c>
      <c r="AP1096" t="s">
        <v>68</v>
      </c>
      <c r="AQ1096">
        <v>15</v>
      </c>
      <c r="AR1096">
        <v>235</v>
      </c>
      <c r="AS1096">
        <v>470</v>
      </c>
      <c r="AT1096">
        <v>2.8279999999999998</v>
      </c>
      <c r="AU1096">
        <v>7.5430000000000001</v>
      </c>
      <c r="AV1096" t="s">
        <v>1817</v>
      </c>
      <c r="AW1096" t="s">
        <v>4048</v>
      </c>
      <c r="AX1096" t="s">
        <v>4049</v>
      </c>
    </row>
    <row r="1097" spans="1:50" x14ac:dyDescent="0.25">
      <c r="A1097" t="s">
        <v>4050</v>
      </c>
      <c r="B1097" t="s">
        <v>1679</v>
      </c>
      <c r="C1097">
        <v>0</v>
      </c>
      <c r="D1097">
        <v>0</v>
      </c>
      <c r="E1097" t="s">
        <v>1740</v>
      </c>
      <c r="H1097">
        <v>0</v>
      </c>
      <c r="N1097">
        <v>0</v>
      </c>
      <c r="Q1097">
        <v>1</v>
      </c>
      <c r="R1097">
        <v>1</v>
      </c>
      <c r="U1097" t="s">
        <v>72</v>
      </c>
      <c r="V1097">
        <v>46</v>
      </c>
      <c r="W1097" t="s">
        <v>1688</v>
      </c>
      <c r="X1097" t="s">
        <v>80</v>
      </c>
      <c r="Y1097">
        <v>0</v>
      </c>
      <c r="AD1097" t="s">
        <v>57</v>
      </c>
      <c r="AE1097">
        <v>0</v>
      </c>
      <c r="AF1097">
        <v>6</v>
      </c>
      <c r="AG1097">
        <v>1</v>
      </c>
      <c r="AH1097">
        <v>3</v>
      </c>
      <c r="AI1097">
        <v>512</v>
      </c>
      <c r="AJ1097">
        <v>512</v>
      </c>
      <c r="AK1097">
        <v>134</v>
      </c>
      <c r="AL1097" t="s">
        <v>119</v>
      </c>
      <c r="AM1097">
        <v>2.4</v>
      </c>
      <c r="AN1097" t="s">
        <v>1786</v>
      </c>
      <c r="AO1097" t="s">
        <v>67</v>
      </c>
      <c r="AP1097" t="s">
        <v>68</v>
      </c>
      <c r="AQ1097">
        <v>15</v>
      </c>
      <c r="AR1097">
        <v>217</v>
      </c>
      <c r="AS1097">
        <v>434</v>
      </c>
      <c r="AT1097">
        <v>2.8</v>
      </c>
      <c r="AU1097">
        <v>7.2089999999999996</v>
      </c>
      <c r="AV1097" t="s">
        <v>4051</v>
      </c>
      <c r="AW1097" t="s">
        <v>4052</v>
      </c>
      <c r="AX1097" t="s">
        <v>4053</v>
      </c>
    </row>
    <row r="1098" spans="1:50" x14ac:dyDescent="0.25">
      <c r="A1098" t="s">
        <v>4054</v>
      </c>
      <c r="B1098" t="s">
        <v>1679</v>
      </c>
      <c r="C1098">
        <v>0</v>
      </c>
      <c r="D1098">
        <v>0</v>
      </c>
      <c r="E1098" t="s">
        <v>1725</v>
      </c>
      <c r="H1098">
        <v>0</v>
      </c>
      <c r="N1098">
        <v>1</v>
      </c>
      <c r="Q1098">
        <v>0</v>
      </c>
      <c r="R1098">
        <v>0</v>
      </c>
      <c r="U1098" t="s">
        <v>1687</v>
      </c>
      <c r="V1098">
        <v>49</v>
      </c>
      <c r="W1098" t="s">
        <v>1688</v>
      </c>
      <c r="X1098" t="s">
        <v>111</v>
      </c>
      <c r="Y1098">
        <v>0</v>
      </c>
      <c r="Z1098">
        <v>64.864000000000004</v>
      </c>
      <c r="AB1098" t="s">
        <v>74</v>
      </c>
      <c r="AD1098" t="s">
        <v>57</v>
      </c>
      <c r="AE1098">
        <v>0</v>
      </c>
      <c r="AF1098">
        <v>6</v>
      </c>
      <c r="AG1098">
        <v>1</v>
      </c>
      <c r="AH1098">
        <v>1.5</v>
      </c>
      <c r="AI1098">
        <v>512</v>
      </c>
      <c r="AJ1098">
        <v>512</v>
      </c>
      <c r="AK1098">
        <v>80</v>
      </c>
      <c r="AL1098" t="s">
        <v>81</v>
      </c>
      <c r="AM1098">
        <v>2</v>
      </c>
      <c r="AN1098" t="s">
        <v>996</v>
      </c>
      <c r="AO1098" t="s">
        <v>67</v>
      </c>
      <c r="AP1098" t="s">
        <v>68</v>
      </c>
      <c r="AQ1098">
        <v>15</v>
      </c>
      <c r="AR1098">
        <v>112</v>
      </c>
      <c r="AS1098">
        <v>225</v>
      </c>
      <c r="AT1098">
        <v>4.2</v>
      </c>
      <c r="AU1098">
        <v>7</v>
      </c>
      <c r="AV1098" t="s">
        <v>4055</v>
      </c>
      <c r="AW1098" t="s">
        <v>2904</v>
      </c>
      <c r="AX1098" t="s">
        <v>4056</v>
      </c>
    </row>
    <row r="1099" spans="1:50" x14ac:dyDescent="0.25">
      <c r="A1099" t="s">
        <v>4057</v>
      </c>
      <c r="B1099" t="s">
        <v>1679</v>
      </c>
      <c r="C1099">
        <v>0</v>
      </c>
      <c r="D1099">
        <v>0</v>
      </c>
      <c r="E1099" t="s">
        <v>1725</v>
      </c>
      <c r="H1099">
        <v>0</v>
      </c>
      <c r="N1099">
        <v>1</v>
      </c>
      <c r="Q1099">
        <v>0</v>
      </c>
      <c r="R1099">
        <v>0</v>
      </c>
      <c r="U1099" t="s">
        <v>1687</v>
      </c>
      <c r="V1099">
        <v>64</v>
      </c>
      <c r="W1099" t="s">
        <v>79</v>
      </c>
      <c r="X1099" t="s">
        <v>80</v>
      </c>
      <c r="Y1099">
        <v>0</v>
      </c>
      <c r="AD1099" t="s">
        <v>57</v>
      </c>
      <c r="AE1099">
        <v>1</v>
      </c>
      <c r="AF1099">
        <v>6</v>
      </c>
      <c r="AG1099">
        <v>1</v>
      </c>
      <c r="AH1099">
        <v>1.5</v>
      </c>
      <c r="AI1099">
        <v>384</v>
      </c>
      <c r="AJ1099">
        <v>384</v>
      </c>
      <c r="AK1099">
        <v>160</v>
      </c>
      <c r="AL1099" t="s">
        <v>3974</v>
      </c>
      <c r="AM1099">
        <v>1</v>
      </c>
      <c r="AN1099" t="s">
        <v>1741</v>
      </c>
      <c r="AO1099" t="s">
        <v>59</v>
      </c>
      <c r="AP1099" t="s">
        <v>60</v>
      </c>
      <c r="AQ1099">
        <v>11</v>
      </c>
      <c r="AR1099">
        <v>93</v>
      </c>
      <c r="AS1099">
        <v>233</v>
      </c>
      <c r="AT1099">
        <v>2.39</v>
      </c>
      <c r="AU1099">
        <v>5.18</v>
      </c>
      <c r="AV1099" t="s">
        <v>3975</v>
      </c>
      <c r="AW1099" t="s">
        <v>4058</v>
      </c>
      <c r="AX1099" t="s">
        <v>4059</v>
      </c>
    </row>
    <row r="1100" spans="1:50" x14ac:dyDescent="0.25">
      <c r="A1100" t="s">
        <v>4060</v>
      </c>
      <c r="B1100" t="s">
        <v>1679</v>
      </c>
      <c r="C1100">
        <v>0</v>
      </c>
      <c r="D1100">
        <v>0</v>
      </c>
      <c r="E1100" t="s">
        <v>1703</v>
      </c>
      <c r="H1100">
        <v>1</v>
      </c>
      <c r="N1100">
        <v>1</v>
      </c>
      <c r="Q1100">
        <v>0</v>
      </c>
      <c r="R1100">
        <v>1</v>
      </c>
      <c r="U1100" t="s">
        <v>1687</v>
      </c>
      <c r="V1100">
        <v>57</v>
      </c>
      <c r="W1100" t="s">
        <v>79</v>
      </c>
      <c r="X1100" t="s">
        <v>80</v>
      </c>
      <c r="Y1100">
        <v>0</v>
      </c>
      <c r="Z1100">
        <v>48.08</v>
      </c>
      <c r="AB1100" t="s">
        <v>247</v>
      </c>
      <c r="AD1100" t="s">
        <v>57</v>
      </c>
      <c r="AE1100">
        <v>1</v>
      </c>
      <c r="AF1100">
        <v>6</v>
      </c>
      <c r="AG1100">
        <v>1</v>
      </c>
      <c r="AH1100">
        <v>1.5</v>
      </c>
      <c r="AI1100">
        <v>256</v>
      </c>
      <c r="AJ1100">
        <v>256</v>
      </c>
      <c r="AK1100">
        <v>248</v>
      </c>
      <c r="AL1100" t="s">
        <v>446</v>
      </c>
      <c r="AM1100">
        <v>0.89999799999999996</v>
      </c>
      <c r="AN1100" t="s">
        <v>1720</v>
      </c>
      <c r="AO1100" t="s">
        <v>67</v>
      </c>
      <c r="AP1100" t="s">
        <v>89</v>
      </c>
      <c r="AQ1100">
        <v>15</v>
      </c>
      <c r="AR1100">
        <v>392</v>
      </c>
      <c r="AS1100">
        <v>784</v>
      </c>
      <c r="AT1100">
        <v>1.9239999999999999</v>
      </c>
      <c r="AU1100">
        <v>4.1159999999999997</v>
      </c>
      <c r="AV1100" t="s">
        <v>4061</v>
      </c>
      <c r="AW1100" t="s">
        <v>4062</v>
      </c>
      <c r="AX1100" t="s">
        <v>4063</v>
      </c>
    </row>
    <row r="1101" spans="1:50" x14ac:dyDescent="0.25">
      <c r="A1101" t="s">
        <v>4064</v>
      </c>
      <c r="B1101" t="s">
        <v>1679</v>
      </c>
      <c r="C1101">
        <v>0</v>
      </c>
      <c r="D1101">
        <v>1</v>
      </c>
      <c r="E1101" t="s">
        <v>1703</v>
      </c>
      <c r="H1101">
        <v>0</v>
      </c>
      <c r="N1101">
        <v>1</v>
      </c>
      <c r="Q1101">
        <v>0</v>
      </c>
      <c r="R1101">
        <v>1</v>
      </c>
      <c r="U1101" t="s">
        <v>1687</v>
      </c>
      <c r="V1101">
        <v>64</v>
      </c>
      <c r="W1101" t="s">
        <v>79</v>
      </c>
      <c r="X1101" t="s">
        <v>80</v>
      </c>
      <c r="Y1101">
        <v>0</v>
      </c>
      <c r="Z1101">
        <v>85.6</v>
      </c>
      <c r="AB1101" t="s">
        <v>118</v>
      </c>
      <c r="AD1101" t="s">
        <v>57</v>
      </c>
      <c r="AE1101">
        <v>0</v>
      </c>
      <c r="AF1101">
        <v>6</v>
      </c>
      <c r="AG1101">
        <v>1</v>
      </c>
      <c r="AH1101">
        <v>1.5</v>
      </c>
      <c r="AI1101">
        <v>512</v>
      </c>
      <c r="AJ1101">
        <v>512</v>
      </c>
      <c r="AK1101">
        <v>80</v>
      </c>
      <c r="AL1101" t="s">
        <v>81</v>
      </c>
      <c r="AM1101">
        <v>2</v>
      </c>
      <c r="AN1101" t="s">
        <v>1705</v>
      </c>
      <c r="AO1101" t="s">
        <v>67</v>
      </c>
      <c r="AP1101" t="s">
        <v>89</v>
      </c>
      <c r="AQ1101">
        <v>15</v>
      </c>
      <c r="AR1101">
        <v>291</v>
      </c>
      <c r="AS1101">
        <v>582</v>
      </c>
      <c r="AT1101">
        <v>2.548</v>
      </c>
      <c r="AU1101">
        <v>5.2779999999999996</v>
      </c>
      <c r="AV1101" t="s">
        <v>4065</v>
      </c>
      <c r="AW1101" t="s">
        <v>4066</v>
      </c>
      <c r="AX1101" t="s">
        <v>4067</v>
      </c>
    </row>
    <row r="1102" spans="1:50" x14ac:dyDescent="0.25">
      <c r="A1102" t="s">
        <v>4068</v>
      </c>
      <c r="B1102" t="s">
        <v>1679</v>
      </c>
      <c r="C1102">
        <v>0</v>
      </c>
      <c r="D1102">
        <v>0</v>
      </c>
      <c r="E1102" t="s">
        <v>1698</v>
      </c>
      <c r="H1102">
        <v>1</v>
      </c>
      <c r="N1102">
        <v>0</v>
      </c>
      <c r="Q1102">
        <v>0</v>
      </c>
      <c r="R1102">
        <v>1</v>
      </c>
      <c r="U1102" t="s">
        <v>65</v>
      </c>
      <c r="V1102">
        <v>50</v>
      </c>
      <c r="W1102" t="s">
        <v>1704</v>
      </c>
      <c r="X1102" t="s">
        <v>80</v>
      </c>
      <c r="Y1102">
        <v>0</v>
      </c>
      <c r="Z1102">
        <v>64.41</v>
      </c>
      <c r="AB1102" t="s">
        <v>74</v>
      </c>
      <c r="AD1102" t="s">
        <v>57</v>
      </c>
      <c r="AE1102">
        <v>0</v>
      </c>
      <c r="AF1102">
        <v>6</v>
      </c>
      <c r="AG1102">
        <v>1</v>
      </c>
      <c r="AH1102">
        <v>1.5</v>
      </c>
      <c r="AI1102">
        <v>512</v>
      </c>
      <c r="AJ1102">
        <v>512</v>
      </c>
      <c r="AK1102">
        <v>80</v>
      </c>
      <c r="AL1102" t="s">
        <v>66</v>
      </c>
      <c r="AM1102">
        <v>2</v>
      </c>
      <c r="AN1102" t="s">
        <v>996</v>
      </c>
      <c r="AO1102" t="s">
        <v>67</v>
      </c>
      <c r="AP1102" t="s">
        <v>68</v>
      </c>
      <c r="AQ1102">
        <v>15</v>
      </c>
      <c r="AR1102">
        <v>32</v>
      </c>
      <c r="AS1102">
        <v>64</v>
      </c>
      <c r="AT1102">
        <v>4.2</v>
      </c>
      <c r="AU1102">
        <v>7.0720000000000001</v>
      </c>
      <c r="AV1102" t="s">
        <v>4069</v>
      </c>
      <c r="AW1102" t="s">
        <v>4070</v>
      </c>
      <c r="AX1102" t="s">
        <v>4071</v>
      </c>
    </row>
    <row r="1103" spans="1:50" x14ac:dyDescent="0.25">
      <c r="A1103" t="s">
        <v>4072</v>
      </c>
      <c r="B1103" t="s">
        <v>1679</v>
      </c>
      <c r="C1103">
        <v>0</v>
      </c>
      <c r="D1103">
        <v>0</v>
      </c>
      <c r="E1103" t="s">
        <v>1740</v>
      </c>
      <c r="H1103">
        <v>0</v>
      </c>
      <c r="N1103">
        <v>1</v>
      </c>
      <c r="Q1103">
        <v>0</v>
      </c>
      <c r="R1103">
        <v>1</v>
      </c>
      <c r="U1103" t="s">
        <v>1687</v>
      </c>
      <c r="V1103">
        <v>54</v>
      </c>
      <c r="W1103" t="s">
        <v>79</v>
      </c>
      <c r="X1103" t="s">
        <v>55</v>
      </c>
      <c r="Y1103">
        <v>0</v>
      </c>
      <c r="Z1103">
        <v>77.111000000000004</v>
      </c>
      <c r="AB1103" t="s">
        <v>94</v>
      </c>
      <c r="AD1103" t="s">
        <v>57</v>
      </c>
      <c r="AE1103">
        <v>0</v>
      </c>
      <c r="AF1103">
        <v>6</v>
      </c>
      <c r="AG1103">
        <v>1</v>
      </c>
      <c r="AH1103">
        <v>1.5</v>
      </c>
      <c r="AI1103">
        <v>512</v>
      </c>
      <c r="AJ1103">
        <v>512</v>
      </c>
      <c r="AK1103">
        <v>80</v>
      </c>
      <c r="AL1103" t="s">
        <v>196</v>
      </c>
      <c r="AM1103">
        <v>2</v>
      </c>
      <c r="AN1103" t="s">
        <v>996</v>
      </c>
      <c r="AO1103" t="s">
        <v>67</v>
      </c>
      <c r="AP1103" t="s">
        <v>114</v>
      </c>
      <c r="AQ1103">
        <v>15</v>
      </c>
      <c r="AR1103">
        <v>129</v>
      </c>
      <c r="AS1103">
        <v>259</v>
      </c>
      <c r="AT1103">
        <v>4.3360000000000003</v>
      </c>
      <c r="AU1103">
        <v>8.84</v>
      </c>
      <c r="AV1103" t="s">
        <v>4073</v>
      </c>
      <c r="AW1103" t="s">
        <v>4074</v>
      </c>
      <c r="AX1103" t="s">
        <v>4075</v>
      </c>
    </row>
    <row r="1104" spans="1:50" x14ac:dyDescent="0.25">
      <c r="A1104" t="s">
        <v>4076</v>
      </c>
      <c r="B1104" t="s">
        <v>1679</v>
      </c>
      <c r="C1104">
        <v>0</v>
      </c>
      <c r="D1104">
        <v>0</v>
      </c>
      <c r="E1104" t="s">
        <v>1725</v>
      </c>
      <c r="H1104">
        <v>1</v>
      </c>
      <c r="N1104">
        <v>0</v>
      </c>
      <c r="Q1104">
        <v>0</v>
      </c>
      <c r="R1104">
        <v>1</v>
      </c>
      <c r="U1104" t="s">
        <v>65</v>
      </c>
      <c r="V1104">
        <v>39</v>
      </c>
      <c r="W1104" t="s">
        <v>1688</v>
      </c>
      <c r="X1104" t="s">
        <v>80</v>
      </c>
      <c r="Y1104">
        <v>0</v>
      </c>
      <c r="AD1104" t="s">
        <v>57</v>
      </c>
      <c r="AE1104">
        <v>0</v>
      </c>
      <c r="AF1104">
        <v>6</v>
      </c>
      <c r="AG1104">
        <v>1</v>
      </c>
      <c r="AH1104">
        <v>1.5</v>
      </c>
      <c r="AI1104">
        <v>512</v>
      </c>
      <c r="AJ1104">
        <v>512</v>
      </c>
      <c r="AK1104">
        <v>72</v>
      </c>
      <c r="AL1104" t="s">
        <v>119</v>
      </c>
      <c r="AM1104">
        <v>2.2000000000000002</v>
      </c>
      <c r="AN1104" t="s">
        <v>1072</v>
      </c>
      <c r="AO1104" t="s">
        <v>67</v>
      </c>
      <c r="AP1104" t="s">
        <v>68</v>
      </c>
      <c r="AQ1104">
        <v>15</v>
      </c>
      <c r="AR1104">
        <v>233</v>
      </c>
      <c r="AS1104">
        <v>466</v>
      </c>
      <c r="AT1104">
        <v>4.28</v>
      </c>
      <c r="AU1104">
        <v>8.7439999999999998</v>
      </c>
      <c r="AV1104" t="s">
        <v>4077</v>
      </c>
      <c r="AW1104" t="s">
        <v>4037</v>
      </c>
      <c r="AX1104" t="s">
        <v>4078</v>
      </c>
    </row>
    <row r="1105" spans="1:50" x14ac:dyDescent="0.25">
      <c r="A1105" t="s">
        <v>4079</v>
      </c>
      <c r="B1105" t="s">
        <v>1679</v>
      </c>
      <c r="C1105">
        <v>0</v>
      </c>
      <c r="D1105">
        <v>0</v>
      </c>
      <c r="E1105" t="s">
        <v>1680</v>
      </c>
      <c r="H1105">
        <v>0</v>
      </c>
      <c r="N1105">
        <v>1</v>
      </c>
      <c r="Q1105">
        <v>0</v>
      </c>
      <c r="R1105">
        <v>1</v>
      </c>
      <c r="U1105" t="s">
        <v>1687</v>
      </c>
      <c r="V1105">
        <v>48</v>
      </c>
      <c r="W1105" t="s">
        <v>1704</v>
      </c>
      <c r="X1105" t="s">
        <v>80</v>
      </c>
      <c r="Y1105">
        <v>0</v>
      </c>
      <c r="Z1105">
        <v>86</v>
      </c>
      <c r="AB1105" t="s">
        <v>118</v>
      </c>
      <c r="AD1105" t="s">
        <v>57</v>
      </c>
      <c r="AE1105">
        <v>0</v>
      </c>
      <c r="AF1105">
        <v>6</v>
      </c>
      <c r="AG1105">
        <v>1</v>
      </c>
      <c r="AH1105">
        <v>3</v>
      </c>
      <c r="AI1105">
        <v>512</v>
      </c>
      <c r="AJ1105">
        <v>512</v>
      </c>
      <c r="AK1105">
        <v>80</v>
      </c>
      <c r="AL1105" t="s">
        <v>81</v>
      </c>
      <c r="AM1105">
        <v>2</v>
      </c>
      <c r="AN1105" t="s">
        <v>1915</v>
      </c>
      <c r="AO1105" t="s">
        <v>67</v>
      </c>
      <c r="AP1105" t="s">
        <v>68</v>
      </c>
      <c r="AQ1105">
        <v>15</v>
      </c>
      <c r="AR1105">
        <v>453</v>
      </c>
      <c r="AS1105">
        <v>907</v>
      </c>
      <c r="AT1105">
        <v>2.1</v>
      </c>
      <c r="AU1105">
        <v>4.7359999999999998</v>
      </c>
      <c r="AV1105" t="s">
        <v>4080</v>
      </c>
      <c r="AW1105" t="s">
        <v>4081</v>
      </c>
      <c r="AX1105" t="s">
        <v>4082</v>
      </c>
    </row>
    <row r="1106" spans="1:50" x14ac:dyDescent="0.25">
      <c r="A1106" t="s">
        <v>4083</v>
      </c>
      <c r="B1106" t="s">
        <v>1679</v>
      </c>
      <c r="C1106">
        <v>0</v>
      </c>
      <c r="D1106">
        <v>1</v>
      </c>
      <c r="E1106" t="s">
        <v>1698</v>
      </c>
      <c r="H1106">
        <v>0</v>
      </c>
      <c r="N1106">
        <v>0</v>
      </c>
      <c r="Q1106">
        <v>0</v>
      </c>
      <c r="R1106">
        <v>1</v>
      </c>
      <c r="U1106" t="s">
        <v>65</v>
      </c>
      <c r="V1106">
        <v>43</v>
      </c>
      <c r="W1106" t="s">
        <v>1688</v>
      </c>
      <c r="X1106" t="s">
        <v>80</v>
      </c>
      <c r="Y1106">
        <v>1</v>
      </c>
      <c r="Z1106">
        <v>68</v>
      </c>
      <c r="AB1106" t="s">
        <v>74</v>
      </c>
      <c r="AD1106" t="s">
        <v>57</v>
      </c>
      <c r="AE1106">
        <v>0</v>
      </c>
      <c r="AF1106">
        <v>6</v>
      </c>
      <c r="AG1106">
        <v>1</v>
      </c>
      <c r="AH1106">
        <v>1.5</v>
      </c>
      <c r="AI1106">
        <v>512</v>
      </c>
      <c r="AJ1106">
        <v>512</v>
      </c>
      <c r="AK1106">
        <v>64</v>
      </c>
      <c r="AL1106" t="s">
        <v>196</v>
      </c>
      <c r="AM1106">
        <v>2.5</v>
      </c>
      <c r="AN1106" t="s">
        <v>1531</v>
      </c>
      <c r="AO1106" t="s">
        <v>1155</v>
      </c>
      <c r="AP1106" t="s">
        <v>1767</v>
      </c>
      <c r="AQ1106">
        <v>11</v>
      </c>
      <c r="AR1106">
        <v>147.01</v>
      </c>
      <c r="AS1106">
        <v>255.55</v>
      </c>
      <c r="AT1106">
        <v>2.5920000000000001</v>
      </c>
      <c r="AU1106">
        <v>5.1962999999999999</v>
      </c>
      <c r="AV1106" t="s">
        <v>4084</v>
      </c>
      <c r="AW1106" t="s">
        <v>4085</v>
      </c>
      <c r="AX1106" t="s">
        <v>4086</v>
      </c>
    </row>
    <row r="1107" spans="1:50" x14ac:dyDescent="0.25">
      <c r="A1107" t="s">
        <v>4087</v>
      </c>
      <c r="B1107" t="s">
        <v>1679</v>
      </c>
      <c r="C1107">
        <v>0</v>
      </c>
      <c r="D1107">
        <v>1</v>
      </c>
      <c r="E1107" t="s">
        <v>1780</v>
      </c>
      <c r="H1107">
        <v>0</v>
      </c>
      <c r="N1107">
        <v>1</v>
      </c>
      <c r="Q1107">
        <v>0</v>
      </c>
      <c r="R1107">
        <v>1</v>
      </c>
      <c r="U1107" t="s">
        <v>1687</v>
      </c>
      <c r="V1107">
        <v>45</v>
      </c>
      <c r="X1107" t="s">
        <v>55</v>
      </c>
      <c r="Y1107">
        <v>0</v>
      </c>
      <c r="Z1107">
        <v>90.718000000000004</v>
      </c>
      <c r="AB1107" t="s">
        <v>118</v>
      </c>
      <c r="AD1107" t="s">
        <v>57</v>
      </c>
      <c r="AE1107">
        <v>0</v>
      </c>
      <c r="AF1107">
        <v>6</v>
      </c>
      <c r="AG1107">
        <v>1</v>
      </c>
      <c r="AH1107">
        <v>1.5</v>
      </c>
      <c r="AI1107">
        <v>512</v>
      </c>
      <c r="AJ1107">
        <v>512</v>
      </c>
      <c r="AK1107">
        <v>66</v>
      </c>
      <c r="AL1107" t="s">
        <v>119</v>
      </c>
      <c r="AM1107">
        <v>2.4</v>
      </c>
      <c r="AN1107" t="s">
        <v>1942</v>
      </c>
      <c r="AO1107" t="s">
        <v>67</v>
      </c>
      <c r="AP1107" t="s">
        <v>68</v>
      </c>
      <c r="AQ1107">
        <v>15</v>
      </c>
      <c r="AR1107">
        <v>564</v>
      </c>
      <c r="AS1107">
        <v>1128</v>
      </c>
      <c r="AT1107">
        <v>2.9359999999999999</v>
      </c>
      <c r="AU1107">
        <v>6.1239999999999997</v>
      </c>
      <c r="AV1107" t="s">
        <v>4088</v>
      </c>
      <c r="AW1107" t="s">
        <v>2236</v>
      </c>
      <c r="AX1107" t="s">
        <v>4089</v>
      </c>
    </row>
    <row r="1108" spans="1:50" x14ac:dyDescent="0.25">
      <c r="A1108" t="s">
        <v>4090</v>
      </c>
      <c r="B1108" t="s">
        <v>1679</v>
      </c>
      <c r="C1108">
        <v>0</v>
      </c>
      <c r="D1108">
        <v>1</v>
      </c>
      <c r="E1108" t="s">
        <v>1693</v>
      </c>
      <c r="H1108">
        <v>1</v>
      </c>
      <c r="N1108">
        <v>0</v>
      </c>
      <c r="Q1108">
        <v>0</v>
      </c>
      <c r="R1108">
        <v>1</v>
      </c>
      <c r="U1108" t="s">
        <v>65</v>
      </c>
      <c r="V1108">
        <v>49</v>
      </c>
      <c r="W1108" t="s">
        <v>1688</v>
      </c>
      <c r="X1108" t="s">
        <v>80</v>
      </c>
      <c r="Y1108">
        <v>0</v>
      </c>
      <c r="AD1108" t="s">
        <v>57</v>
      </c>
      <c r="AE1108">
        <v>0</v>
      </c>
      <c r="AF1108">
        <v>6</v>
      </c>
      <c r="AG1108">
        <v>1</v>
      </c>
      <c r="AH1108">
        <v>1.5</v>
      </c>
      <c r="AI1108">
        <v>512</v>
      </c>
      <c r="AJ1108">
        <v>512</v>
      </c>
      <c r="AK1108">
        <v>72</v>
      </c>
      <c r="AL1108" t="s">
        <v>119</v>
      </c>
      <c r="AM1108">
        <v>2.2000000000000002</v>
      </c>
      <c r="AN1108" t="s">
        <v>1072</v>
      </c>
      <c r="AO1108" t="s">
        <v>67</v>
      </c>
      <c r="AP1108" t="s">
        <v>68</v>
      </c>
      <c r="AQ1108">
        <v>15</v>
      </c>
      <c r="AR1108">
        <v>189</v>
      </c>
      <c r="AS1108">
        <v>378</v>
      </c>
      <c r="AT1108">
        <v>4.28</v>
      </c>
      <c r="AU1108">
        <v>8.7439999999999998</v>
      </c>
      <c r="AV1108" t="s">
        <v>4091</v>
      </c>
      <c r="AW1108" t="s">
        <v>4092</v>
      </c>
      <c r="AX1108" t="s">
        <v>4093</v>
      </c>
    </row>
    <row r="1109" spans="1:50" x14ac:dyDescent="0.25">
      <c r="A1109" t="s">
        <v>4094</v>
      </c>
      <c r="B1109" t="s">
        <v>1679</v>
      </c>
      <c r="C1109">
        <v>0</v>
      </c>
      <c r="D1109">
        <v>0</v>
      </c>
      <c r="E1109" t="s">
        <v>1698</v>
      </c>
      <c r="H1109">
        <v>1</v>
      </c>
      <c r="N1109">
        <v>1</v>
      </c>
      <c r="Q1109">
        <v>0</v>
      </c>
      <c r="R1109">
        <v>0</v>
      </c>
      <c r="U1109" t="s">
        <v>1687</v>
      </c>
      <c r="V1109">
        <v>39</v>
      </c>
      <c r="W1109" t="s">
        <v>1688</v>
      </c>
      <c r="X1109" t="s">
        <v>80</v>
      </c>
      <c r="Y1109">
        <v>0</v>
      </c>
      <c r="Z1109">
        <v>72.575000000000003</v>
      </c>
      <c r="AB1109" t="s">
        <v>94</v>
      </c>
      <c r="AD1109" t="s">
        <v>57</v>
      </c>
      <c r="AE1109">
        <v>0</v>
      </c>
      <c r="AF1109">
        <v>6</v>
      </c>
      <c r="AG1109">
        <v>1</v>
      </c>
      <c r="AH1109">
        <v>3</v>
      </c>
      <c r="AI1109">
        <v>512</v>
      </c>
      <c r="AJ1109">
        <v>512</v>
      </c>
      <c r="AK1109">
        <v>134</v>
      </c>
      <c r="AL1109" t="s">
        <v>88</v>
      </c>
      <c r="AM1109">
        <v>2.4</v>
      </c>
      <c r="AN1109" t="s">
        <v>1786</v>
      </c>
      <c r="AO1109" t="s">
        <v>67</v>
      </c>
      <c r="AP1109" t="s">
        <v>68</v>
      </c>
      <c r="AQ1109">
        <v>15</v>
      </c>
      <c r="AR1109">
        <v>309</v>
      </c>
      <c r="AS1109">
        <v>619</v>
      </c>
      <c r="AT1109">
        <v>2.7519999999999998</v>
      </c>
      <c r="AU1109">
        <v>6.9029999999999996</v>
      </c>
      <c r="AV1109" t="s">
        <v>1817</v>
      </c>
      <c r="AW1109" t="s">
        <v>4095</v>
      </c>
      <c r="AX1109" t="s">
        <v>4096</v>
      </c>
    </row>
    <row r="1110" spans="1:50" x14ac:dyDescent="0.25">
      <c r="A1110" t="s">
        <v>4097</v>
      </c>
      <c r="B1110" t="s">
        <v>1679</v>
      </c>
      <c r="C1110">
        <v>0</v>
      </c>
      <c r="D1110">
        <v>0</v>
      </c>
      <c r="E1110" t="s">
        <v>1680</v>
      </c>
      <c r="H1110">
        <v>0</v>
      </c>
      <c r="N1110">
        <v>1</v>
      </c>
      <c r="Q1110">
        <v>0</v>
      </c>
      <c r="R1110">
        <v>0</v>
      </c>
      <c r="U1110" t="s">
        <v>1687</v>
      </c>
      <c r="V1110">
        <v>27</v>
      </c>
      <c r="W1110" t="s">
        <v>1688</v>
      </c>
      <c r="X1110" t="s">
        <v>80</v>
      </c>
      <c r="Y1110">
        <v>0</v>
      </c>
      <c r="Z1110">
        <v>68.039000000000001</v>
      </c>
      <c r="AB1110" t="s">
        <v>74</v>
      </c>
      <c r="AD1110" t="s">
        <v>57</v>
      </c>
      <c r="AE1110">
        <v>0</v>
      </c>
      <c r="AF1110">
        <v>6</v>
      </c>
      <c r="AG1110">
        <v>1</v>
      </c>
      <c r="AH1110">
        <v>3</v>
      </c>
      <c r="AI1110">
        <v>512</v>
      </c>
      <c r="AJ1110">
        <v>512</v>
      </c>
      <c r="AK1110">
        <v>150</v>
      </c>
      <c r="AL1110" t="s">
        <v>81</v>
      </c>
      <c r="AM1110">
        <v>2.4</v>
      </c>
      <c r="AN1110" t="s">
        <v>1786</v>
      </c>
      <c r="AO1110" t="s">
        <v>67</v>
      </c>
      <c r="AP1110" t="s">
        <v>68</v>
      </c>
      <c r="AQ1110">
        <v>15</v>
      </c>
      <c r="AR1110">
        <v>168</v>
      </c>
      <c r="AS1110">
        <v>336</v>
      </c>
      <c r="AT1110">
        <v>4.25</v>
      </c>
      <c r="AU1110">
        <v>7.9009999999999998</v>
      </c>
      <c r="AV1110" t="s">
        <v>1911</v>
      </c>
      <c r="AW1110" t="s">
        <v>4098</v>
      </c>
      <c r="AX1110" t="s">
        <v>4099</v>
      </c>
    </row>
    <row r="1111" spans="1:50" x14ac:dyDescent="0.25">
      <c r="A1111" t="s">
        <v>4100</v>
      </c>
      <c r="B1111" t="s">
        <v>1679</v>
      </c>
      <c r="C1111">
        <v>0</v>
      </c>
      <c r="D1111">
        <v>0</v>
      </c>
      <c r="E1111" t="s">
        <v>1740</v>
      </c>
      <c r="H1111">
        <v>0</v>
      </c>
      <c r="N1111">
        <v>1</v>
      </c>
      <c r="Q1111">
        <v>1</v>
      </c>
      <c r="R1111">
        <v>0</v>
      </c>
      <c r="U1111" t="s">
        <v>1735</v>
      </c>
      <c r="V1111">
        <v>45</v>
      </c>
      <c r="W1111" t="s">
        <v>1726</v>
      </c>
      <c r="X1111" t="s">
        <v>80</v>
      </c>
      <c r="Y1111">
        <v>0</v>
      </c>
      <c r="Z1111">
        <v>49.895000000000003</v>
      </c>
      <c r="AB1111" t="s">
        <v>247</v>
      </c>
      <c r="AD1111" t="s">
        <v>57</v>
      </c>
      <c r="AE1111">
        <v>0</v>
      </c>
      <c r="AF1111">
        <v>6</v>
      </c>
      <c r="AG1111">
        <v>1</v>
      </c>
      <c r="AH1111">
        <v>1.5</v>
      </c>
      <c r="AI1111">
        <v>512</v>
      </c>
      <c r="AJ1111">
        <v>512</v>
      </c>
      <c r="AK1111">
        <v>80</v>
      </c>
      <c r="AL1111" t="s">
        <v>196</v>
      </c>
      <c r="AM1111">
        <v>2</v>
      </c>
      <c r="AN1111" t="s">
        <v>996</v>
      </c>
      <c r="AO1111" t="s">
        <v>67</v>
      </c>
      <c r="AP1111" t="s">
        <v>68</v>
      </c>
      <c r="AQ1111">
        <v>15</v>
      </c>
      <c r="AR1111">
        <v>88</v>
      </c>
      <c r="AS1111">
        <v>176</v>
      </c>
      <c r="AT1111">
        <v>4.2</v>
      </c>
      <c r="AU1111">
        <v>7</v>
      </c>
      <c r="AV1111" t="s">
        <v>4101</v>
      </c>
      <c r="AW1111" t="s">
        <v>3782</v>
      </c>
      <c r="AX1111" t="s">
        <v>4102</v>
      </c>
    </row>
    <row r="1112" spans="1:50" x14ac:dyDescent="0.25">
      <c r="A1112" t="s">
        <v>4103</v>
      </c>
      <c r="B1112" t="s">
        <v>1679</v>
      </c>
      <c r="C1112">
        <v>0</v>
      </c>
      <c r="D1112">
        <v>0</v>
      </c>
      <c r="E1112" t="s">
        <v>1686</v>
      </c>
      <c r="H1112">
        <v>0</v>
      </c>
      <c r="N1112">
        <v>1</v>
      </c>
      <c r="Q1112">
        <v>0</v>
      </c>
      <c r="R1112">
        <v>0</v>
      </c>
      <c r="U1112" t="s">
        <v>1687</v>
      </c>
      <c r="V1112">
        <v>32</v>
      </c>
      <c r="W1112" t="s">
        <v>1688</v>
      </c>
      <c r="X1112" t="s">
        <v>80</v>
      </c>
      <c r="Y1112">
        <v>0</v>
      </c>
      <c r="Z1112">
        <v>74.843000000000004</v>
      </c>
      <c r="AB1112" t="s">
        <v>94</v>
      </c>
      <c r="AD1112" t="s">
        <v>57</v>
      </c>
      <c r="AE1112">
        <v>0</v>
      </c>
      <c r="AF1112">
        <v>6</v>
      </c>
      <c r="AG1112">
        <v>1</v>
      </c>
      <c r="AH1112">
        <v>3</v>
      </c>
      <c r="AI1112">
        <v>512</v>
      </c>
      <c r="AJ1112">
        <v>512</v>
      </c>
      <c r="AK1112">
        <v>134</v>
      </c>
      <c r="AL1112" t="s">
        <v>88</v>
      </c>
      <c r="AM1112">
        <v>2.4</v>
      </c>
      <c r="AN1112" t="s">
        <v>1786</v>
      </c>
      <c r="AO1112" t="s">
        <v>67</v>
      </c>
      <c r="AP1112" t="s">
        <v>68</v>
      </c>
      <c r="AQ1112">
        <v>15</v>
      </c>
      <c r="AR1112">
        <v>230</v>
      </c>
      <c r="AS1112">
        <v>460</v>
      </c>
      <c r="AT1112">
        <v>2.7519999999999998</v>
      </c>
      <c r="AU1112">
        <v>6.8819999999999997</v>
      </c>
      <c r="AV1112" t="s">
        <v>2068</v>
      </c>
      <c r="AW1112" t="s">
        <v>4104</v>
      </c>
      <c r="AX1112" t="s">
        <v>4105</v>
      </c>
    </row>
    <row r="1113" spans="1:50" x14ac:dyDescent="0.25">
      <c r="A1113" t="s">
        <v>4106</v>
      </c>
      <c r="B1113" t="s">
        <v>1679</v>
      </c>
      <c r="C1113">
        <v>0</v>
      </c>
      <c r="D1113">
        <v>0</v>
      </c>
      <c r="E1113" t="s">
        <v>1698</v>
      </c>
      <c r="H1113">
        <v>0</v>
      </c>
      <c r="N1113">
        <v>0</v>
      </c>
      <c r="Q1113">
        <v>0</v>
      </c>
      <c r="R1113">
        <v>1</v>
      </c>
      <c r="U1113" t="s">
        <v>65</v>
      </c>
      <c r="V1113">
        <v>58</v>
      </c>
      <c r="W1113" t="s">
        <v>1704</v>
      </c>
      <c r="X1113" t="s">
        <v>80</v>
      </c>
      <c r="Y1113">
        <v>0</v>
      </c>
      <c r="Z1113">
        <v>61.23</v>
      </c>
      <c r="AB1113" t="s">
        <v>74</v>
      </c>
      <c r="AD1113" t="s">
        <v>57</v>
      </c>
      <c r="AE1113">
        <v>0</v>
      </c>
      <c r="AF1113">
        <v>6</v>
      </c>
      <c r="AG1113">
        <v>1</v>
      </c>
      <c r="AH1113">
        <v>3</v>
      </c>
      <c r="AI1113">
        <v>512</v>
      </c>
      <c r="AJ1113">
        <v>512</v>
      </c>
      <c r="AK1113">
        <v>134</v>
      </c>
      <c r="AL1113" t="s">
        <v>81</v>
      </c>
      <c r="AM1113">
        <v>2.4</v>
      </c>
      <c r="AN1113" t="s">
        <v>1786</v>
      </c>
      <c r="AO1113" t="s">
        <v>67</v>
      </c>
      <c r="AP1113" t="s">
        <v>1979</v>
      </c>
      <c r="AQ1113">
        <v>15</v>
      </c>
      <c r="AR1113">
        <v>445</v>
      </c>
      <c r="AS1113">
        <v>891</v>
      </c>
      <c r="AT1113">
        <v>4.82</v>
      </c>
      <c r="AU1113">
        <v>9.1199999999999992</v>
      </c>
      <c r="AV1113" t="s">
        <v>2137</v>
      </c>
      <c r="AW1113" t="s">
        <v>4107</v>
      </c>
      <c r="AX1113" t="s">
        <v>4108</v>
      </c>
    </row>
    <row r="1114" spans="1:50" x14ac:dyDescent="0.25">
      <c r="A1114" t="s">
        <v>4109</v>
      </c>
      <c r="B1114" t="s">
        <v>1679</v>
      </c>
      <c r="C1114">
        <v>0</v>
      </c>
      <c r="D1114">
        <v>0</v>
      </c>
      <c r="E1114" t="s">
        <v>1680</v>
      </c>
      <c r="H1114">
        <v>0</v>
      </c>
      <c r="N1114">
        <v>1</v>
      </c>
      <c r="Q1114">
        <v>0</v>
      </c>
      <c r="R1114">
        <v>1</v>
      </c>
      <c r="U1114" t="s">
        <v>1687</v>
      </c>
      <c r="V1114">
        <v>39</v>
      </c>
      <c r="W1114" t="s">
        <v>1726</v>
      </c>
      <c r="X1114" t="s">
        <v>80</v>
      </c>
      <c r="Y1114">
        <v>0</v>
      </c>
      <c r="Z1114">
        <v>53.07</v>
      </c>
      <c r="AB1114" t="s">
        <v>74</v>
      </c>
      <c r="AD1114" t="s">
        <v>57</v>
      </c>
      <c r="AE1114">
        <v>0</v>
      </c>
      <c r="AF1114">
        <v>6</v>
      </c>
      <c r="AG1114">
        <v>1</v>
      </c>
      <c r="AH1114">
        <v>1.5</v>
      </c>
      <c r="AI1114">
        <v>512</v>
      </c>
      <c r="AJ1114">
        <v>512</v>
      </c>
      <c r="AK1114">
        <v>80</v>
      </c>
      <c r="AL1114" t="s">
        <v>81</v>
      </c>
      <c r="AM1114">
        <v>2</v>
      </c>
      <c r="AN1114" t="s">
        <v>996</v>
      </c>
      <c r="AO1114" t="s">
        <v>67</v>
      </c>
      <c r="AP1114" t="s">
        <v>68</v>
      </c>
      <c r="AQ1114">
        <v>15</v>
      </c>
      <c r="AR1114">
        <v>85</v>
      </c>
      <c r="AS1114">
        <v>171</v>
      </c>
      <c r="AT1114">
        <v>4.2</v>
      </c>
      <c r="AU1114">
        <v>7</v>
      </c>
      <c r="AV1114" t="s">
        <v>2525</v>
      </c>
      <c r="AW1114" t="s">
        <v>1818</v>
      </c>
      <c r="AX1114" t="s">
        <v>4110</v>
      </c>
    </row>
    <row r="1115" spans="1:50" x14ac:dyDescent="0.25">
      <c r="A1115" t="s">
        <v>4111</v>
      </c>
      <c r="B1115" t="s">
        <v>1679</v>
      </c>
      <c r="C1115">
        <v>0</v>
      </c>
      <c r="D1115">
        <v>0</v>
      </c>
      <c r="E1115" t="s">
        <v>1703</v>
      </c>
      <c r="H1115">
        <v>0</v>
      </c>
      <c r="N1115">
        <v>0</v>
      </c>
      <c r="Q1115">
        <v>0</v>
      </c>
      <c r="R1115">
        <v>1</v>
      </c>
      <c r="U1115" t="s">
        <v>65</v>
      </c>
      <c r="V1115">
        <v>50</v>
      </c>
      <c r="W1115" t="s">
        <v>1688</v>
      </c>
      <c r="X1115" t="s">
        <v>55</v>
      </c>
      <c r="Y1115">
        <v>0</v>
      </c>
      <c r="Z1115">
        <v>90.72</v>
      </c>
      <c r="AB1115" t="s">
        <v>118</v>
      </c>
      <c r="AD1115" t="s">
        <v>57</v>
      </c>
      <c r="AE1115">
        <v>0</v>
      </c>
      <c r="AF1115">
        <v>6</v>
      </c>
      <c r="AG1115">
        <v>1</v>
      </c>
      <c r="AH1115">
        <v>1.5</v>
      </c>
      <c r="AI1115">
        <v>512</v>
      </c>
      <c r="AJ1115">
        <v>512</v>
      </c>
      <c r="AK1115">
        <v>80</v>
      </c>
      <c r="AL1115" t="s">
        <v>81</v>
      </c>
      <c r="AM1115">
        <v>2</v>
      </c>
      <c r="AN1115" t="s">
        <v>1705</v>
      </c>
      <c r="AO1115" t="s">
        <v>67</v>
      </c>
      <c r="AP1115" t="s">
        <v>89</v>
      </c>
      <c r="AQ1115">
        <v>15</v>
      </c>
      <c r="AR1115">
        <v>239</v>
      </c>
      <c r="AS1115">
        <v>479</v>
      </c>
      <c r="AT1115">
        <v>2.548</v>
      </c>
      <c r="AU1115">
        <v>5.2880000000000003</v>
      </c>
      <c r="AV1115" t="s">
        <v>4112</v>
      </c>
      <c r="AW1115" t="s">
        <v>4113</v>
      </c>
      <c r="AX1115" t="s">
        <v>4114</v>
      </c>
    </row>
    <row r="1116" spans="1:50" x14ac:dyDescent="0.25">
      <c r="A1116" t="s">
        <v>4115</v>
      </c>
      <c r="B1116" t="s">
        <v>1679</v>
      </c>
      <c r="C1116">
        <v>0</v>
      </c>
      <c r="D1116">
        <v>0</v>
      </c>
      <c r="E1116" t="s">
        <v>1780</v>
      </c>
      <c r="H1116">
        <v>0</v>
      </c>
      <c r="N1116">
        <v>0</v>
      </c>
      <c r="Q1116">
        <v>0</v>
      </c>
      <c r="R1116">
        <v>0</v>
      </c>
      <c r="U1116" t="s">
        <v>65</v>
      </c>
      <c r="V1116">
        <v>52</v>
      </c>
      <c r="W1116" t="s">
        <v>1688</v>
      </c>
      <c r="X1116" t="s">
        <v>80</v>
      </c>
      <c r="Y1116">
        <v>0</v>
      </c>
      <c r="Z1116">
        <v>68.038864154999999</v>
      </c>
      <c r="AB1116" t="s">
        <v>74</v>
      </c>
      <c r="AD1116" t="s">
        <v>57</v>
      </c>
      <c r="AE1116">
        <v>0</v>
      </c>
      <c r="AF1116">
        <v>6</v>
      </c>
      <c r="AG1116">
        <v>1</v>
      </c>
      <c r="AH1116">
        <v>1.5</v>
      </c>
      <c r="AI1116">
        <v>512</v>
      </c>
      <c r="AJ1116">
        <v>512</v>
      </c>
      <c r="AK1116">
        <v>80</v>
      </c>
      <c r="AL1116" t="s">
        <v>1010</v>
      </c>
      <c r="AM1116">
        <v>2</v>
      </c>
      <c r="AN1116" t="s">
        <v>1011</v>
      </c>
      <c r="AO1116" t="s">
        <v>59</v>
      </c>
      <c r="AP1116" t="s">
        <v>60</v>
      </c>
      <c r="AQ1116">
        <v>11</v>
      </c>
      <c r="AR1116">
        <v>111</v>
      </c>
      <c r="AS1116">
        <v>222</v>
      </c>
      <c r="AT1116">
        <v>1.67</v>
      </c>
      <c r="AU1116">
        <v>4.51</v>
      </c>
      <c r="AV1116" t="s">
        <v>4116</v>
      </c>
      <c r="AW1116" t="s">
        <v>4117</v>
      </c>
      <c r="AX1116" t="s">
        <v>4118</v>
      </c>
    </row>
    <row r="1117" spans="1:50" x14ac:dyDescent="0.25">
      <c r="A1117" t="s">
        <v>4119</v>
      </c>
      <c r="B1117" t="s">
        <v>1679</v>
      </c>
      <c r="C1117">
        <v>0</v>
      </c>
      <c r="D1117">
        <v>1</v>
      </c>
      <c r="E1117" t="s">
        <v>1686</v>
      </c>
      <c r="H1117">
        <v>0</v>
      </c>
      <c r="N1117">
        <v>0</v>
      </c>
      <c r="Q1117">
        <v>0</v>
      </c>
      <c r="R1117">
        <v>1</v>
      </c>
      <c r="U1117" t="s">
        <v>65</v>
      </c>
      <c r="V1117">
        <v>31</v>
      </c>
      <c r="W1117" t="s">
        <v>1688</v>
      </c>
      <c r="X1117" t="s">
        <v>80</v>
      </c>
      <c r="Y1117">
        <v>0</v>
      </c>
      <c r="Z1117">
        <v>65.31</v>
      </c>
      <c r="AB1117" t="s">
        <v>74</v>
      </c>
      <c r="AD1117" t="s">
        <v>57</v>
      </c>
      <c r="AE1117">
        <v>1</v>
      </c>
      <c r="AF1117">
        <v>6</v>
      </c>
      <c r="AG1117">
        <v>1</v>
      </c>
      <c r="AH1117">
        <v>1.5</v>
      </c>
      <c r="AI1117">
        <v>384</v>
      </c>
      <c r="AJ1117">
        <v>384</v>
      </c>
      <c r="AK1117">
        <v>176</v>
      </c>
      <c r="AL1117" t="s">
        <v>1800</v>
      </c>
      <c r="AM1117">
        <v>1.1000000238000001</v>
      </c>
      <c r="AN1117" t="s">
        <v>1720</v>
      </c>
      <c r="AO1117" t="s">
        <v>59</v>
      </c>
      <c r="AP1117" t="s">
        <v>60</v>
      </c>
      <c r="AQ1117">
        <v>11</v>
      </c>
      <c r="AR1117">
        <v>77</v>
      </c>
      <c r="AS1117">
        <v>196</v>
      </c>
      <c r="AT1117">
        <v>1.52</v>
      </c>
      <c r="AU1117">
        <v>4.1399999999999997</v>
      </c>
      <c r="AV1117" t="s">
        <v>4120</v>
      </c>
      <c r="AW1117" t="s">
        <v>4121</v>
      </c>
      <c r="AX1117" t="s">
        <v>4122</v>
      </c>
    </row>
    <row r="1118" spans="1:50" x14ac:dyDescent="0.25">
      <c r="A1118" t="s">
        <v>4123</v>
      </c>
      <c r="B1118" t="s">
        <v>1679</v>
      </c>
      <c r="C1118">
        <v>0</v>
      </c>
      <c r="D1118">
        <v>0</v>
      </c>
      <c r="E1118" t="s">
        <v>1680</v>
      </c>
      <c r="H1118">
        <v>1</v>
      </c>
      <c r="N1118">
        <v>0</v>
      </c>
      <c r="Q1118">
        <v>0</v>
      </c>
      <c r="R1118">
        <v>1</v>
      </c>
      <c r="U1118" t="s">
        <v>65</v>
      </c>
      <c r="V1118">
        <v>42</v>
      </c>
      <c r="X1118" t="s">
        <v>80</v>
      </c>
      <c r="Y1118">
        <v>1</v>
      </c>
      <c r="Z1118">
        <v>86.182561262999997</v>
      </c>
      <c r="AB1118" t="s">
        <v>118</v>
      </c>
      <c r="AD1118" t="s">
        <v>57</v>
      </c>
      <c r="AE1118">
        <v>1</v>
      </c>
      <c r="AF1118">
        <v>6</v>
      </c>
      <c r="AG1118">
        <v>1</v>
      </c>
      <c r="AH1118">
        <v>1.5</v>
      </c>
      <c r="AI1118">
        <v>384</v>
      </c>
      <c r="AJ1118">
        <v>384</v>
      </c>
      <c r="AK1118">
        <v>144</v>
      </c>
      <c r="AL1118" t="s">
        <v>3685</v>
      </c>
      <c r="AM1118">
        <v>1.2000000476999999</v>
      </c>
      <c r="AN1118" t="s">
        <v>2146</v>
      </c>
      <c r="AO1118" t="s">
        <v>59</v>
      </c>
      <c r="AP1118" t="s">
        <v>2147</v>
      </c>
      <c r="AQ1118">
        <v>11</v>
      </c>
      <c r="AR1118">
        <v>23</v>
      </c>
      <c r="AS1118">
        <v>58</v>
      </c>
      <c r="AT1118">
        <v>1.57</v>
      </c>
      <c r="AU1118">
        <v>4.57</v>
      </c>
      <c r="AV1118" t="s">
        <v>2148</v>
      </c>
      <c r="AW1118" t="s">
        <v>4124</v>
      </c>
      <c r="AX1118" t="s">
        <v>4125</v>
      </c>
    </row>
    <row r="1119" spans="1:50" x14ac:dyDescent="0.25">
      <c r="A1119" t="s">
        <v>4126</v>
      </c>
      <c r="B1119" t="s">
        <v>1679</v>
      </c>
      <c r="C1119">
        <v>0</v>
      </c>
      <c r="D1119">
        <v>0</v>
      </c>
      <c r="E1119" t="s">
        <v>1725</v>
      </c>
      <c r="H1119">
        <v>0</v>
      </c>
      <c r="N1119">
        <v>0</v>
      </c>
      <c r="Q1119">
        <v>0</v>
      </c>
      <c r="R1119">
        <v>1</v>
      </c>
      <c r="U1119" t="s">
        <v>65</v>
      </c>
      <c r="V1119">
        <v>45</v>
      </c>
      <c r="W1119" t="s">
        <v>79</v>
      </c>
      <c r="X1119" t="s">
        <v>55</v>
      </c>
      <c r="Y1119">
        <v>0</v>
      </c>
      <c r="Z1119">
        <v>103.4190735156</v>
      </c>
      <c r="AB1119" t="s">
        <v>56</v>
      </c>
      <c r="AD1119" t="s">
        <v>57</v>
      </c>
      <c r="AE1119">
        <v>0</v>
      </c>
      <c r="AF1119">
        <v>6</v>
      </c>
      <c r="AG1119">
        <v>1</v>
      </c>
      <c r="AH1119">
        <v>1.5</v>
      </c>
      <c r="AI1119">
        <v>512</v>
      </c>
      <c r="AJ1119">
        <v>512</v>
      </c>
      <c r="AK1119">
        <v>80</v>
      </c>
      <c r="AL1119" t="s">
        <v>1010</v>
      </c>
      <c r="AM1119">
        <v>2</v>
      </c>
      <c r="AN1119" t="s">
        <v>1011</v>
      </c>
      <c r="AO1119" t="s">
        <v>59</v>
      </c>
      <c r="AP1119" t="s">
        <v>60</v>
      </c>
      <c r="AQ1119">
        <v>11</v>
      </c>
      <c r="AR1119">
        <v>68</v>
      </c>
      <c r="AS1119">
        <v>183</v>
      </c>
      <c r="AT1119">
        <v>1.67</v>
      </c>
      <c r="AU1119">
        <v>4.51</v>
      </c>
      <c r="AV1119" t="s">
        <v>4127</v>
      </c>
      <c r="AW1119" t="s">
        <v>4128</v>
      </c>
      <c r="AX1119" t="s">
        <v>4129</v>
      </c>
    </row>
    <row r="1120" spans="1:50" x14ac:dyDescent="0.25">
      <c r="A1120" t="s">
        <v>4130</v>
      </c>
      <c r="B1120" t="s">
        <v>1679</v>
      </c>
      <c r="C1120">
        <v>0</v>
      </c>
      <c r="D1120">
        <v>0</v>
      </c>
      <c r="E1120" t="s">
        <v>1703</v>
      </c>
      <c r="H1120">
        <v>0</v>
      </c>
      <c r="N1120">
        <v>1</v>
      </c>
      <c r="Q1120">
        <v>0</v>
      </c>
      <c r="R1120">
        <v>1</v>
      </c>
      <c r="U1120" t="s">
        <v>1687</v>
      </c>
      <c r="V1120">
        <v>43</v>
      </c>
      <c r="W1120" t="s">
        <v>1726</v>
      </c>
      <c r="X1120" t="s">
        <v>80</v>
      </c>
      <c r="Y1120">
        <v>0</v>
      </c>
      <c r="Z1120">
        <v>108.40900000000001</v>
      </c>
      <c r="AB1120" t="s">
        <v>56</v>
      </c>
      <c r="AD1120" t="s">
        <v>57</v>
      </c>
      <c r="AE1120">
        <v>0</v>
      </c>
      <c r="AF1120">
        <v>6</v>
      </c>
      <c r="AG1120">
        <v>1</v>
      </c>
      <c r="AH1120">
        <v>1.5</v>
      </c>
      <c r="AI1120">
        <v>512</v>
      </c>
      <c r="AJ1120">
        <v>512</v>
      </c>
      <c r="AK1120">
        <v>70</v>
      </c>
      <c r="AL1120" t="s">
        <v>81</v>
      </c>
      <c r="AM1120">
        <v>2.2999999999999998</v>
      </c>
      <c r="AN1120" t="s">
        <v>996</v>
      </c>
      <c r="AO1120" t="s">
        <v>67</v>
      </c>
      <c r="AP1120" t="s">
        <v>68</v>
      </c>
      <c r="AQ1120">
        <v>15</v>
      </c>
      <c r="AR1120">
        <v>51</v>
      </c>
      <c r="AS1120">
        <v>102</v>
      </c>
      <c r="AT1120">
        <v>4.2</v>
      </c>
      <c r="AU1120">
        <v>7</v>
      </c>
      <c r="AV1120" t="s">
        <v>4131</v>
      </c>
      <c r="AW1120" t="s">
        <v>4132</v>
      </c>
      <c r="AX1120" t="s">
        <v>4133</v>
      </c>
    </row>
    <row r="1121" spans="1:50" x14ac:dyDescent="0.25">
      <c r="A1121" t="s">
        <v>4134</v>
      </c>
      <c r="B1121" t="s">
        <v>1679</v>
      </c>
      <c r="C1121">
        <v>0</v>
      </c>
      <c r="D1121">
        <v>0</v>
      </c>
      <c r="E1121" t="s">
        <v>1703</v>
      </c>
      <c r="H1121">
        <v>0</v>
      </c>
      <c r="N1121">
        <v>0</v>
      </c>
      <c r="Q1121">
        <v>0</v>
      </c>
      <c r="R1121">
        <v>1</v>
      </c>
      <c r="U1121" t="s">
        <v>65</v>
      </c>
      <c r="V1121">
        <v>33</v>
      </c>
      <c r="W1121" t="s">
        <v>1688</v>
      </c>
      <c r="X1121" t="s">
        <v>80</v>
      </c>
      <c r="Y1121">
        <v>1</v>
      </c>
      <c r="Z1121">
        <v>64</v>
      </c>
      <c r="AB1121" t="s">
        <v>74</v>
      </c>
      <c r="AD1121" t="s">
        <v>57</v>
      </c>
      <c r="AE1121">
        <v>0</v>
      </c>
      <c r="AF1121">
        <v>6</v>
      </c>
      <c r="AG1121">
        <v>1</v>
      </c>
      <c r="AH1121">
        <v>1.5</v>
      </c>
      <c r="AI1121">
        <v>512</v>
      </c>
      <c r="AJ1121">
        <v>512</v>
      </c>
      <c r="AK1121">
        <v>160</v>
      </c>
      <c r="AL1121" t="s">
        <v>1010</v>
      </c>
      <c r="AM1121">
        <v>2</v>
      </c>
      <c r="AN1121" t="s">
        <v>1154</v>
      </c>
      <c r="AO1121" t="s">
        <v>1155</v>
      </c>
      <c r="AP1121" t="s">
        <v>1305</v>
      </c>
      <c r="AQ1121">
        <v>11</v>
      </c>
      <c r="AR1121">
        <v>695</v>
      </c>
      <c r="AS1121">
        <v>1208</v>
      </c>
      <c r="AT1121">
        <v>2.8140000000000001</v>
      </c>
      <c r="AU1121">
        <v>5.4090999999999996</v>
      </c>
      <c r="AV1121" t="s">
        <v>4135</v>
      </c>
      <c r="AW1121" t="s">
        <v>4136</v>
      </c>
      <c r="AX1121" t="s">
        <v>4137</v>
      </c>
    </row>
    <row r="1122" spans="1:50" x14ac:dyDescent="0.25">
      <c r="A1122" t="s">
        <v>4138</v>
      </c>
      <c r="B1122" t="s">
        <v>1679</v>
      </c>
      <c r="C1122">
        <v>0</v>
      </c>
      <c r="D1122">
        <v>1</v>
      </c>
      <c r="E1122" t="s">
        <v>1693</v>
      </c>
      <c r="H1122">
        <v>0</v>
      </c>
      <c r="N1122">
        <v>1</v>
      </c>
      <c r="Q1122">
        <v>0</v>
      </c>
      <c r="R1122">
        <v>1</v>
      </c>
      <c r="U1122" t="s">
        <v>1687</v>
      </c>
      <c r="V1122">
        <v>33</v>
      </c>
      <c r="W1122" t="s">
        <v>1726</v>
      </c>
      <c r="X1122" t="s">
        <v>80</v>
      </c>
      <c r="Y1122">
        <v>0</v>
      </c>
      <c r="Z1122">
        <v>70.760000000000005</v>
      </c>
      <c r="AB1122" t="s">
        <v>94</v>
      </c>
      <c r="AD1122" t="s">
        <v>57</v>
      </c>
      <c r="AE1122">
        <v>0</v>
      </c>
      <c r="AF1122">
        <v>6</v>
      </c>
      <c r="AG1122">
        <v>1</v>
      </c>
      <c r="AH1122">
        <v>3</v>
      </c>
      <c r="AI1122">
        <v>512</v>
      </c>
      <c r="AJ1122">
        <v>512</v>
      </c>
      <c r="AK1122">
        <v>80</v>
      </c>
      <c r="AL1122" t="s">
        <v>66</v>
      </c>
      <c r="AM1122">
        <v>2</v>
      </c>
      <c r="AN1122" t="s">
        <v>1915</v>
      </c>
      <c r="AO1122" t="s">
        <v>67</v>
      </c>
      <c r="AP1122" t="s">
        <v>68</v>
      </c>
      <c r="AQ1122">
        <v>15</v>
      </c>
      <c r="AR1122">
        <v>246</v>
      </c>
      <c r="AS1122">
        <v>493</v>
      </c>
      <c r="AT1122">
        <v>2.1800000000000002</v>
      </c>
      <c r="AU1122">
        <v>5.4459999999999997</v>
      </c>
      <c r="AV1122" t="s">
        <v>4139</v>
      </c>
      <c r="AW1122" t="s">
        <v>4140</v>
      </c>
      <c r="AX1122" t="s">
        <v>4141</v>
      </c>
    </row>
    <row r="1123" spans="1:50" x14ac:dyDescent="0.25">
      <c r="A1123" t="s">
        <v>4142</v>
      </c>
      <c r="B1123" t="s">
        <v>1679</v>
      </c>
      <c r="C1123">
        <v>0</v>
      </c>
      <c r="D1123">
        <v>0</v>
      </c>
      <c r="E1123" t="s">
        <v>1698</v>
      </c>
      <c r="H1123">
        <v>1</v>
      </c>
      <c r="N1123">
        <v>1</v>
      </c>
      <c r="Q1123">
        <v>0</v>
      </c>
      <c r="R1123">
        <v>0</v>
      </c>
      <c r="U1123" t="s">
        <v>1687</v>
      </c>
      <c r="V1123">
        <v>51</v>
      </c>
      <c r="W1123" t="s">
        <v>1688</v>
      </c>
      <c r="X1123" t="s">
        <v>80</v>
      </c>
      <c r="Y1123">
        <v>0</v>
      </c>
      <c r="Z1123">
        <v>62.6</v>
      </c>
      <c r="AB1123" t="s">
        <v>74</v>
      </c>
      <c r="AD1123" t="s">
        <v>57</v>
      </c>
      <c r="AE1123">
        <v>0</v>
      </c>
      <c r="AF1123">
        <v>6</v>
      </c>
      <c r="AG1123">
        <v>1</v>
      </c>
      <c r="AH1123">
        <v>1.5</v>
      </c>
      <c r="AI1123">
        <v>512</v>
      </c>
      <c r="AJ1123">
        <v>512</v>
      </c>
      <c r="AK1123">
        <v>80</v>
      </c>
      <c r="AL1123" t="s">
        <v>196</v>
      </c>
      <c r="AM1123">
        <v>2</v>
      </c>
      <c r="AN1123" t="s">
        <v>996</v>
      </c>
      <c r="AO1123" t="s">
        <v>67</v>
      </c>
      <c r="AP1123" t="s">
        <v>68</v>
      </c>
      <c r="AQ1123">
        <v>15</v>
      </c>
      <c r="AR1123">
        <v>35</v>
      </c>
      <c r="AS1123">
        <v>71</v>
      </c>
      <c r="AT1123">
        <v>4.2</v>
      </c>
      <c r="AU1123">
        <v>7.0359999999999996</v>
      </c>
      <c r="AV1123" t="s">
        <v>4143</v>
      </c>
      <c r="AW1123" t="s">
        <v>4144</v>
      </c>
      <c r="AX1123" t="s">
        <v>4145</v>
      </c>
    </row>
    <row r="1124" spans="1:50" x14ac:dyDescent="0.25">
      <c r="A1124" t="s">
        <v>4146</v>
      </c>
      <c r="B1124" t="s">
        <v>1679</v>
      </c>
      <c r="C1124">
        <v>0</v>
      </c>
      <c r="D1124">
        <v>0</v>
      </c>
      <c r="E1124" t="s">
        <v>1740</v>
      </c>
      <c r="H1124">
        <v>0</v>
      </c>
      <c r="N1124">
        <v>1</v>
      </c>
      <c r="Q1124">
        <v>1</v>
      </c>
      <c r="R1124">
        <v>0</v>
      </c>
      <c r="U1124" t="s">
        <v>1735</v>
      </c>
      <c r="V1124">
        <v>58</v>
      </c>
      <c r="W1124" t="s">
        <v>79</v>
      </c>
      <c r="X1124" t="s">
        <v>80</v>
      </c>
      <c r="Y1124">
        <v>0</v>
      </c>
      <c r="AD1124" t="s">
        <v>57</v>
      </c>
      <c r="AE1124">
        <v>0</v>
      </c>
      <c r="AF1124">
        <v>6</v>
      </c>
      <c r="AG1124">
        <v>1</v>
      </c>
      <c r="AH1124">
        <v>3</v>
      </c>
      <c r="AI1124">
        <v>512</v>
      </c>
      <c r="AJ1124">
        <v>512</v>
      </c>
      <c r="AK1124">
        <v>134</v>
      </c>
      <c r="AL1124" t="s">
        <v>81</v>
      </c>
      <c r="AM1124">
        <v>2.4</v>
      </c>
      <c r="AN1124" t="s">
        <v>1786</v>
      </c>
      <c r="AO1124" t="s">
        <v>67</v>
      </c>
      <c r="AP1124" t="s">
        <v>68</v>
      </c>
      <c r="AQ1124">
        <v>15</v>
      </c>
      <c r="AR1124">
        <v>384</v>
      </c>
      <c r="AS1124">
        <v>768</v>
      </c>
      <c r="AT1124">
        <v>4.25</v>
      </c>
      <c r="AU1124">
        <v>7.9029999999999996</v>
      </c>
      <c r="AV1124" t="s">
        <v>2027</v>
      </c>
      <c r="AW1124" t="s">
        <v>4147</v>
      </c>
      <c r="AX1124" t="s">
        <v>4148</v>
      </c>
    </row>
    <row r="1125" spans="1:50" x14ac:dyDescent="0.25">
      <c r="A1125" t="s">
        <v>4149</v>
      </c>
      <c r="B1125" t="s">
        <v>1679</v>
      </c>
      <c r="C1125">
        <v>0</v>
      </c>
      <c r="D1125">
        <v>0</v>
      </c>
      <c r="E1125" t="s">
        <v>1680</v>
      </c>
      <c r="H1125">
        <v>0</v>
      </c>
      <c r="N1125">
        <v>0</v>
      </c>
      <c r="Q1125">
        <v>0</v>
      </c>
      <c r="R1125">
        <v>1</v>
      </c>
      <c r="U1125" t="s">
        <v>65</v>
      </c>
      <c r="V1125">
        <v>50</v>
      </c>
      <c r="X1125" t="s">
        <v>55</v>
      </c>
      <c r="Y1125">
        <v>0</v>
      </c>
      <c r="Z1125">
        <v>73</v>
      </c>
      <c r="AB1125" t="s">
        <v>94</v>
      </c>
      <c r="AD1125" t="s">
        <v>57</v>
      </c>
      <c r="AE1125">
        <v>0</v>
      </c>
      <c r="AF1125">
        <v>6</v>
      </c>
      <c r="AG1125">
        <v>1</v>
      </c>
      <c r="AH1125">
        <v>1.5</v>
      </c>
      <c r="AI1125">
        <v>512</v>
      </c>
      <c r="AJ1125">
        <v>512</v>
      </c>
      <c r="AK1125">
        <v>180</v>
      </c>
      <c r="AL1125" t="s">
        <v>1010</v>
      </c>
      <c r="AM1125">
        <v>2</v>
      </c>
      <c r="AN1125" t="s">
        <v>1154</v>
      </c>
      <c r="AO1125" t="s">
        <v>1155</v>
      </c>
      <c r="AP1125" t="s">
        <v>1305</v>
      </c>
      <c r="AQ1125">
        <v>11</v>
      </c>
      <c r="AR1125">
        <v>664</v>
      </c>
      <c r="AS1125">
        <v>1154</v>
      </c>
      <c r="AT1125">
        <v>2.8140000000000001</v>
      </c>
      <c r="AU1125">
        <v>5.4090999999999996</v>
      </c>
      <c r="AV1125" t="s">
        <v>4150</v>
      </c>
      <c r="AW1125" t="s">
        <v>4151</v>
      </c>
      <c r="AX1125" t="s">
        <v>4152</v>
      </c>
    </row>
    <row r="1126" spans="1:50" x14ac:dyDescent="0.25">
      <c r="A1126" t="s">
        <v>4153</v>
      </c>
      <c r="B1126" t="s">
        <v>1679</v>
      </c>
      <c r="C1126">
        <v>0</v>
      </c>
      <c r="D1126">
        <v>0</v>
      </c>
      <c r="E1126" t="s">
        <v>1725</v>
      </c>
      <c r="H1126">
        <v>0</v>
      </c>
      <c r="N1126">
        <v>1</v>
      </c>
      <c r="Q1126">
        <v>0</v>
      </c>
      <c r="R1126">
        <v>0</v>
      </c>
      <c r="U1126" t="s">
        <v>1687</v>
      </c>
      <c r="V1126">
        <v>61</v>
      </c>
      <c r="W1126" t="s">
        <v>79</v>
      </c>
      <c r="X1126" t="s">
        <v>80</v>
      </c>
      <c r="Y1126">
        <v>0</v>
      </c>
      <c r="Z1126">
        <v>63.502939877999999</v>
      </c>
      <c r="AB1126" t="s">
        <v>74</v>
      </c>
      <c r="AD1126" t="s">
        <v>57</v>
      </c>
      <c r="AE1126">
        <v>0</v>
      </c>
      <c r="AF1126">
        <v>6</v>
      </c>
      <c r="AG1126">
        <v>1</v>
      </c>
      <c r="AH1126">
        <v>1.5</v>
      </c>
      <c r="AI1126">
        <v>512</v>
      </c>
      <c r="AJ1126">
        <v>512</v>
      </c>
      <c r="AK1126">
        <v>80</v>
      </c>
      <c r="AL1126" t="s">
        <v>1010</v>
      </c>
      <c r="AM1126">
        <v>2</v>
      </c>
      <c r="AN1126" t="s">
        <v>1011</v>
      </c>
      <c r="AO1126" t="s">
        <v>59</v>
      </c>
      <c r="AP1126" t="s">
        <v>60</v>
      </c>
      <c r="AQ1126">
        <v>11</v>
      </c>
      <c r="AR1126">
        <v>68</v>
      </c>
      <c r="AS1126">
        <v>185</v>
      </c>
      <c r="AT1126">
        <v>1.67</v>
      </c>
      <c r="AU1126">
        <v>4.51</v>
      </c>
      <c r="AV1126" t="s">
        <v>4154</v>
      </c>
      <c r="AW1126" t="s">
        <v>2628</v>
      </c>
      <c r="AX1126" t="s">
        <v>4155</v>
      </c>
    </row>
    <row r="1127" spans="1:50" x14ac:dyDescent="0.25">
      <c r="A1127" t="s">
        <v>4156</v>
      </c>
      <c r="B1127" t="s">
        <v>1679</v>
      </c>
      <c r="C1127">
        <v>0</v>
      </c>
      <c r="D1127">
        <v>1</v>
      </c>
      <c r="E1127" t="s">
        <v>1871</v>
      </c>
      <c r="H1127">
        <v>1</v>
      </c>
      <c r="N1127">
        <v>1</v>
      </c>
      <c r="Q1127">
        <v>1</v>
      </c>
      <c r="R1127">
        <v>1</v>
      </c>
      <c r="U1127" t="s">
        <v>1735</v>
      </c>
      <c r="V1127">
        <v>37</v>
      </c>
      <c r="W1127" t="s">
        <v>1688</v>
      </c>
      <c r="X1127" t="s">
        <v>80</v>
      </c>
      <c r="Y1127">
        <v>0</v>
      </c>
      <c r="Z1127">
        <v>62</v>
      </c>
      <c r="AA1127">
        <v>1.63</v>
      </c>
      <c r="AB1127" t="s">
        <v>74</v>
      </c>
      <c r="AD1127" t="s">
        <v>57</v>
      </c>
      <c r="AE1127">
        <v>0</v>
      </c>
      <c r="AF1127">
        <v>6</v>
      </c>
      <c r="AG1127">
        <v>1</v>
      </c>
      <c r="AH1127">
        <v>3</v>
      </c>
      <c r="AI1127">
        <v>416</v>
      </c>
      <c r="AJ1127">
        <v>416</v>
      </c>
      <c r="AK1127">
        <v>64</v>
      </c>
      <c r="AL1127" t="s">
        <v>2564</v>
      </c>
      <c r="AM1127">
        <v>2.5</v>
      </c>
      <c r="AN1127" t="s">
        <v>1114</v>
      </c>
      <c r="AO1127" t="s">
        <v>59</v>
      </c>
      <c r="AP1127" t="s">
        <v>1781</v>
      </c>
      <c r="AQ1127">
        <v>11</v>
      </c>
      <c r="AR1127">
        <v>44</v>
      </c>
      <c r="AS1127">
        <v>123</v>
      </c>
      <c r="AT1127">
        <v>1.52</v>
      </c>
      <c r="AU1127">
        <v>4.74</v>
      </c>
      <c r="AV1127" t="s">
        <v>4157</v>
      </c>
      <c r="AW1127" t="s">
        <v>4158</v>
      </c>
      <c r="AX1127" t="s">
        <v>4159</v>
      </c>
    </row>
    <row r="1128" spans="1:50" x14ac:dyDescent="0.25">
      <c r="A1128" t="s">
        <v>4160</v>
      </c>
      <c r="B1128" t="s">
        <v>1679</v>
      </c>
      <c r="C1128">
        <v>0</v>
      </c>
      <c r="D1128">
        <v>0</v>
      </c>
      <c r="E1128" t="s">
        <v>1725</v>
      </c>
      <c r="H1128">
        <v>0</v>
      </c>
      <c r="N1128">
        <v>1</v>
      </c>
      <c r="Q1128">
        <v>0</v>
      </c>
      <c r="R1128">
        <v>0</v>
      </c>
      <c r="U1128" t="s">
        <v>1687</v>
      </c>
      <c r="V1128">
        <v>46</v>
      </c>
      <c r="W1128" t="s">
        <v>1726</v>
      </c>
      <c r="X1128" t="s">
        <v>80</v>
      </c>
      <c r="Y1128">
        <v>0</v>
      </c>
      <c r="Z1128">
        <v>76.203527853599994</v>
      </c>
      <c r="AB1128" t="s">
        <v>94</v>
      </c>
      <c r="AD1128" t="s">
        <v>57</v>
      </c>
      <c r="AE1128">
        <v>0</v>
      </c>
      <c r="AF1128">
        <v>6</v>
      </c>
      <c r="AG1128">
        <v>1</v>
      </c>
      <c r="AH1128">
        <v>1.5</v>
      </c>
      <c r="AI1128">
        <v>512</v>
      </c>
      <c r="AJ1128">
        <v>512</v>
      </c>
      <c r="AK1128">
        <v>80</v>
      </c>
      <c r="AL1128" t="s">
        <v>1010</v>
      </c>
      <c r="AM1128">
        <v>2</v>
      </c>
      <c r="AN1128" t="s">
        <v>1011</v>
      </c>
      <c r="AO1128" t="s">
        <v>59</v>
      </c>
      <c r="AP1128" t="s">
        <v>60</v>
      </c>
      <c r="AQ1128">
        <v>11</v>
      </c>
      <c r="AR1128">
        <v>73</v>
      </c>
      <c r="AS1128">
        <v>196</v>
      </c>
      <c r="AT1128">
        <v>1.67</v>
      </c>
      <c r="AU1128">
        <v>4.51</v>
      </c>
      <c r="AV1128" t="s">
        <v>3827</v>
      </c>
      <c r="AW1128" t="s">
        <v>4161</v>
      </c>
      <c r="AX1128" t="s">
        <v>4162</v>
      </c>
    </row>
    <row r="1129" spans="1:50" x14ac:dyDescent="0.25">
      <c r="A1129" t="s">
        <v>4163</v>
      </c>
      <c r="B1129" t="s">
        <v>1679</v>
      </c>
      <c r="C1129">
        <v>0</v>
      </c>
      <c r="D1129">
        <v>0</v>
      </c>
      <c r="E1129" t="s">
        <v>2035</v>
      </c>
      <c r="H1129">
        <v>0</v>
      </c>
      <c r="N1129">
        <v>1</v>
      </c>
      <c r="Q1129">
        <v>1</v>
      </c>
      <c r="R1129">
        <v>0</v>
      </c>
      <c r="U1129" t="s">
        <v>1735</v>
      </c>
      <c r="V1129">
        <v>64</v>
      </c>
      <c r="W1129" t="s">
        <v>79</v>
      </c>
      <c r="X1129" t="s">
        <v>80</v>
      </c>
      <c r="Y1129">
        <v>0</v>
      </c>
      <c r="Z1129">
        <v>87.543000000000006</v>
      </c>
      <c r="AB1129" t="s">
        <v>118</v>
      </c>
      <c r="AD1129" t="s">
        <v>57</v>
      </c>
      <c r="AE1129">
        <v>0</v>
      </c>
      <c r="AF1129">
        <v>6</v>
      </c>
      <c r="AG1129">
        <v>1</v>
      </c>
      <c r="AH1129">
        <v>3</v>
      </c>
      <c r="AI1129">
        <v>512</v>
      </c>
      <c r="AJ1129">
        <v>512</v>
      </c>
      <c r="AK1129">
        <v>134</v>
      </c>
      <c r="AL1129" t="s">
        <v>88</v>
      </c>
      <c r="AM1129">
        <v>2.4</v>
      </c>
      <c r="AN1129" t="s">
        <v>1786</v>
      </c>
      <c r="AO1129" t="s">
        <v>67</v>
      </c>
      <c r="AP1129" t="s">
        <v>68</v>
      </c>
      <c r="AQ1129">
        <v>15</v>
      </c>
      <c r="AR1129">
        <v>266</v>
      </c>
      <c r="AS1129">
        <v>532</v>
      </c>
      <c r="AT1129">
        <v>2.76</v>
      </c>
      <c r="AU1129">
        <v>6.9059999999999997</v>
      </c>
      <c r="AV1129" t="s">
        <v>1817</v>
      </c>
      <c r="AW1129" t="s">
        <v>4164</v>
      </c>
      <c r="AX1129" t="s">
        <v>4165</v>
      </c>
    </row>
    <row r="1130" spans="1:50" x14ac:dyDescent="0.25">
      <c r="A1130" t="s">
        <v>4166</v>
      </c>
      <c r="B1130" t="s">
        <v>1679</v>
      </c>
      <c r="C1130">
        <v>0</v>
      </c>
      <c r="D1130">
        <v>1</v>
      </c>
      <c r="E1130" t="s">
        <v>1839</v>
      </c>
      <c r="H1130">
        <v>1</v>
      </c>
      <c r="N1130">
        <v>0</v>
      </c>
      <c r="Q1130">
        <v>1</v>
      </c>
      <c r="R1130">
        <v>1</v>
      </c>
      <c r="U1130" t="s">
        <v>72</v>
      </c>
      <c r="V1130">
        <v>57</v>
      </c>
      <c r="X1130" t="s">
        <v>80</v>
      </c>
      <c r="Y1130">
        <v>0</v>
      </c>
      <c r="Z1130">
        <v>69</v>
      </c>
      <c r="AB1130" t="s">
        <v>94</v>
      </c>
      <c r="AD1130" t="s">
        <v>57</v>
      </c>
      <c r="AE1130">
        <v>0</v>
      </c>
      <c r="AF1130">
        <v>6</v>
      </c>
      <c r="AG1130">
        <v>1</v>
      </c>
      <c r="AH1130">
        <v>1.5</v>
      </c>
      <c r="AI1130">
        <v>512</v>
      </c>
      <c r="AJ1130">
        <v>512</v>
      </c>
      <c r="AK1130">
        <v>158</v>
      </c>
      <c r="AL1130" t="s">
        <v>1876</v>
      </c>
      <c r="AM1130">
        <v>2</v>
      </c>
      <c r="AN1130" t="s">
        <v>1877</v>
      </c>
      <c r="AO1130" t="s">
        <v>1155</v>
      </c>
      <c r="AP1130" t="s">
        <v>1767</v>
      </c>
      <c r="AQ1130">
        <v>11</v>
      </c>
      <c r="AR1130">
        <v>382</v>
      </c>
      <c r="AS1130">
        <v>664</v>
      </c>
      <c r="AT1130">
        <v>3.5449999999999999</v>
      </c>
      <c r="AU1130">
        <v>7.1868999999999996</v>
      </c>
      <c r="AV1130" t="s">
        <v>2273</v>
      </c>
      <c r="AW1130" t="s">
        <v>4167</v>
      </c>
      <c r="AX1130" t="s">
        <v>4168</v>
      </c>
    </row>
    <row r="1131" spans="1:50" x14ac:dyDescent="0.25">
      <c r="A1131" t="s">
        <v>4169</v>
      </c>
      <c r="B1131" t="s">
        <v>1679</v>
      </c>
      <c r="C1131">
        <v>0</v>
      </c>
      <c r="D1131">
        <v>1</v>
      </c>
      <c r="E1131" t="s">
        <v>1686</v>
      </c>
      <c r="H1131">
        <v>0</v>
      </c>
      <c r="N1131">
        <v>1</v>
      </c>
      <c r="Q1131">
        <v>0</v>
      </c>
      <c r="R1131">
        <v>0</v>
      </c>
      <c r="U1131" t="s">
        <v>1687</v>
      </c>
      <c r="V1131">
        <v>43</v>
      </c>
      <c r="W1131" t="s">
        <v>1688</v>
      </c>
      <c r="X1131" t="s">
        <v>80</v>
      </c>
      <c r="Y1131">
        <v>0</v>
      </c>
      <c r="Z1131">
        <v>89</v>
      </c>
      <c r="AB1131" t="s">
        <v>118</v>
      </c>
      <c r="AD1131" t="s">
        <v>57</v>
      </c>
      <c r="AE1131">
        <v>0</v>
      </c>
      <c r="AF1131">
        <v>6</v>
      </c>
      <c r="AG1131">
        <v>1</v>
      </c>
      <c r="AH1131">
        <v>1.5</v>
      </c>
      <c r="AI1131">
        <v>512</v>
      </c>
      <c r="AJ1131">
        <v>512</v>
      </c>
      <c r="AK1131">
        <v>64</v>
      </c>
      <c r="AL1131" t="s">
        <v>196</v>
      </c>
      <c r="AM1131">
        <v>2.5</v>
      </c>
      <c r="AN1131" t="s">
        <v>1705</v>
      </c>
      <c r="AO1131" t="s">
        <v>67</v>
      </c>
      <c r="AP1131" t="s">
        <v>89</v>
      </c>
      <c r="AQ1131">
        <v>15</v>
      </c>
      <c r="AR1131">
        <v>188</v>
      </c>
      <c r="AS1131">
        <v>377</v>
      </c>
      <c r="AT1131">
        <v>2.5640000000000001</v>
      </c>
      <c r="AU1131">
        <v>5.7350000000000003</v>
      </c>
      <c r="AV1131" t="s">
        <v>4170</v>
      </c>
      <c r="AW1131" t="s">
        <v>4171</v>
      </c>
      <c r="AX1131" t="s">
        <v>4172</v>
      </c>
    </row>
    <row r="1132" spans="1:50" x14ac:dyDescent="0.25">
      <c r="A1132" t="s">
        <v>4173</v>
      </c>
      <c r="B1132" t="s">
        <v>1679</v>
      </c>
      <c r="C1132">
        <v>0</v>
      </c>
      <c r="D1132">
        <v>0</v>
      </c>
      <c r="E1132" t="s">
        <v>1725</v>
      </c>
      <c r="H1132">
        <v>0</v>
      </c>
      <c r="N1132">
        <v>1</v>
      </c>
      <c r="Q1132">
        <v>0</v>
      </c>
      <c r="R1132">
        <v>0</v>
      </c>
      <c r="U1132" t="s">
        <v>1687</v>
      </c>
      <c r="V1132">
        <v>56</v>
      </c>
      <c r="W1132" t="s">
        <v>1688</v>
      </c>
      <c r="X1132" t="s">
        <v>80</v>
      </c>
      <c r="Y1132">
        <v>0</v>
      </c>
      <c r="Z1132">
        <v>81.647000000000006</v>
      </c>
      <c r="AB1132" t="s">
        <v>94</v>
      </c>
      <c r="AD1132" t="s">
        <v>57</v>
      </c>
      <c r="AE1132">
        <v>0</v>
      </c>
      <c r="AF1132">
        <v>6</v>
      </c>
      <c r="AG1132">
        <v>1</v>
      </c>
      <c r="AH1132">
        <v>1.5</v>
      </c>
      <c r="AI1132">
        <v>512</v>
      </c>
      <c r="AJ1132">
        <v>512</v>
      </c>
      <c r="AK1132">
        <v>72</v>
      </c>
      <c r="AL1132" t="s">
        <v>119</v>
      </c>
      <c r="AM1132">
        <v>2.2000000000000002</v>
      </c>
      <c r="AN1132" t="s">
        <v>1072</v>
      </c>
      <c r="AO1132" t="s">
        <v>67</v>
      </c>
      <c r="AP1132" t="s">
        <v>68</v>
      </c>
      <c r="AQ1132">
        <v>15</v>
      </c>
      <c r="AR1132">
        <v>224</v>
      </c>
      <c r="AS1132">
        <v>448</v>
      </c>
      <c r="AT1132">
        <v>4.28</v>
      </c>
      <c r="AU1132">
        <v>8.7439999999999998</v>
      </c>
      <c r="AV1132" t="s">
        <v>4174</v>
      </c>
      <c r="AW1132" t="s">
        <v>4175</v>
      </c>
      <c r="AX1132" t="s">
        <v>4176</v>
      </c>
    </row>
    <row r="1133" spans="1:50" x14ac:dyDescent="0.25">
      <c r="A1133" t="s">
        <v>4177</v>
      </c>
      <c r="B1133" t="s">
        <v>1679</v>
      </c>
      <c r="C1133">
        <v>0</v>
      </c>
      <c r="D1133">
        <v>0</v>
      </c>
      <c r="E1133" t="s">
        <v>1703</v>
      </c>
      <c r="H1133">
        <v>0</v>
      </c>
      <c r="N1133">
        <v>1</v>
      </c>
      <c r="Q1133">
        <v>0</v>
      </c>
      <c r="R1133">
        <v>1</v>
      </c>
      <c r="U1133" t="s">
        <v>1687</v>
      </c>
      <c r="V1133">
        <v>40</v>
      </c>
      <c r="W1133" t="s">
        <v>1688</v>
      </c>
      <c r="X1133" t="s">
        <v>80</v>
      </c>
      <c r="Y1133">
        <v>0</v>
      </c>
      <c r="AD1133" t="s">
        <v>57</v>
      </c>
      <c r="AE1133">
        <v>0</v>
      </c>
      <c r="AF1133">
        <v>6</v>
      </c>
      <c r="AG1133">
        <v>1</v>
      </c>
      <c r="AH1133">
        <v>1.5</v>
      </c>
      <c r="AI1133">
        <v>512</v>
      </c>
      <c r="AJ1133">
        <v>512</v>
      </c>
      <c r="AK1133">
        <v>72</v>
      </c>
      <c r="AL1133" t="s">
        <v>119</v>
      </c>
      <c r="AM1133">
        <v>2.2000000000000002</v>
      </c>
      <c r="AN1133" t="s">
        <v>1072</v>
      </c>
      <c r="AO1133" t="s">
        <v>67</v>
      </c>
      <c r="AP1133" t="s">
        <v>68</v>
      </c>
      <c r="AQ1133">
        <v>15</v>
      </c>
      <c r="AR1133">
        <v>405</v>
      </c>
      <c r="AS1133">
        <v>810</v>
      </c>
      <c r="AT1133">
        <v>4.28</v>
      </c>
      <c r="AU1133">
        <v>8.7479999999999993</v>
      </c>
      <c r="AV1133" t="s">
        <v>2972</v>
      </c>
      <c r="AW1133" t="s">
        <v>2333</v>
      </c>
      <c r="AX1133" t="s">
        <v>4178</v>
      </c>
    </row>
    <row r="1134" spans="1:50" x14ac:dyDescent="0.25">
      <c r="A1134" t="s">
        <v>4179</v>
      </c>
      <c r="B1134" t="s">
        <v>1679</v>
      </c>
      <c r="C1134">
        <v>0</v>
      </c>
      <c r="D1134">
        <v>1</v>
      </c>
      <c r="E1134" t="s">
        <v>1703</v>
      </c>
      <c r="H1134">
        <v>0</v>
      </c>
      <c r="N1134">
        <v>1</v>
      </c>
      <c r="Q1134">
        <v>0</v>
      </c>
      <c r="R1134">
        <v>0</v>
      </c>
      <c r="U1134" t="s">
        <v>1687</v>
      </c>
      <c r="V1134">
        <v>32</v>
      </c>
      <c r="X1134" t="s">
        <v>80</v>
      </c>
      <c r="Y1134">
        <v>0</v>
      </c>
      <c r="Z1134">
        <v>68</v>
      </c>
      <c r="AB1134" t="s">
        <v>74</v>
      </c>
      <c r="AD1134" t="s">
        <v>57</v>
      </c>
      <c r="AE1134">
        <v>0</v>
      </c>
      <c r="AF1134">
        <v>6</v>
      </c>
      <c r="AG1134">
        <v>1</v>
      </c>
      <c r="AH1134">
        <v>1.5</v>
      </c>
      <c r="AI1134">
        <v>400</v>
      </c>
      <c r="AJ1134">
        <v>400</v>
      </c>
      <c r="AK1134">
        <v>64</v>
      </c>
      <c r="AL1134" t="s">
        <v>1924</v>
      </c>
      <c r="AM1134">
        <v>2.5</v>
      </c>
      <c r="AN1134" t="s">
        <v>1531</v>
      </c>
      <c r="AO1134" t="s">
        <v>1155</v>
      </c>
      <c r="AP1134" t="s">
        <v>1767</v>
      </c>
      <c r="AQ1134">
        <v>11</v>
      </c>
      <c r="AR1134">
        <v>69.900000000000006</v>
      </c>
      <c r="AS1134">
        <v>121.48</v>
      </c>
      <c r="AT1134">
        <v>2.5979999999999999</v>
      </c>
      <c r="AU1134">
        <v>5.2080000000000002</v>
      </c>
      <c r="AV1134" t="s">
        <v>4180</v>
      </c>
      <c r="AW1134" t="s">
        <v>4181</v>
      </c>
      <c r="AX1134" t="s">
        <v>4182</v>
      </c>
    </row>
    <row r="1135" spans="1:50" x14ac:dyDescent="0.25">
      <c r="A1135" t="s">
        <v>4183</v>
      </c>
      <c r="B1135" t="s">
        <v>1679</v>
      </c>
      <c r="C1135">
        <v>0</v>
      </c>
      <c r="D1135">
        <v>0</v>
      </c>
      <c r="E1135" t="s">
        <v>1686</v>
      </c>
      <c r="H1135">
        <v>1</v>
      </c>
      <c r="N1135">
        <v>1</v>
      </c>
      <c r="Q1135">
        <v>0</v>
      </c>
      <c r="R1135">
        <v>1</v>
      </c>
      <c r="U1135" t="s">
        <v>1687</v>
      </c>
      <c r="V1135">
        <v>72</v>
      </c>
      <c r="X1135" t="s">
        <v>55</v>
      </c>
      <c r="Y1135">
        <v>0</v>
      </c>
      <c r="Z1135">
        <v>93.894000000000005</v>
      </c>
      <c r="AB1135" t="s">
        <v>118</v>
      </c>
      <c r="AD1135" t="s">
        <v>57</v>
      </c>
      <c r="AE1135">
        <v>0</v>
      </c>
      <c r="AF1135">
        <v>6</v>
      </c>
      <c r="AG1135">
        <v>1</v>
      </c>
      <c r="AH1135">
        <v>1.5</v>
      </c>
      <c r="AI1135">
        <v>512</v>
      </c>
      <c r="AJ1135">
        <v>512</v>
      </c>
      <c r="AK1135">
        <v>72</v>
      </c>
      <c r="AL1135" t="s">
        <v>119</v>
      </c>
      <c r="AM1135">
        <v>2.2000000000000002</v>
      </c>
      <c r="AN1135" t="s">
        <v>1072</v>
      </c>
      <c r="AO1135" t="s">
        <v>67</v>
      </c>
      <c r="AP1135" t="s">
        <v>68</v>
      </c>
      <c r="AQ1135">
        <v>15</v>
      </c>
      <c r="AR1135">
        <v>178</v>
      </c>
      <c r="AS1135">
        <v>357</v>
      </c>
      <c r="AT1135">
        <v>4.2359999999999998</v>
      </c>
      <c r="AU1135">
        <v>8.6679999999999993</v>
      </c>
      <c r="AV1135" t="s">
        <v>4184</v>
      </c>
      <c r="AW1135" t="s">
        <v>4185</v>
      </c>
      <c r="AX1135" t="s">
        <v>4186</v>
      </c>
    </row>
    <row r="1136" spans="1:50" x14ac:dyDescent="0.25">
      <c r="A1136" t="s">
        <v>4187</v>
      </c>
      <c r="B1136" t="s">
        <v>1679</v>
      </c>
      <c r="C1136">
        <v>0</v>
      </c>
      <c r="D1136">
        <v>0</v>
      </c>
      <c r="E1136" t="s">
        <v>1703</v>
      </c>
      <c r="H1136">
        <v>0</v>
      </c>
      <c r="N1136">
        <v>0</v>
      </c>
      <c r="Q1136">
        <v>0</v>
      </c>
      <c r="R1136">
        <v>1</v>
      </c>
      <c r="U1136" t="s">
        <v>65</v>
      </c>
      <c r="V1136">
        <v>63</v>
      </c>
      <c r="X1136" t="s">
        <v>80</v>
      </c>
      <c r="Y1136">
        <v>0</v>
      </c>
      <c r="Z1136">
        <v>80</v>
      </c>
      <c r="AB1136" t="s">
        <v>94</v>
      </c>
      <c r="AD1136" t="s">
        <v>57</v>
      </c>
      <c r="AE1136">
        <v>0</v>
      </c>
      <c r="AF1136">
        <v>6</v>
      </c>
      <c r="AG1136">
        <v>1</v>
      </c>
      <c r="AH1136">
        <v>1.5</v>
      </c>
      <c r="AI1136">
        <v>400</v>
      </c>
      <c r="AJ1136">
        <v>400</v>
      </c>
      <c r="AK1136">
        <v>64</v>
      </c>
      <c r="AL1136" t="s">
        <v>1924</v>
      </c>
      <c r="AM1136">
        <v>2.5</v>
      </c>
      <c r="AN1136" t="s">
        <v>1531</v>
      </c>
      <c r="AO1136" t="s">
        <v>1155</v>
      </c>
      <c r="AP1136" t="s">
        <v>1767</v>
      </c>
      <c r="AQ1136">
        <v>11</v>
      </c>
      <c r="AR1136">
        <v>72.84</v>
      </c>
      <c r="AS1136">
        <v>126.65</v>
      </c>
      <c r="AT1136">
        <v>2.5979999999999999</v>
      </c>
      <c r="AU1136">
        <v>5.2080000000000002</v>
      </c>
      <c r="AV1136" t="s">
        <v>4188</v>
      </c>
      <c r="AW1136" t="s">
        <v>4189</v>
      </c>
      <c r="AX1136" t="s">
        <v>4190</v>
      </c>
    </row>
    <row r="1137" spans="1:50" x14ac:dyDescent="0.25">
      <c r="A1137" t="s">
        <v>4191</v>
      </c>
      <c r="B1137" t="s">
        <v>1679</v>
      </c>
      <c r="C1137">
        <v>0</v>
      </c>
      <c r="D1137">
        <v>0</v>
      </c>
      <c r="E1137" t="s">
        <v>1725</v>
      </c>
      <c r="H1137">
        <v>0</v>
      </c>
      <c r="N1137">
        <v>1</v>
      </c>
      <c r="Q1137">
        <v>0</v>
      </c>
      <c r="R1137">
        <v>0</v>
      </c>
      <c r="U1137" t="s">
        <v>1687</v>
      </c>
      <c r="V1137">
        <v>54</v>
      </c>
      <c r="W1137" t="s">
        <v>1688</v>
      </c>
      <c r="X1137" t="s">
        <v>80</v>
      </c>
      <c r="Y1137">
        <v>0</v>
      </c>
      <c r="Z1137">
        <v>60</v>
      </c>
      <c r="AB1137" t="s">
        <v>74</v>
      </c>
      <c r="AD1137" t="s">
        <v>57</v>
      </c>
      <c r="AE1137">
        <v>0</v>
      </c>
      <c r="AF1137">
        <v>6</v>
      </c>
      <c r="AG1137">
        <v>1</v>
      </c>
      <c r="AH1137">
        <v>1.5</v>
      </c>
      <c r="AI1137">
        <v>512</v>
      </c>
      <c r="AJ1137">
        <v>512</v>
      </c>
      <c r="AK1137">
        <v>158</v>
      </c>
      <c r="AL1137" t="s">
        <v>1876</v>
      </c>
      <c r="AM1137">
        <v>2</v>
      </c>
      <c r="AN1137" t="s">
        <v>1877</v>
      </c>
      <c r="AO1137" t="s">
        <v>1155</v>
      </c>
      <c r="AP1137" t="s">
        <v>1767</v>
      </c>
      <c r="AQ1137">
        <v>11</v>
      </c>
      <c r="AR1137">
        <v>346</v>
      </c>
      <c r="AS1137">
        <v>601</v>
      </c>
      <c r="AT1137">
        <v>3.5449999999999999</v>
      </c>
      <c r="AU1137">
        <v>7.1867000000000001</v>
      </c>
      <c r="AV1137" t="s">
        <v>2273</v>
      </c>
      <c r="AW1137" t="s">
        <v>3956</v>
      </c>
      <c r="AX1137" t="s">
        <v>4192</v>
      </c>
    </row>
    <row r="1138" spans="1:50" x14ac:dyDescent="0.25">
      <c r="A1138" t="s">
        <v>4193</v>
      </c>
      <c r="B1138" t="s">
        <v>1679</v>
      </c>
      <c r="C1138">
        <v>0</v>
      </c>
      <c r="D1138">
        <v>0</v>
      </c>
      <c r="E1138" t="s">
        <v>1725</v>
      </c>
      <c r="H1138">
        <v>0</v>
      </c>
      <c r="N1138">
        <v>0</v>
      </c>
      <c r="Q1138">
        <v>0</v>
      </c>
      <c r="R1138">
        <v>0</v>
      </c>
      <c r="U1138" t="s">
        <v>65</v>
      </c>
      <c r="V1138">
        <v>43</v>
      </c>
      <c r="W1138" t="s">
        <v>1688</v>
      </c>
      <c r="X1138" t="s">
        <v>80</v>
      </c>
      <c r="Y1138">
        <v>0</v>
      </c>
      <c r="AD1138" t="s">
        <v>57</v>
      </c>
      <c r="AE1138">
        <v>0</v>
      </c>
      <c r="AF1138">
        <v>6</v>
      </c>
      <c r="AG1138">
        <v>1</v>
      </c>
      <c r="AH1138">
        <v>1.5</v>
      </c>
      <c r="AI1138">
        <v>512</v>
      </c>
      <c r="AJ1138">
        <v>512</v>
      </c>
      <c r="AK1138">
        <v>72</v>
      </c>
      <c r="AL1138" t="s">
        <v>119</v>
      </c>
      <c r="AM1138">
        <v>2.2000000000000002</v>
      </c>
      <c r="AN1138" t="s">
        <v>1072</v>
      </c>
      <c r="AO1138" t="s">
        <v>67</v>
      </c>
      <c r="AP1138" t="s">
        <v>68</v>
      </c>
      <c r="AQ1138">
        <v>15</v>
      </c>
      <c r="AR1138">
        <v>258</v>
      </c>
      <c r="AS1138">
        <v>516</v>
      </c>
      <c r="AT1138">
        <v>4.28</v>
      </c>
      <c r="AU1138">
        <v>8.7439999999999998</v>
      </c>
      <c r="AV1138" t="s">
        <v>4077</v>
      </c>
      <c r="AW1138" t="s">
        <v>1695</v>
      </c>
      <c r="AX1138" t="s">
        <v>4194</v>
      </c>
    </row>
    <row r="1139" spans="1:50" x14ac:dyDescent="0.25">
      <c r="A1139" t="s">
        <v>4195</v>
      </c>
      <c r="B1139" t="s">
        <v>1679</v>
      </c>
      <c r="C1139">
        <v>0</v>
      </c>
      <c r="D1139">
        <v>0</v>
      </c>
      <c r="E1139" t="s">
        <v>1686</v>
      </c>
      <c r="H1139">
        <v>0</v>
      </c>
      <c r="N1139">
        <v>1</v>
      </c>
      <c r="Q1139">
        <v>0</v>
      </c>
      <c r="R1139">
        <v>0</v>
      </c>
      <c r="U1139" t="s">
        <v>1687</v>
      </c>
      <c r="V1139">
        <v>69</v>
      </c>
      <c r="W1139" t="s">
        <v>79</v>
      </c>
      <c r="X1139" t="s">
        <v>80</v>
      </c>
      <c r="Y1139">
        <v>0</v>
      </c>
      <c r="AD1139" t="s">
        <v>57</v>
      </c>
      <c r="AE1139">
        <v>0</v>
      </c>
      <c r="AF1139">
        <v>6</v>
      </c>
      <c r="AG1139">
        <v>1</v>
      </c>
      <c r="AH1139">
        <v>3</v>
      </c>
      <c r="AI1139">
        <v>416</v>
      </c>
      <c r="AJ1139">
        <v>416</v>
      </c>
      <c r="AK1139">
        <v>64</v>
      </c>
      <c r="AL1139" t="s">
        <v>2564</v>
      </c>
      <c r="AM1139">
        <v>2.5</v>
      </c>
      <c r="AN1139" t="s">
        <v>1114</v>
      </c>
      <c r="AO1139" t="s">
        <v>59</v>
      </c>
      <c r="AP1139" t="s">
        <v>1781</v>
      </c>
      <c r="AQ1139">
        <v>11</v>
      </c>
      <c r="AR1139">
        <v>70</v>
      </c>
      <c r="AS1139">
        <v>187</v>
      </c>
      <c r="AT1139">
        <v>1.52</v>
      </c>
      <c r="AU1139">
        <v>4.74</v>
      </c>
      <c r="AV1139" t="s">
        <v>4196</v>
      </c>
      <c r="AW1139" t="s">
        <v>4197</v>
      </c>
      <c r="AX1139" t="s">
        <v>4198</v>
      </c>
    </row>
    <row r="1140" spans="1:50" x14ac:dyDescent="0.25">
      <c r="A1140" t="s">
        <v>4199</v>
      </c>
      <c r="B1140" t="s">
        <v>1679</v>
      </c>
      <c r="C1140">
        <v>0</v>
      </c>
      <c r="D1140">
        <v>0</v>
      </c>
      <c r="E1140" t="s">
        <v>1680</v>
      </c>
      <c r="H1140">
        <v>0</v>
      </c>
      <c r="N1140">
        <v>1</v>
      </c>
      <c r="Q1140">
        <v>0</v>
      </c>
      <c r="R1140">
        <v>0</v>
      </c>
      <c r="U1140" t="s">
        <v>1687</v>
      </c>
      <c r="V1140">
        <v>49</v>
      </c>
      <c r="W1140" t="s">
        <v>1688</v>
      </c>
      <c r="X1140" t="s">
        <v>80</v>
      </c>
      <c r="Y1140">
        <v>0</v>
      </c>
      <c r="Z1140">
        <v>68.039000000000001</v>
      </c>
      <c r="AB1140" t="s">
        <v>74</v>
      </c>
      <c r="AD1140" t="s">
        <v>57</v>
      </c>
      <c r="AE1140">
        <v>0</v>
      </c>
      <c r="AF1140">
        <v>6</v>
      </c>
      <c r="AG1140">
        <v>1</v>
      </c>
      <c r="AH1140">
        <v>1.5</v>
      </c>
      <c r="AI1140">
        <v>512</v>
      </c>
      <c r="AJ1140">
        <v>512</v>
      </c>
      <c r="AK1140">
        <v>67</v>
      </c>
      <c r="AL1140" t="s">
        <v>81</v>
      </c>
      <c r="AM1140">
        <v>2</v>
      </c>
      <c r="AN1140" t="s">
        <v>996</v>
      </c>
      <c r="AO1140" t="s">
        <v>67</v>
      </c>
      <c r="AP1140" t="s">
        <v>68</v>
      </c>
      <c r="AQ1140">
        <v>15</v>
      </c>
      <c r="AR1140">
        <v>101</v>
      </c>
      <c r="AS1140">
        <v>202</v>
      </c>
      <c r="AT1140">
        <v>4.2</v>
      </c>
      <c r="AU1140">
        <v>7</v>
      </c>
      <c r="AV1140" t="s">
        <v>3587</v>
      </c>
      <c r="AW1140" t="s">
        <v>1814</v>
      </c>
      <c r="AX1140" t="s">
        <v>4200</v>
      </c>
    </row>
    <row r="1141" spans="1:50" x14ac:dyDescent="0.25">
      <c r="A1141" t="s">
        <v>4201</v>
      </c>
      <c r="B1141" t="s">
        <v>1679</v>
      </c>
      <c r="C1141">
        <v>0</v>
      </c>
      <c r="D1141">
        <v>0</v>
      </c>
      <c r="E1141" t="s">
        <v>1698</v>
      </c>
      <c r="H1141">
        <v>0</v>
      </c>
      <c r="N1141">
        <v>0</v>
      </c>
      <c r="Q1141">
        <v>0</v>
      </c>
      <c r="R1141">
        <v>1</v>
      </c>
      <c r="U1141" t="s">
        <v>65</v>
      </c>
      <c r="V1141">
        <v>40</v>
      </c>
      <c r="W1141" t="s">
        <v>1688</v>
      </c>
      <c r="X1141" t="s">
        <v>55</v>
      </c>
      <c r="Y1141">
        <v>0</v>
      </c>
      <c r="Z1141">
        <v>52.616999999999997</v>
      </c>
      <c r="AB1141" t="s">
        <v>74</v>
      </c>
      <c r="AD1141" t="s">
        <v>57</v>
      </c>
      <c r="AE1141">
        <v>0</v>
      </c>
      <c r="AF1141">
        <v>6</v>
      </c>
      <c r="AG1141">
        <v>1</v>
      </c>
      <c r="AH1141">
        <v>3</v>
      </c>
      <c r="AI1141">
        <v>512</v>
      </c>
      <c r="AJ1141">
        <v>512</v>
      </c>
      <c r="AK1141">
        <v>134</v>
      </c>
      <c r="AL1141" t="s">
        <v>113</v>
      </c>
      <c r="AM1141">
        <v>2.4</v>
      </c>
      <c r="AN1141" t="s">
        <v>1786</v>
      </c>
      <c r="AO1141" t="s">
        <v>67</v>
      </c>
      <c r="AP1141" t="s">
        <v>68</v>
      </c>
      <c r="AQ1141">
        <v>15</v>
      </c>
      <c r="AR1141">
        <v>441</v>
      </c>
      <c r="AS1141">
        <v>883</v>
      </c>
      <c r="AT1141">
        <v>4.25</v>
      </c>
      <c r="AU1141">
        <v>8.9160000000000004</v>
      </c>
      <c r="AV1141" t="s">
        <v>4202</v>
      </c>
      <c r="AW1141" t="s">
        <v>4203</v>
      </c>
      <c r="AX1141" t="s">
        <v>4204</v>
      </c>
    </row>
    <row r="1142" spans="1:50" x14ac:dyDescent="0.25">
      <c r="A1142" t="s">
        <v>4205</v>
      </c>
      <c r="B1142" t="s">
        <v>1679</v>
      </c>
      <c r="C1142">
        <v>0</v>
      </c>
      <c r="D1142">
        <v>0</v>
      </c>
      <c r="E1142" t="s">
        <v>1725</v>
      </c>
      <c r="H1142">
        <v>0</v>
      </c>
      <c r="N1142">
        <v>1</v>
      </c>
      <c r="Q1142">
        <v>0</v>
      </c>
      <c r="R1142">
        <v>0</v>
      </c>
      <c r="U1142" t="s">
        <v>1687</v>
      </c>
      <c r="V1142">
        <v>57</v>
      </c>
      <c r="X1142" t="s">
        <v>80</v>
      </c>
      <c r="Y1142">
        <v>0</v>
      </c>
      <c r="Z1142">
        <v>67.584999999999994</v>
      </c>
      <c r="AB1142" t="s">
        <v>74</v>
      </c>
      <c r="AD1142" t="s">
        <v>57</v>
      </c>
      <c r="AE1142">
        <v>0</v>
      </c>
      <c r="AF1142">
        <v>6</v>
      </c>
      <c r="AG1142">
        <v>1</v>
      </c>
      <c r="AH1142">
        <v>1.5</v>
      </c>
      <c r="AI1142">
        <v>512</v>
      </c>
      <c r="AJ1142">
        <v>512</v>
      </c>
      <c r="AK1142">
        <v>72</v>
      </c>
      <c r="AL1142" t="s">
        <v>119</v>
      </c>
      <c r="AM1142">
        <v>2.2000000000000002</v>
      </c>
      <c r="AN1142" t="s">
        <v>1072</v>
      </c>
      <c r="AO1142" t="s">
        <v>67</v>
      </c>
      <c r="AP1142" t="s">
        <v>68</v>
      </c>
      <c r="AQ1142">
        <v>15</v>
      </c>
      <c r="AR1142">
        <v>240</v>
      </c>
      <c r="AS1142">
        <v>480</v>
      </c>
      <c r="AT1142">
        <v>4.2359999999999998</v>
      </c>
      <c r="AU1142">
        <v>8.6679999999999993</v>
      </c>
      <c r="AV1142" t="s">
        <v>4206</v>
      </c>
      <c r="AW1142" t="s">
        <v>4207</v>
      </c>
      <c r="AX1142" t="s">
        <v>4208</v>
      </c>
    </row>
    <row r="1143" spans="1:50" x14ac:dyDescent="0.25">
      <c r="A1143" t="s">
        <v>4209</v>
      </c>
      <c r="B1143" t="s">
        <v>1679</v>
      </c>
      <c r="C1143">
        <v>0</v>
      </c>
      <c r="D1143">
        <v>0</v>
      </c>
      <c r="E1143" t="s">
        <v>1740</v>
      </c>
      <c r="H1143">
        <v>1</v>
      </c>
      <c r="N1143">
        <v>0</v>
      </c>
      <c r="Q1143">
        <v>0</v>
      </c>
      <c r="R1143">
        <v>1</v>
      </c>
      <c r="U1143" t="s">
        <v>65</v>
      </c>
      <c r="V1143">
        <v>37</v>
      </c>
      <c r="W1143" t="s">
        <v>1726</v>
      </c>
      <c r="X1143" t="s">
        <v>80</v>
      </c>
      <c r="Y1143">
        <v>0</v>
      </c>
      <c r="AD1143" t="s">
        <v>57</v>
      </c>
      <c r="AE1143">
        <v>0</v>
      </c>
      <c r="AF1143">
        <v>6</v>
      </c>
      <c r="AG1143">
        <v>1</v>
      </c>
      <c r="AH1143">
        <v>1.5</v>
      </c>
      <c r="AI1143">
        <v>512</v>
      </c>
      <c r="AJ1143">
        <v>512</v>
      </c>
      <c r="AK1143">
        <v>80</v>
      </c>
      <c r="AL1143" t="s">
        <v>81</v>
      </c>
      <c r="AM1143">
        <v>2</v>
      </c>
      <c r="AN1143" t="s">
        <v>1681</v>
      </c>
      <c r="AO1143" t="s">
        <v>67</v>
      </c>
      <c r="AP1143" t="s">
        <v>68</v>
      </c>
      <c r="AQ1143">
        <v>15</v>
      </c>
      <c r="AR1143">
        <v>429</v>
      </c>
      <c r="AS1143">
        <v>1114</v>
      </c>
      <c r="AT1143">
        <v>2.6040000000000001</v>
      </c>
      <c r="AU1143">
        <v>5.6310000000000002</v>
      </c>
      <c r="AV1143" t="s">
        <v>4210</v>
      </c>
      <c r="AW1143" t="s">
        <v>2990</v>
      </c>
      <c r="AX1143" t="s">
        <v>4211</v>
      </c>
    </row>
    <row r="1144" spans="1:50" x14ac:dyDescent="0.25">
      <c r="A1144" t="s">
        <v>4212</v>
      </c>
      <c r="B1144" t="s">
        <v>1679</v>
      </c>
      <c r="C1144">
        <v>0</v>
      </c>
      <c r="D1144">
        <v>1</v>
      </c>
      <c r="E1144" t="s">
        <v>1780</v>
      </c>
      <c r="H1144">
        <v>1</v>
      </c>
      <c r="N1144">
        <v>0</v>
      </c>
      <c r="Q1144">
        <v>0</v>
      </c>
      <c r="R1144">
        <v>1</v>
      </c>
      <c r="U1144" t="s">
        <v>65</v>
      </c>
      <c r="V1144">
        <v>39</v>
      </c>
      <c r="W1144" t="s">
        <v>1688</v>
      </c>
      <c r="X1144" t="s">
        <v>80</v>
      </c>
      <c r="Y1144">
        <v>0</v>
      </c>
      <c r="Z1144">
        <v>110</v>
      </c>
      <c r="AB1144" t="s">
        <v>269</v>
      </c>
      <c r="AD1144" t="s">
        <v>57</v>
      </c>
      <c r="AE1144">
        <v>0</v>
      </c>
      <c r="AF1144">
        <v>6</v>
      </c>
      <c r="AG1144">
        <v>1</v>
      </c>
      <c r="AH1144">
        <v>3</v>
      </c>
      <c r="AI1144">
        <v>640</v>
      </c>
      <c r="AJ1144">
        <v>640</v>
      </c>
      <c r="AK1144">
        <v>160</v>
      </c>
      <c r="AL1144" t="s">
        <v>2431</v>
      </c>
      <c r="AM1144">
        <v>2</v>
      </c>
      <c r="AN1144" t="s">
        <v>1877</v>
      </c>
      <c r="AO1144" t="s">
        <v>1155</v>
      </c>
      <c r="AP1144" t="s">
        <v>1305</v>
      </c>
      <c r="AQ1144">
        <v>11</v>
      </c>
      <c r="AR1144">
        <v>58.76</v>
      </c>
      <c r="AS1144">
        <v>102.11</v>
      </c>
      <c r="AT1144">
        <v>4.6040000000000001</v>
      </c>
      <c r="AU1144">
        <v>7.4</v>
      </c>
      <c r="AW1144" t="s">
        <v>4213</v>
      </c>
      <c r="AX1144" t="s">
        <v>4214</v>
      </c>
    </row>
    <row r="1145" spans="1:50" x14ac:dyDescent="0.25">
      <c r="A1145" t="s">
        <v>4215</v>
      </c>
      <c r="B1145" t="s">
        <v>1679</v>
      </c>
      <c r="C1145">
        <v>0</v>
      </c>
      <c r="D1145">
        <v>1</v>
      </c>
      <c r="E1145" t="s">
        <v>1703</v>
      </c>
      <c r="H1145">
        <v>0</v>
      </c>
      <c r="N1145">
        <v>1</v>
      </c>
      <c r="Q1145">
        <v>0</v>
      </c>
      <c r="R1145">
        <v>0</v>
      </c>
      <c r="U1145" t="s">
        <v>1687</v>
      </c>
      <c r="V1145">
        <v>53</v>
      </c>
      <c r="W1145" t="s">
        <v>1726</v>
      </c>
      <c r="X1145" t="s">
        <v>80</v>
      </c>
      <c r="Y1145">
        <v>0</v>
      </c>
      <c r="Z1145">
        <v>105.687</v>
      </c>
      <c r="AB1145" t="s">
        <v>56</v>
      </c>
      <c r="AD1145" t="s">
        <v>57</v>
      </c>
      <c r="AE1145">
        <v>0</v>
      </c>
      <c r="AF1145">
        <v>6</v>
      </c>
      <c r="AG1145">
        <v>1</v>
      </c>
      <c r="AH1145">
        <v>1.5</v>
      </c>
      <c r="AI1145">
        <v>512</v>
      </c>
      <c r="AJ1145">
        <v>512</v>
      </c>
      <c r="AK1145">
        <v>80</v>
      </c>
      <c r="AL1145" t="s">
        <v>119</v>
      </c>
      <c r="AM1145">
        <v>2</v>
      </c>
      <c r="AN1145" t="s">
        <v>996</v>
      </c>
      <c r="AO1145" t="s">
        <v>67</v>
      </c>
      <c r="AP1145" t="s">
        <v>68</v>
      </c>
      <c r="AQ1145">
        <v>15</v>
      </c>
      <c r="AR1145">
        <v>88</v>
      </c>
      <c r="AS1145">
        <v>177</v>
      </c>
      <c r="AT1145">
        <v>4.2</v>
      </c>
      <c r="AU1145">
        <v>7</v>
      </c>
      <c r="AV1145" t="s">
        <v>4216</v>
      </c>
      <c r="AW1145" t="s">
        <v>4217</v>
      </c>
      <c r="AX1145" t="s">
        <v>4218</v>
      </c>
    </row>
    <row r="1146" spans="1:50" x14ac:dyDescent="0.25">
      <c r="A1146" t="s">
        <v>4219</v>
      </c>
      <c r="B1146" t="s">
        <v>1679</v>
      </c>
      <c r="C1146">
        <v>0</v>
      </c>
      <c r="D1146">
        <v>0</v>
      </c>
      <c r="E1146" t="s">
        <v>1693</v>
      </c>
      <c r="H1146">
        <v>0</v>
      </c>
      <c r="N1146">
        <v>1</v>
      </c>
      <c r="Q1146">
        <v>0</v>
      </c>
      <c r="R1146">
        <v>0</v>
      </c>
      <c r="U1146" t="s">
        <v>1687</v>
      </c>
      <c r="V1146">
        <v>34</v>
      </c>
      <c r="W1146" t="s">
        <v>1688</v>
      </c>
      <c r="X1146" t="s">
        <v>80</v>
      </c>
      <c r="Y1146">
        <v>0</v>
      </c>
      <c r="Z1146">
        <v>72.575000000000003</v>
      </c>
      <c r="AB1146" t="s">
        <v>94</v>
      </c>
      <c r="AD1146" t="s">
        <v>57</v>
      </c>
      <c r="AE1146">
        <v>0</v>
      </c>
      <c r="AF1146">
        <v>6</v>
      </c>
      <c r="AG1146">
        <v>1</v>
      </c>
      <c r="AH1146">
        <v>1.5</v>
      </c>
      <c r="AI1146">
        <v>512</v>
      </c>
      <c r="AJ1146">
        <v>512</v>
      </c>
      <c r="AK1146">
        <v>80</v>
      </c>
      <c r="AL1146" t="s">
        <v>196</v>
      </c>
      <c r="AM1146">
        <v>2</v>
      </c>
      <c r="AN1146" t="s">
        <v>996</v>
      </c>
      <c r="AO1146" t="s">
        <v>67</v>
      </c>
      <c r="AP1146" t="s">
        <v>68</v>
      </c>
      <c r="AQ1146">
        <v>15</v>
      </c>
      <c r="AR1146">
        <v>189</v>
      </c>
      <c r="AS1146">
        <v>379</v>
      </c>
      <c r="AT1146">
        <v>4.2</v>
      </c>
      <c r="AU1146">
        <v>7</v>
      </c>
      <c r="AV1146" t="s">
        <v>4220</v>
      </c>
      <c r="AW1146" t="s">
        <v>3749</v>
      </c>
      <c r="AX1146" t="s">
        <v>4221</v>
      </c>
    </row>
    <row r="1147" spans="1:50" x14ac:dyDescent="0.25">
      <c r="A1147" t="s">
        <v>4222</v>
      </c>
      <c r="B1147" t="s">
        <v>1679</v>
      </c>
      <c r="C1147">
        <v>0</v>
      </c>
      <c r="D1147">
        <v>0</v>
      </c>
      <c r="E1147" t="s">
        <v>1698</v>
      </c>
      <c r="H1147">
        <v>0</v>
      </c>
      <c r="N1147">
        <v>1</v>
      </c>
      <c r="Q1147">
        <v>0</v>
      </c>
      <c r="R1147">
        <v>0</v>
      </c>
      <c r="U1147" t="s">
        <v>1687</v>
      </c>
      <c r="V1147">
        <v>65</v>
      </c>
      <c r="W1147" t="s">
        <v>79</v>
      </c>
      <c r="X1147" t="s">
        <v>1714</v>
      </c>
      <c r="Y1147">
        <v>0</v>
      </c>
      <c r="Z1147">
        <v>69.849999999999994</v>
      </c>
      <c r="AB1147" t="s">
        <v>94</v>
      </c>
      <c r="AD1147" t="s">
        <v>57</v>
      </c>
      <c r="AE1147">
        <v>0</v>
      </c>
      <c r="AF1147">
        <v>6</v>
      </c>
      <c r="AG1147">
        <v>1</v>
      </c>
      <c r="AH1147">
        <v>3</v>
      </c>
      <c r="AI1147">
        <v>512</v>
      </c>
      <c r="AJ1147">
        <v>512</v>
      </c>
      <c r="AK1147">
        <v>134</v>
      </c>
      <c r="AL1147" t="s">
        <v>119</v>
      </c>
      <c r="AM1147">
        <v>2.4</v>
      </c>
      <c r="AN1147" t="s">
        <v>1786</v>
      </c>
      <c r="AO1147" t="s">
        <v>67</v>
      </c>
      <c r="AP1147" t="s">
        <v>1979</v>
      </c>
      <c r="AQ1147">
        <v>15</v>
      </c>
      <c r="AR1147">
        <v>276</v>
      </c>
      <c r="AS1147">
        <v>552</v>
      </c>
      <c r="AT1147">
        <v>2.6240000000000001</v>
      </c>
      <c r="AU1147">
        <v>5.42</v>
      </c>
      <c r="AV1147" t="s">
        <v>4223</v>
      </c>
      <c r="AW1147" t="s">
        <v>4224</v>
      </c>
      <c r="AX1147" t="s">
        <v>4225</v>
      </c>
    </row>
    <row r="1148" spans="1:50" x14ac:dyDescent="0.25">
      <c r="A1148" t="s">
        <v>4226</v>
      </c>
      <c r="B1148" t="s">
        <v>1679</v>
      </c>
      <c r="C1148">
        <v>0</v>
      </c>
      <c r="D1148">
        <v>0</v>
      </c>
      <c r="E1148" t="s">
        <v>1703</v>
      </c>
      <c r="H1148">
        <v>0</v>
      </c>
      <c r="N1148">
        <v>1</v>
      </c>
      <c r="Q1148">
        <v>0</v>
      </c>
      <c r="R1148">
        <v>0</v>
      </c>
      <c r="U1148" t="s">
        <v>1687</v>
      </c>
      <c r="V1148">
        <v>46</v>
      </c>
      <c r="W1148" t="s">
        <v>1688</v>
      </c>
      <c r="X1148" t="s">
        <v>80</v>
      </c>
      <c r="Y1148">
        <v>0</v>
      </c>
      <c r="Z1148">
        <v>61.689</v>
      </c>
      <c r="AB1148" t="s">
        <v>74</v>
      </c>
      <c r="AD1148" t="s">
        <v>57</v>
      </c>
      <c r="AE1148">
        <v>0</v>
      </c>
      <c r="AF1148">
        <v>6</v>
      </c>
      <c r="AG1148">
        <v>1</v>
      </c>
      <c r="AH1148">
        <v>1.5</v>
      </c>
      <c r="AI1148">
        <v>512</v>
      </c>
      <c r="AJ1148">
        <v>512</v>
      </c>
      <c r="AK1148">
        <v>72</v>
      </c>
      <c r="AL1148" t="s">
        <v>119</v>
      </c>
      <c r="AM1148">
        <v>2.2000000000000002</v>
      </c>
      <c r="AN1148" t="s">
        <v>1072</v>
      </c>
      <c r="AO1148" t="s">
        <v>67</v>
      </c>
      <c r="AP1148" t="s">
        <v>68</v>
      </c>
      <c r="AQ1148">
        <v>15</v>
      </c>
      <c r="AR1148">
        <v>275</v>
      </c>
      <c r="AS1148">
        <v>550</v>
      </c>
      <c r="AT1148">
        <v>4.2359999999999998</v>
      </c>
      <c r="AU1148">
        <v>8.6679999999999993</v>
      </c>
      <c r="AV1148" t="s">
        <v>4227</v>
      </c>
      <c r="AW1148" t="s">
        <v>3325</v>
      </c>
      <c r="AX1148" t="s">
        <v>4228</v>
      </c>
    </row>
    <row r="1149" spans="1:50" x14ac:dyDescent="0.25">
      <c r="A1149" t="s">
        <v>4229</v>
      </c>
      <c r="B1149" t="s">
        <v>1679</v>
      </c>
      <c r="C1149">
        <v>0</v>
      </c>
      <c r="D1149">
        <v>0</v>
      </c>
      <c r="E1149" t="s">
        <v>1686</v>
      </c>
      <c r="H1149">
        <v>0</v>
      </c>
      <c r="N1149">
        <v>0</v>
      </c>
      <c r="Q1149">
        <v>0</v>
      </c>
      <c r="R1149">
        <v>1</v>
      </c>
      <c r="U1149" t="s">
        <v>65</v>
      </c>
      <c r="V1149">
        <v>44</v>
      </c>
      <c r="W1149" t="s">
        <v>1688</v>
      </c>
      <c r="X1149" t="s">
        <v>55</v>
      </c>
      <c r="Y1149">
        <v>0</v>
      </c>
      <c r="Z1149">
        <v>95.254000000000005</v>
      </c>
      <c r="AB1149" t="s">
        <v>118</v>
      </c>
      <c r="AD1149" t="s">
        <v>57</v>
      </c>
      <c r="AE1149">
        <v>0</v>
      </c>
      <c r="AF1149">
        <v>6</v>
      </c>
      <c r="AG1149">
        <v>1</v>
      </c>
      <c r="AH1149">
        <v>3</v>
      </c>
      <c r="AI1149">
        <v>512</v>
      </c>
      <c r="AJ1149">
        <v>512</v>
      </c>
      <c r="AK1149">
        <v>80</v>
      </c>
      <c r="AL1149" t="s">
        <v>196</v>
      </c>
      <c r="AM1149">
        <v>2</v>
      </c>
      <c r="AN1149" t="s">
        <v>1915</v>
      </c>
      <c r="AO1149" t="s">
        <v>67</v>
      </c>
      <c r="AP1149" t="s">
        <v>68</v>
      </c>
      <c r="AQ1149">
        <v>15</v>
      </c>
      <c r="AR1149">
        <v>397</v>
      </c>
      <c r="AS1149">
        <v>794</v>
      </c>
      <c r="AT1149">
        <v>2.1480000000000001</v>
      </c>
      <c r="AU1149">
        <v>5.0110000000000001</v>
      </c>
      <c r="AV1149" t="s">
        <v>4230</v>
      </c>
      <c r="AW1149" t="s">
        <v>1842</v>
      </c>
      <c r="AX1149" t="s">
        <v>4231</v>
      </c>
    </row>
    <row r="1150" spans="1:50" x14ac:dyDescent="0.25">
      <c r="A1150" t="s">
        <v>4232</v>
      </c>
      <c r="B1150" t="s">
        <v>1679</v>
      </c>
      <c r="C1150">
        <v>0</v>
      </c>
      <c r="D1150">
        <v>1</v>
      </c>
      <c r="E1150" t="s">
        <v>1839</v>
      </c>
      <c r="H1150">
        <v>1</v>
      </c>
      <c r="N1150">
        <v>1</v>
      </c>
      <c r="Q1150">
        <v>1</v>
      </c>
      <c r="R1150">
        <v>0</v>
      </c>
      <c r="U1150" t="s">
        <v>1735</v>
      </c>
      <c r="V1150">
        <v>46</v>
      </c>
      <c r="W1150" t="s">
        <v>1688</v>
      </c>
      <c r="X1150" t="s">
        <v>80</v>
      </c>
      <c r="Y1150">
        <v>1</v>
      </c>
      <c r="Z1150">
        <v>70.307000000000002</v>
      </c>
      <c r="AB1150" t="s">
        <v>94</v>
      </c>
      <c r="AD1150" t="s">
        <v>57</v>
      </c>
      <c r="AE1150">
        <v>0</v>
      </c>
      <c r="AF1150">
        <v>6</v>
      </c>
      <c r="AG1150">
        <v>1</v>
      </c>
      <c r="AH1150">
        <v>3</v>
      </c>
      <c r="AI1150">
        <v>512</v>
      </c>
      <c r="AJ1150">
        <v>512</v>
      </c>
      <c r="AK1150">
        <v>134</v>
      </c>
      <c r="AL1150" t="s">
        <v>119</v>
      </c>
      <c r="AM1150">
        <v>2.4</v>
      </c>
      <c r="AN1150" t="s">
        <v>1786</v>
      </c>
      <c r="AO1150" t="s">
        <v>67</v>
      </c>
      <c r="AP1150" t="s">
        <v>68</v>
      </c>
      <c r="AQ1150">
        <v>15</v>
      </c>
      <c r="AR1150">
        <v>273</v>
      </c>
      <c r="AS1150">
        <v>547</v>
      </c>
      <c r="AT1150">
        <v>2.8</v>
      </c>
      <c r="AU1150">
        <v>7.2969999999999997</v>
      </c>
      <c r="AV1150" t="s">
        <v>1787</v>
      </c>
      <c r="AW1150" t="s">
        <v>4151</v>
      </c>
      <c r="AX1150" t="s">
        <v>4233</v>
      </c>
    </row>
    <row r="1151" spans="1:50" x14ac:dyDescent="0.25">
      <c r="A1151" t="s">
        <v>4234</v>
      </c>
      <c r="B1151" t="s">
        <v>1679</v>
      </c>
      <c r="C1151">
        <v>0</v>
      </c>
      <c r="D1151">
        <v>0</v>
      </c>
      <c r="E1151" t="s">
        <v>1703</v>
      </c>
      <c r="H1151">
        <v>0</v>
      </c>
      <c r="N1151">
        <v>0</v>
      </c>
      <c r="Q1151">
        <v>0</v>
      </c>
      <c r="R1151">
        <v>1</v>
      </c>
      <c r="U1151" t="s">
        <v>65</v>
      </c>
      <c r="V1151">
        <v>70</v>
      </c>
      <c r="W1151" t="s">
        <v>79</v>
      </c>
      <c r="X1151" t="s">
        <v>80</v>
      </c>
      <c r="Y1151">
        <v>0</v>
      </c>
      <c r="Z1151">
        <v>75</v>
      </c>
      <c r="AB1151" t="s">
        <v>94</v>
      </c>
      <c r="AD1151" t="s">
        <v>57</v>
      </c>
      <c r="AE1151">
        <v>1</v>
      </c>
      <c r="AF1151">
        <v>6</v>
      </c>
      <c r="AG1151">
        <v>1</v>
      </c>
      <c r="AH1151">
        <v>1.5</v>
      </c>
      <c r="AI1151">
        <v>400</v>
      </c>
      <c r="AJ1151">
        <v>400</v>
      </c>
      <c r="AK1151">
        <v>72</v>
      </c>
      <c r="AL1151" t="s">
        <v>1924</v>
      </c>
      <c r="AM1151">
        <v>2.5</v>
      </c>
      <c r="AN1151" t="s">
        <v>1531</v>
      </c>
      <c r="AO1151" t="s">
        <v>1155</v>
      </c>
      <c r="AP1151" t="s">
        <v>1767</v>
      </c>
      <c r="AQ1151">
        <v>11</v>
      </c>
      <c r="AR1151">
        <v>76.010000000000005</v>
      </c>
      <c r="AS1151">
        <v>132.11000000000001</v>
      </c>
      <c r="AT1151">
        <v>2.5979999999999999</v>
      </c>
      <c r="AU1151">
        <v>5.2080000000000002</v>
      </c>
      <c r="AV1151" t="s">
        <v>4235</v>
      </c>
      <c r="AW1151" t="s">
        <v>4236</v>
      </c>
      <c r="AX1151" t="s">
        <v>4237</v>
      </c>
    </row>
    <row r="1152" spans="1:50" x14ac:dyDescent="0.25">
      <c r="A1152" t="s">
        <v>4238</v>
      </c>
      <c r="B1152" t="s">
        <v>1679</v>
      </c>
      <c r="C1152">
        <v>0</v>
      </c>
      <c r="D1152">
        <v>0</v>
      </c>
      <c r="E1152" t="s">
        <v>1839</v>
      </c>
      <c r="H1152">
        <v>1</v>
      </c>
      <c r="N1152">
        <v>0</v>
      </c>
      <c r="Q1152">
        <v>1</v>
      </c>
      <c r="R1152">
        <v>1</v>
      </c>
      <c r="U1152" t="s">
        <v>72</v>
      </c>
      <c r="V1152">
        <v>59</v>
      </c>
      <c r="W1152" t="s">
        <v>79</v>
      </c>
      <c r="X1152" t="s">
        <v>80</v>
      </c>
      <c r="Y1152">
        <v>0</v>
      </c>
      <c r="Z1152">
        <v>74</v>
      </c>
      <c r="AB1152" t="s">
        <v>94</v>
      </c>
      <c r="AD1152" t="s">
        <v>57</v>
      </c>
      <c r="AE1152">
        <v>0</v>
      </c>
      <c r="AF1152">
        <v>6</v>
      </c>
      <c r="AG1152">
        <v>1</v>
      </c>
      <c r="AH1152">
        <v>1.5</v>
      </c>
      <c r="AI1152">
        <v>512</v>
      </c>
      <c r="AJ1152">
        <v>512</v>
      </c>
      <c r="AK1152">
        <v>64</v>
      </c>
      <c r="AL1152" t="s">
        <v>81</v>
      </c>
      <c r="AM1152">
        <v>2.5</v>
      </c>
      <c r="AN1152" t="s">
        <v>1705</v>
      </c>
      <c r="AO1152" t="s">
        <v>67</v>
      </c>
      <c r="AP1152" t="s">
        <v>89</v>
      </c>
      <c r="AQ1152">
        <v>15</v>
      </c>
      <c r="AR1152">
        <v>297</v>
      </c>
      <c r="AS1152">
        <v>595</v>
      </c>
      <c r="AT1152">
        <v>2.528</v>
      </c>
      <c r="AU1152">
        <v>5.3540000000000001</v>
      </c>
      <c r="AV1152" t="s">
        <v>4239</v>
      </c>
      <c r="AW1152" t="s">
        <v>4240</v>
      </c>
      <c r="AX1152" t="s">
        <v>4241</v>
      </c>
    </row>
    <row r="1153" spans="1:50" x14ac:dyDescent="0.25">
      <c r="A1153" t="s">
        <v>4242</v>
      </c>
      <c r="B1153" t="s">
        <v>1679</v>
      </c>
      <c r="C1153">
        <v>0</v>
      </c>
      <c r="D1153">
        <v>0</v>
      </c>
      <c r="E1153" t="s">
        <v>1703</v>
      </c>
      <c r="H1153">
        <v>0</v>
      </c>
      <c r="N1153">
        <v>0</v>
      </c>
      <c r="Q1153">
        <v>0</v>
      </c>
      <c r="R1153">
        <v>1</v>
      </c>
      <c r="U1153" t="s">
        <v>65</v>
      </c>
      <c r="V1153">
        <v>50</v>
      </c>
      <c r="W1153" t="s">
        <v>1704</v>
      </c>
      <c r="X1153" t="s">
        <v>80</v>
      </c>
      <c r="Y1153">
        <v>0</v>
      </c>
      <c r="Z1153">
        <v>95.254000000000005</v>
      </c>
      <c r="AB1153" t="s">
        <v>118</v>
      </c>
      <c r="AD1153" t="s">
        <v>57</v>
      </c>
      <c r="AE1153">
        <v>0</v>
      </c>
      <c r="AF1153">
        <v>6</v>
      </c>
      <c r="AG1153">
        <v>1</v>
      </c>
      <c r="AH1153">
        <v>1.5</v>
      </c>
      <c r="AI1153">
        <v>512</v>
      </c>
      <c r="AJ1153">
        <v>512</v>
      </c>
      <c r="AK1153">
        <v>76</v>
      </c>
      <c r="AL1153" t="s">
        <v>88</v>
      </c>
      <c r="AM1153">
        <v>2.1</v>
      </c>
      <c r="AN1153" t="s">
        <v>996</v>
      </c>
      <c r="AO1153" t="s">
        <v>67</v>
      </c>
      <c r="AP1153" t="s">
        <v>68</v>
      </c>
      <c r="AQ1153">
        <v>15</v>
      </c>
      <c r="AR1153">
        <v>75</v>
      </c>
      <c r="AS1153">
        <v>150</v>
      </c>
      <c r="AT1153">
        <v>4.2</v>
      </c>
      <c r="AU1153">
        <v>7</v>
      </c>
      <c r="AV1153" t="s">
        <v>3676</v>
      </c>
      <c r="AW1153" t="s">
        <v>4243</v>
      </c>
      <c r="AX1153" t="s">
        <v>4244</v>
      </c>
    </row>
    <row r="1154" spans="1:50" x14ac:dyDescent="0.25">
      <c r="A1154" t="s">
        <v>4245</v>
      </c>
      <c r="B1154" t="s">
        <v>1679</v>
      </c>
      <c r="C1154">
        <v>0</v>
      </c>
      <c r="D1154">
        <v>1</v>
      </c>
      <c r="E1154" t="s">
        <v>1740</v>
      </c>
      <c r="H1154">
        <v>0</v>
      </c>
      <c r="N1154">
        <v>0</v>
      </c>
      <c r="Q1154">
        <v>1</v>
      </c>
      <c r="R1154">
        <v>1</v>
      </c>
      <c r="U1154" t="s">
        <v>72</v>
      </c>
      <c r="V1154">
        <v>52</v>
      </c>
      <c r="X1154" t="s">
        <v>55</v>
      </c>
      <c r="Y1154">
        <v>0</v>
      </c>
      <c r="AD1154" t="s">
        <v>57</v>
      </c>
      <c r="AE1154">
        <v>0</v>
      </c>
      <c r="AF1154">
        <v>6</v>
      </c>
      <c r="AG1154">
        <v>1</v>
      </c>
      <c r="AH1154">
        <v>1.5</v>
      </c>
      <c r="AI1154">
        <v>400</v>
      </c>
      <c r="AJ1154">
        <v>400</v>
      </c>
      <c r="AK1154">
        <v>80</v>
      </c>
      <c r="AL1154" t="s">
        <v>1924</v>
      </c>
      <c r="AM1154">
        <v>2.5</v>
      </c>
      <c r="AN1154" t="s">
        <v>1531</v>
      </c>
      <c r="AO1154" t="s">
        <v>1155</v>
      </c>
      <c r="AP1154" t="s">
        <v>1767</v>
      </c>
      <c r="AQ1154">
        <v>11</v>
      </c>
      <c r="AR1154">
        <v>687.39</v>
      </c>
      <c r="AS1154">
        <v>1194.55</v>
      </c>
      <c r="AT1154">
        <v>4.6040000000000001</v>
      </c>
      <c r="AU1154">
        <v>7.2138</v>
      </c>
      <c r="AV1154" t="s">
        <v>4246</v>
      </c>
      <c r="AW1154" t="s">
        <v>4247</v>
      </c>
      <c r="AX1154" t="s">
        <v>4248</v>
      </c>
    </row>
    <row r="1155" spans="1:50" x14ac:dyDescent="0.25">
      <c r="A1155" t="s">
        <v>4249</v>
      </c>
      <c r="B1155" t="s">
        <v>1679</v>
      </c>
      <c r="C1155">
        <v>0</v>
      </c>
      <c r="D1155">
        <v>0</v>
      </c>
      <c r="E1155" t="s">
        <v>1780</v>
      </c>
      <c r="H1155">
        <v>1</v>
      </c>
      <c r="N1155">
        <v>0</v>
      </c>
      <c r="Q1155">
        <v>0</v>
      </c>
      <c r="R1155">
        <v>1</v>
      </c>
      <c r="U1155" t="s">
        <v>65</v>
      </c>
      <c r="V1155">
        <v>29</v>
      </c>
      <c r="W1155" t="s">
        <v>1688</v>
      </c>
      <c r="X1155" t="s">
        <v>80</v>
      </c>
      <c r="Y1155">
        <v>0</v>
      </c>
      <c r="AD1155" t="s">
        <v>57</v>
      </c>
      <c r="AE1155">
        <v>0</v>
      </c>
      <c r="AF1155">
        <v>6</v>
      </c>
      <c r="AG1155">
        <v>1</v>
      </c>
      <c r="AH1155">
        <v>3</v>
      </c>
      <c r="AI1155">
        <v>512</v>
      </c>
      <c r="AJ1155">
        <v>512</v>
      </c>
      <c r="AK1155">
        <v>134</v>
      </c>
      <c r="AL1155" t="s">
        <v>153</v>
      </c>
      <c r="AM1155">
        <v>2.4</v>
      </c>
      <c r="AN1155" t="s">
        <v>1786</v>
      </c>
      <c r="AO1155" t="s">
        <v>67</v>
      </c>
      <c r="AP1155" t="s">
        <v>68</v>
      </c>
      <c r="AQ1155">
        <v>15</v>
      </c>
      <c r="AR1155">
        <v>374</v>
      </c>
      <c r="AS1155">
        <v>749</v>
      </c>
      <c r="AT1155">
        <v>4.25</v>
      </c>
      <c r="AU1155">
        <v>8.2159999999999993</v>
      </c>
      <c r="AV1155" t="s">
        <v>4250</v>
      </c>
      <c r="AW1155" t="s">
        <v>4251</v>
      </c>
      <c r="AX1155" t="s">
        <v>4252</v>
      </c>
    </row>
    <row r="1156" spans="1:50" x14ac:dyDescent="0.25">
      <c r="A1156" t="s">
        <v>4253</v>
      </c>
      <c r="B1156" t="s">
        <v>1679</v>
      </c>
      <c r="C1156">
        <v>0</v>
      </c>
      <c r="D1156">
        <v>0</v>
      </c>
      <c r="E1156" t="s">
        <v>1703</v>
      </c>
      <c r="H1156">
        <v>0</v>
      </c>
      <c r="N1156">
        <v>1</v>
      </c>
      <c r="Q1156">
        <v>0</v>
      </c>
      <c r="R1156">
        <v>0</v>
      </c>
      <c r="U1156" t="s">
        <v>1687</v>
      </c>
      <c r="V1156">
        <v>48</v>
      </c>
      <c r="W1156" t="s">
        <v>1726</v>
      </c>
      <c r="X1156" t="s">
        <v>80</v>
      </c>
      <c r="Y1156">
        <v>0</v>
      </c>
      <c r="Z1156">
        <v>63.503</v>
      </c>
      <c r="AB1156" t="s">
        <v>74</v>
      </c>
      <c r="AD1156" t="s">
        <v>57</v>
      </c>
      <c r="AE1156">
        <v>0</v>
      </c>
      <c r="AF1156">
        <v>4</v>
      </c>
      <c r="AG1156">
        <v>1</v>
      </c>
      <c r="AH1156">
        <v>1.5</v>
      </c>
      <c r="AI1156">
        <v>512</v>
      </c>
      <c r="AJ1156">
        <v>512</v>
      </c>
      <c r="AK1156">
        <v>80</v>
      </c>
      <c r="AL1156" t="s">
        <v>66</v>
      </c>
      <c r="AM1156">
        <v>2</v>
      </c>
      <c r="AN1156" t="s">
        <v>996</v>
      </c>
      <c r="AO1156" t="s">
        <v>67</v>
      </c>
      <c r="AP1156" t="s">
        <v>114</v>
      </c>
      <c r="AQ1156">
        <v>15</v>
      </c>
      <c r="AR1156">
        <v>178</v>
      </c>
      <c r="AS1156">
        <v>356</v>
      </c>
      <c r="AT1156">
        <v>4.3959999999999999</v>
      </c>
      <c r="AU1156">
        <v>8.9480000000000004</v>
      </c>
      <c r="AV1156" t="s">
        <v>4254</v>
      </c>
      <c r="AW1156" t="s">
        <v>4255</v>
      </c>
      <c r="AX1156" t="s">
        <v>4256</v>
      </c>
    </row>
    <row r="1157" spans="1:50" x14ac:dyDescent="0.25">
      <c r="A1157" t="s">
        <v>4257</v>
      </c>
      <c r="B1157" t="s">
        <v>1679</v>
      </c>
      <c r="C1157">
        <v>0</v>
      </c>
      <c r="D1157">
        <v>0</v>
      </c>
      <c r="E1157" t="s">
        <v>1703</v>
      </c>
      <c r="H1157">
        <v>1</v>
      </c>
      <c r="N1157">
        <v>1</v>
      </c>
      <c r="Q1157">
        <v>0</v>
      </c>
      <c r="R1157">
        <v>0</v>
      </c>
      <c r="U1157" t="s">
        <v>1687</v>
      </c>
      <c r="V1157">
        <v>47</v>
      </c>
      <c r="X1157" t="s">
        <v>80</v>
      </c>
      <c r="Y1157">
        <v>0</v>
      </c>
      <c r="AD1157" t="s">
        <v>57</v>
      </c>
      <c r="AE1157">
        <v>0</v>
      </c>
      <c r="AF1157">
        <v>6</v>
      </c>
      <c r="AG1157">
        <v>1</v>
      </c>
      <c r="AH1157">
        <v>1.5</v>
      </c>
      <c r="AI1157">
        <v>512</v>
      </c>
      <c r="AJ1157">
        <v>512</v>
      </c>
      <c r="AK1157">
        <v>72</v>
      </c>
      <c r="AL1157" t="s">
        <v>119</v>
      </c>
      <c r="AM1157">
        <v>2.2000000000000002</v>
      </c>
      <c r="AN1157" t="s">
        <v>1072</v>
      </c>
      <c r="AO1157" t="s">
        <v>67</v>
      </c>
      <c r="AP1157" t="s">
        <v>68</v>
      </c>
      <c r="AQ1157">
        <v>15</v>
      </c>
      <c r="AR1157">
        <v>222</v>
      </c>
      <c r="AS1157">
        <v>444</v>
      </c>
      <c r="AT1157">
        <v>4.2359999999999998</v>
      </c>
      <c r="AU1157">
        <v>8.6679999999999993</v>
      </c>
      <c r="AV1157" t="s">
        <v>4258</v>
      </c>
      <c r="AW1157" t="s">
        <v>4259</v>
      </c>
      <c r="AX1157" t="s">
        <v>4260</v>
      </c>
    </row>
    <row r="1158" spans="1:50" x14ac:dyDescent="0.25">
      <c r="A1158" t="s">
        <v>4261</v>
      </c>
      <c r="B1158" t="s">
        <v>1679</v>
      </c>
      <c r="C1158">
        <v>0</v>
      </c>
      <c r="D1158">
        <v>0</v>
      </c>
      <c r="E1158" t="s">
        <v>1693</v>
      </c>
      <c r="H1158">
        <v>1</v>
      </c>
      <c r="N1158">
        <v>1</v>
      </c>
      <c r="Q1158">
        <v>0</v>
      </c>
      <c r="R1158">
        <v>0</v>
      </c>
      <c r="U1158" t="s">
        <v>1687</v>
      </c>
      <c r="V1158">
        <v>56</v>
      </c>
      <c r="W1158" t="s">
        <v>79</v>
      </c>
      <c r="X1158" t="s">
        <v>80</v>
      </c>
      <c r="Y1158">
        <v>0</v>
      </c>
      <c r="Z1158">
        <v>92.986000000000004</v>
      </c>
      <c r="AB1158" t="s">
        <v>118</v>
      </c>
      <c r="AD1158" t="s">
        <v>57</v>
      </c>
      <c r="AE1158">
        <v>0</v>
      </c>
      <c r="AF1158">
        <v>6</v>
      </c>
      <c r="AG1158">
        <v>1</v>
      </c>
      <c r="AH1158">
        <v>1.5</v>
      </c>
      <c r="AI1158">
        <v>512</v>
      </c>
      <c r="AJ1158">
        <v>512</v>
      </c>
      <c r="AK1158">
        <v>76</v>
      </c>
      <c r="AL1158" t="s">
        <v>196</v>
      </c>
      <c r="AM1158">
        <v>2.4</v>
      </c>
      <c r="AN1158" t="s">
        <v>1942</v>
      </c>
      <c r="AO1158" t="s">
        <v>67</v>
      </c>
      <c r="AP1158" t="s">
        <v>68</v>
      </c>
      <c r="AQ1158">
        <v>15</v>
      </c>
      <c r="AR1158">
        <v>778</v>
      </c>
      <c r="AS1158">
        <v>1557</v>
      </c>
      <c r="AT1158">
        <v>2.988</v>
      </c>
      <c r="AU1158">
        <v>6.22</v>
      </c>
      <c r="AV1158" t="s">
        <v>4262</v>
      </c>
      <c r="AW1158" t="s">
        <v>3749</v>
      </c>
      <c r="AX1158" t="s">
        <v>4263</v>
      </c>
    </row>
    <row r="1159" spans="1:50" x14ac:dyDescent="0.25">
      <c r="A1159" t="s">
        <v>4264</v>
      </c>
      <c r="B1159" t="s">
        <v>1679</v>
      </c>
      <c r="C1159">
        <v>0</v>
      </c>
      <c r="D1159">
        <v>1</v>
      </c>
      <c r="E1159" t="s">
        <v>1703</v>
      </c>
      <c r="H1159">
        <v>0</v>
      </c>
      <c r="N1159">
        <v>0</v>
      </c>
      <c r="Q1159">
        <v>0</v>
      </c>
      <c r="R1159">
        <v>1</v>
      </c>
      <c r="U1159" t="s">
        <v>65</v>
      </c>
      <c r="V1159">
        <v>50</v>
      </c>
      <c r="W1159" t="s">
        <v>1704</v>
      </c>
      <c r="X1159" t="s">
        <v>80</v>
      </c>
      <c r="Y1159">
        <v>0</v>
      </c>
      <c r="Z1159">
        <v>74.84</v>
      </c>
      <c r="AB1159" t="s">
        <v>94</v>
      </c>
      <c r="AD1159" t="s">
        <v>57</v>
      </c>
      <c r="AE1159">
        <v>0</v>
      </c>
      <c r="AF1159">
        <v>6</v>
      </c>
      <c r="AG1159">
        <v>1</v>
      </c>
      <c r="AH1159">
        <v>1.5</v>
      </c>
      <c r="AI1159">
        <v>512</v>
      </c>
      <c r="AJ1159">
        <v>512</v>
      </c>
      <c r="AK1159">
        <v>64</v>
      </c>
      <c r="AL1159" t="s">
        <v>119</v>
      </c>
      <c r="AM1159">
        <v>2.5</v>
      </c>
      <c r="AN1159" t="s">
        <v>1705</v>
      </c>
      <c r="AO1159" t="s">
        <v>67</v>
      </c>
      <c r="AP1159" t="s">
        <v>89</v>
      </c>
      <c r="AQ1159">
        <v>15</v>
      </c>
      <c r="AR1159">
        <v>147</v>
      </c>
      <c r="AS1159">
        <v>294</v>
      </c>
      <c r="AT1159">
        <v>2.512</v>
      </c>
      <c r="AU1159">
        <v>5.22</v>
      </c>
      <c r="AV1159" t="s">
        <v>4265</v>
      </c>
      <c r="AW1159" t="s">
        <v>4266</v>
      </c>
      <c r="AX1159" t="s">
        <v>4267</v>
      </c>
    </row>
    <row r="1160" spans="1:50" x14ac:dyDescent="0.25">
      <c r="A1160" t="s">
        <v>4268</v>
      </c>
      <c r="B1160" t="s">
        <v>1679</v>
      </c>
      <c r="C1160">
        <v>0</v>
      </c>
      <c r="D1160">
        <v>0</v>
      </c>
      <c r="E1160" t="s">
        <v>1686</v>
      </c>
      <c r="H1160">
        <v>1</v>
      </c>
      <c r="N1160">
        <v>0</v>
      </c>
      <c r="Q1160">
        <v>0</v>
      </c>
      <c r="R1160">
        <v>1</v>
      </c>
      <c r="U1160" t="s">
        <v>65</v>
      </c>
      <c r="V1160">
        <v>45</v>
      </c>
      <c r="W1160" t="s">
        <v>1688</v>
      </c>
      <c r="X1160" t="s">
        <v>80</v>
      </c>
      <c r="Y1160">
        <v>0</v>
      </c>
      <c r="Z1160">
        <v>79.379000000000005</v>
      </c>
      <c r="AB1160" t="s">
        <v>94</v>
      </c>
      <c r="AD1160" t="s">
        <v>57</v>
      </c>
      <c r="AE1160">
        <v>0</v>
      </c>
      <c r="AF1160">
        <v>6</v>
      </c>
      <c r="AG1160">
        <v>1</v>
      </c>
      <c r="AH1160">
        <v>1.5</v>
      </c>
      <c r="AI1160">
        <v>512</v>
      </c>
      <c r="AJ1160">
        <v>512</v>
      </c>
      <c r="AK1160">
        <v>78</v>
      </c>
      <c r="AL1160" t="s">
        <v>497</v>
      </c>
      <c r="AM1160">
        <v>2</v>
      </c>
      <c r="AN1160" t="s">
        <v>1681</v>
      </c>
      <c r="AO1160" t="s">
        <v>67</v>
      </c>
      <c r="AP1160" t="s">
        <v>68</v>
      </c>
      <c r="AQ1160">
        <v>15</v>
      </c>
      <c r="AR1160">
        <v>305</v>
      </c>
      <c r="AS1160">
        <v>611</v>
      </c>
      <c r="AT1160">
        <v>2.7280000000000002</v>
      </c>
      <c r="AU1160">
        <v>6.8120000000000003</v>
      </c>
      <c r="AV1160" t="s">
        <v>4269</v>
      </c>
      <c r="AW1160" t="s">
        <v>4270</v>
      </c>
      <c r="AX1160" t="s">
        <v>4271</v>
      </c>
    </row>
    <row r="1161" spans="1:50" x14ac:dyDescent="0.25">
      <c r="A1161" t="s">
        <v>4272</v>
      </c>
      <c r="B1161" t="s">
        <v>1679</v>
      </c>
      <c r="C1161">
        <v>0</v>
      </c>
      <c r="D1161">
        <v>0</v>
      </c>
      <c r="E1161" t="s">
        <v>1780</v>
      </c>
      <c r="H1161">
        <v>1</v>
      </c>
      <c r="N1161">
        <v>0</v>
      </c>
      <c r="Q1161">
        <v>0</v>
      </c>
      <c r="R1161">
        <v>1</v>
      </c>
      <c r="U1161" t="s">
        <v>65</v>
      </c>
      <c r="V1161">
        <v>68</v>
      </c>
      <c r="W1161" t="s">
        <v>79</v>
      </c>
      <c r="X1161" t="s">
        <v>80</v>
      </c>
      <c r="Y1161">
        <v>0</v>
      </c>
      <c r="Z1161">
        <v>90.265000000000001</v>
      </c>
      <c r="AB1161" t="s">
        <v>118</v>
      </c>
      <c r="AD1161" t="s">
        <v>57</v>
      </c>
      <c r="AE1161">
        <v>0</v>
      </c>
      <c r="AF1161">
        <v>6</v>
      </c>
      <c r="AG1161">
        <v>1</v>
      </c>
      <c r="AH1161">
        <v>3</v>
      </c>
      <c r="AI1161">
        <v>512</v>
      </c>
      <c r="AJ1161">
        <v>512</v>
      </c>
      <c r="AK1161">
        <v>80</v>
      </c>
      <c r="AL1161" t="s">
        <v>66</v>
      </c>
      <c r="AM1161">
        <v>2</v>
      </c>
      <c r="AN1161" t="s">
        <v>1915</v>
      </c>
      <c r="AO1161" t="s">
        <v>67</v>
      </c>
      <c r="AP1161" t="s">
        <v>68</v>
      </c>
      <c r="AQ1161">
        <v>15</v>
      </c>
      <c r="AR1161">
        <v>272</v>
      </c>
      <c r="AS1161">
        <v>544</v>
      </c>
      <c r="AT1161">
        <v>2.1880000000000002</v>
      </c>
      <c r="AU1161">
        <v>5.4450000000000003</v>
      </c>
      <c r="AV1161" t="s">
        <v>4273</v>
      </c>
      <c r="AW1161" t="s">
        <v>4274</v>
      </c>
      <c r="AX1161" t="s">
        <v>4275</v>
      </c>
    </row>
    <row r="1162" spans="1:50" x14ac:dyDescent="0.25">
      <c r="A1162" t="s">
        <v>4276</v>
      </c>
      <c r="B1162" t="s">
        <v>1679</v>
      </c>
      <c r="C1162">
        <v>0</v>
      </c>
      <c r="D1162">
        <v>0</v>
      </c>
      <c r="E1162" t="s">
        <v>1686</v>
      </c>
      <c r="H1162">
        <v>0</v>
      </c>
      <c r="N1162">
        <v>1</v>
      </c>
      <c r="Q1162">
        <v>0</v>
      </c>
      <c r="R1162">
        <v>0</v>
      </c>
      <c r="U1162" t="s">
        <v>1687</v>
      </c>
      <c r="V1162">
        <v>38</v>
      </c>
      <c r="X1162" t="s">
        <v>80</v>
      </c>
      <c r="Y1162">
        <v>0</v>
      </c>
      <c r="Z1162">
        <v>63.502939877999999</v>
      </c>
      <c r="AA1162">
        <v>1.7018034058</v>
      </c>
      <c r="AB1162" t="s">
        <v>74</v>
      </c>
      <c r="AD1162" t="s">
        <v>57</v>
      </c>
      <c r="AE1162">
        <v>0</v>
      </c>
      <c r="AF1162">
        <v>6</v>
      </c>
      <c r="AG1162">
        <v>1</v>
      </c>
      <c r="AH1162">
        <v>3</v>
      </c>
      <c r="AI1162">
        <v>512</v>
      </c>
      <c r="AJ1162">
        <v>512</v>
      </c>
      <c r="AK1162">
        <v>124</v>
      </c>
      <c r="AL1162" t="s">
        <v>1861</v>
      </c>
      <c r="AM1162">
        <v>1.2999999523000001</v>
      </c>
      <c r="AN1162" t="s">
        <v>1741</v>
      </c>
      <c r="AO1162" t="s">
        <v>59</v>
      </c>
      <c r="AP1162" t="s">
        <v>1862</v>
      </c>
      <c r="AQ1162">
        <v>11</v>
      </c>
      <c r="AR1162">
        <v>35</v>
      </c>
      <c r="AS1162">
        <v>93</v>
      </c>
      <c r="AT1162">
        <v>1.82</v>
      </c>
      <c r="AU1162">
        <v>4.72</v>
      </c>
      <c r="AV1162" t="s">
        <v>4277</v>
      </c>
      <c r="AW1162" t="s">
        <v>4278</v>
      </c>
      <c r="AX1162" t="s">
        <v>4279</v>
      </c>
    </row>
    <row r="1163" spans="1:50" x14ac:dyDescent="0.25">
      <c r="A1163" t="s">
        <v>4280</v>
      </c>
      <c r="B1163" t="s">
        <v>1679</v>
      </c>
      <c r="C1163">
        <v>0</v>
      </c>
      <c r="D1163">
        <v>0</v>
      </c>
      <c r="E1163" t="s">
        <v>1791</v>
      </c>
      <c r="H1163">
        <v>0</v>
      </c>
      <c r="N1163">
        <v>1</v>
      </c>
      <c r="Q1163">
        <v>1</v>
      </c>
      <c r="R1163">
        <v>0</v>
      </c>
      <c r="U1163" t="s">
        <v>1735</v>
      </c>
      <c r="V1163">
        <v>55</v>
      </c>
      <c r="W1163" t="s">
        <v>79</v>
      </c>
      <c r="X1163" t="s">
        <v>80</v>
      </c>
      <c r="Y1163">
        <v>0</v>
      </c>
      <c r="Z1163">
        <v>58.06</v>
      </c>
      <c r="AB1163" t="s">
        <v>74</v>
      </c>
      <c r="AD1163" t="s">
        <v>57</v>
      </c>
      <c r="AE1163">
        <v>0</v>
      </c>
      <c r="AF1163">
        <v>6</v>
      </c>
      <c r="AG1163">
        <v>1</v>
      </c>
      <c r="AH1163">
        <v>1.5</v>
      </c>
      <c r="AI1163">
        <v>512</v>
      </c>
      <c r="AJ1163">
        <v>512</v>
      </c>
      <c r="AK1163">
        <v>80</v>
      </c>
      <c r="AL1163" t="s">
        <v>196</v>
      </c>
      <c r="AM1163">
        <v>2</v>
      </c>
      <c r="AN1163" t="s">
        <v>996</v>
      </c>
      <c r="AO1163" t="s">
        <v>67</v>
      </c>
      <c r="AP1163" t="s">
        <v>68</v>
      </c>
      <c r="AQ1163">
        <v>15</v>
      </c>
      <c r="AR1163">
        <v>84</v>
      </c>
      <c r="AS1163">
        <v>168</v>
      </c>
      <c r="AT1163">
        <v>4.2</v>
      </c>
      <c r="AU1163">
        <v>7</v>
      </c>
      <c r="AV1163" t="s">
        <v>4281</v>
      </c>
      <c r="AW1163" t="s">
        <v>4282</v>
      </c>
      <c r="AX1163" t="s">
        <v>4283</v>
      </c>
    </row>
    <row r="1164" spans="1:50" x14ac:dyDescent="0.25">
      <c r="A1164" t="s">
        <v>4284</v>
      </c>
      <c r="B1164" t="s">
        <v>1679</v>
      </c>
      <c r="C1164">
        <v>0</v>
      </c>
      <c r="D1164">
        <v>0</v>
      </c>
      <c r="E1164" t="s">
        <v>1871</v>
      </c>
      <c r="H1164">
        <v>0</v>
      </c>
      <c r="N1164">
        <v>1</v>
      </c>
      <c r="Q1164">
        <v>1</v>
      </c>
      <c r="R1164">
        <v>0</v>
      </c>
      <c r="U1164" t="s">
        <v>1735</v>
      </c>
      <c r="V1164">
        <v>47</v>
      </c>
      <c r="X1164" t="s">
        <v>80</v>
      </c>
      <c r="Y1164">
        <v>0</v>
      </c>
      <c r="Z1164">
        <v>62.595999999999997</v>
      </c>
      <c r="AB1164" t="s">
        <v>74</v>
      </c>
      <c r="AD1164" t="s">
        <v>57</v>
      </c>
      <c r="AE1164">
        <v>0</v>
      </c>
      <c r="AF1164">
        <v>6</v>
      </c>
      <c r="AG1164">
        <v>1</v>
      </c>
      <c r="AH1164">
        <v>3</v>
      </c>
      <c r="AI1164">
        <v>512</v>
      </c>
      <c r="AJ1164">
        <v>512</v>
      </c>
      <c r="AK1164">
        <v>134</v>
      </c>
      <c r="AL1164" t="s">
        <v>153</v>
      </c>
      <c r="AM1164">
        <v>2.4</v>
      </c>
      <c r="AN1164" t="s">
        <v>1786</v>
      </c>
      <c r="AO1164" t="s">
        <v>67</v>
      </c>
      <c r="AP1164" t="s">
        <v>68</v>
      </c>
      <c r="AQ1164">
        <v>15</v>
      </c>
      <c r="AR1164">
        <v>384</v>
      </c>
      <c r="AS1164">
        <v>769</v>
      </c>
      <c r="AT1164">
        <v>4.25</v>
      </c>
      <c r="AU1164">
        <v>8.2260000000000009</v>
      </c>
      <c r="AV1164" t="s">
        <v>2068</v>
      </c>
      <c r="AW1164" t="s">
        <v>4285</v>
      </c>
      <c r="AX1164" t="s">
        <v>4286</v>
      </c>
    </row>
    <row r="1165" spans="1:50" x14ac:dyDescent="0.25">
      <c r="A1165" t="s">
        <v>4287</v>
      </c>
      <c r="B1165" t="s">
        <v>1679</v>
      </c>
      <c r="C1165">
        <v>0</v>
      </c>
      <c r="D1165">
        <v>0</v>
      </c>
      <c r="E1165" t="s">
        <v>1740</v>
      </c>
      <c r="H1165">
        <v>1</v>
      </c>
      <c r="N1165">
        <v>1</v>
      </c>
      <c r="Q1165">
        <v>1</v>
      </c>
      <c r="R1165">
        <v>0</v>
      </c>
      <c r="U1165" t="s">
        <v>1735</v>
      </c>
      <c r="V1165">
        <v>35</v>
      </c>
      <c r="W1165" t="s">
        <v>1726</v>
      </c>
      <c r="X1165" t="s">
        <v>80</v>
      </c>
      <c r="Y1165">
        <v>0</v>
      </c>
      <c r="Z1165">
        <v>69</v>
      </c>
      <c r="AB1165" t="s">
        <v>94</v>
      </c>
      <c r="AD1165" t="s">
        <v>57</v>
      </c>
      <c r="AE1165">
        <v>0</v>
      </c>
      <c r="AF1165">
        <v>6</v>
      </c>
      <c r="AG1165">
        <v>1</v>
      </c>
      <c r="AH1165">
        <v>3</v>
      </c>
      <c r="AI1165">
        <v>528</v>
      </c>
      <c r="AJ1165">
        <v>528</v>
      </c>
      <c r="AK1165">
        <v>160</v>
      </c>
      <c r="AL1165" t="s">
        <v>4288</v>
      </c>
      <c r="AM1165">
        <v>2</v>
      </c>
      <c r="AN1165" t="s">
        <v>1877</v>
      </c>
      <c r="AO1165" t="s">
        <v>1155</v>
      </c>
      <c r="AP1165" t="s">
        <v>1305</v>
      </c>
      <c r="AQ1165">
        <v>11</v>
      </c>
      <c r="AR1165">
        <v>757</v>
      </c>
      <c r="AS1165">
        <v>1316</v>
      </c>
      <c r="AT1165">
        <v>4.6040000000000001</v>
      </c>
      <c r="AU1165">
        <v>7.4</v>
      </c>
      <c r="AV1165" t="s">
        <v>4289</v>
      </c>
      <c r="AW1165" t="s">
        <v>4290</v>
      </c>
      <c r="AX1165" t="s">
        <v>4291</v>
      </c>
    </row>
    <row r="1166" spans="1:50" x14ac:dyDescent="0.25">
      <c r="A1166" t="s">
        <v>4292</v>
      </c>
      <c r="B1166" t="s">
        <v>1679</v>
      </c>
      <c r="C1166">
        <v>0</v>
      </c>
      <c r="D1166">
        <v>0</v>
      </c>
      <c r="E1166" t="s">
        <v>1839</v>
      </c>
      <c r="H1166">
        <v>1</v>
      </c>
      <c r="N1166">
        <v>1</v>
      </c>
      <c r="Q1166">
        <v>1</v>
      </c>
      <c r="R1166">
        <v>0</v>
      </c>
      <c r="U1166" t="s">
        <v>1735</v>
      </c>
      <c r="V1166">
        <v>41</v>
      </c>
      <c r="X1166" t="s">
        <v>80</v>
      </c>
      <c r="Y1166">
        <v>0</v>
      </c>
      <c r="Z1166">
        <v>63.5</v>
      </c>
      <c r="AB1166" t="s">
        <v>74</v>
      </c>
      <c r="AD1166" t="s">
        <v>57</v>
      </c>
      <c r="AE1166">
        <v>0</v>
      </c>
      <c r="AF1166">
        <v>6</v>
      </c>
      <c r="AG1166">
        <v>1</v>
      </c>
      <c r="AH1166">
        <v>3</v>
      </c>
      <c r="AI1166">
        <v>512</v>
      </c>
      <c r="AJ1166">
        <v>512</v>
      </c>
      <c r="AK1166">
        <v>134</v>
      </c>
      <c r="AL1166" t="s">
        <v>81</v>
      </c>
      <c r="AM1166">
        <v>2.4</v>
      </c>
      <c r="AN1166" t="s">
        <v>1786</v>
      </c>
      <c r="AO1166" t="s">
        <v>67</v>
      </c>
      <c r="AP1166" t="s">
        <v>1845</v>
      </c>
      <c r="AQ1166">
        <v>15</v>
      </c>
      <c r="AR1166">
        <v>667</v>
      </c>
      <c r="AS1166">
        <v>1335</v>
      </c>
      <c r="AT1166">
        <v>4.7</v>
      </c>
      <c r="AU1166">
        <v>8.952</v>
      </c>
      <c r="AV1166" t="s">
        <v>4293</v>
      </c>
      <c r="AW1166" t="s">
        <v>4294</v>
      </c>
      <c r="AX1166" t="s">
        <v>4295</v>
      </c>
    </row>
    <row r="1167" spans="1:50" x14ac:dyDescent="0.25">
      <c r="A1167" t="s">
        <v>4296</v>
      </c>
      <c r="B1167" t="s">
        <v>1679</v>
      </c>
      <c r="C1167">
        <v>0</v>
      </c>
      <c r="D1167">
        <v>0</v>
      </c>
      <c r="E1167" t="s">
        <v>1703</v>
      </c>
      <c r="H1167">
        <v>0</v>
      </c>
      <c r="N1167">
        <v>1</v>
      </c>
      <c r="Q1167">
        <v>0</v>
      </c>
      <c r="R1167">
        <v>0</v>
      </c>
      <c r="U1167" t="s">
        <v>1687</v>
      </c>
      <c r="V1167">
        <v>43</v>
      </c>
      <c r="W1167" t="s">
        <v>1688</v>
      </c>
      <c r="X1167" t="s">
        <v>80</v>
      </c>
      <c r="Y1167">
        <v>0</v>
      </c>
      <c r="Z1167">
        <v>61.234999999999999</v>
      </c>
      <c r="AB1167" t="s">
        <v>74</v>
      </c>
      <c r="AD1167" t="s">
        <v>57</v>
      </c>
      <c r="AE1167">
        <v>0</v>
      </c>
      <c r="AF1167">
        <v>6</v>
      </c>
      <c r="AG1167">
        <v>1</v>
      </c>
      <c r="AH1167">
        <v>1.5</v>
      </c>
      <c r="AI1167">
        <v>512</v>
      </c>
      <c r="AJ1167">
        <v>512</v>
      </c>
      <c r="AK1167">
        <v>80</v>
      </c>
      <c r="AL1167" t="s">
        <v>153</v>
      </c>
      <c r="AM1167">
        <v>2</v>
      </c>
      <c r="AN1167" t="s">
        <v>996</v>
      </c>
      <c r="AO1167" t="s">
        <v>67</v>
      </c>
      <c r="AP1167" t="s">
        <v>68</v>
      </c>
      <c r="AQ1167">
        <v>15</v>
      </c>
      <c r="AR1167">
        <v>140</v>
      </c>
      <c r="AS1167">
        <v>281</v>
      </c>
      <c r="AT1167">
        <v>4.2</v>
      </c>
      <c r="AU1167">
        <v>7</v>
      </c>
      <c r="AV1167" t="s">
        <v>4297</v>
      </c>
      <c r="AW1167" t="s">
        <v>3095</v>
      </c>
      <c r="AX1167" t="s">
        <v>4298</v>
      </c>
    </row>
    <row r="1168" spans="1:50" x14ac:dyDescent="0.25">
      <c r="A1168" t="s">
        <v>4299</v>
      </c>
      <c r="B1168" t="s">
        <v>1679</v>
      </c>
      <c r="C1168">
        <v>0</v>
      </c>
      <c r="D1168">
        <v>0</v>
      </c>
      <c r="E1168" t="s">
        <v>1791</v>
      </c>
      <c r="H1168">
        <v>0</v>
      </c>
      <c r="N1168">
        <v>0</v>
      </c>
      <c r="Q1168">
        <v>1</v>
      </c>
      <c r="R1168">
        <v>1</v>
      </c>
      <c r="U1168" t="s">
        <v>72</v>
      </c>
      <c r="V1168">
        <v>49</v>
      </c>
      <c r="W1168" t="s">
        <v>1726</v>
      </c>
      <c r="X1168" t="s">
        <v>80</v>
      </c>
      <c r="Y1168">
        <v>1</v>
      </c>
      <c r="Z1168">
        <v>62.591219098300002</v>
      </c>
      <c r="AB1168" t="s">
        <v>74</v>
      </c>
      <c r="AD1168" t="s">
        <v>57</v>
      </c>
      <c r="AE1168">
        <v>1</v>
      </c>
      <c r="AF1168">
        <v>6</v>
      </c>
      <c r="AG1168">
        <v>1</v>
      </c>
      <c r="AH1168">
        <v>1.5</v>
      </c>
      <c r="AI1168">
        <v>256</v>
      </c>
      <c r="AJ1168">
        <v>256</v>
      </c>
      <c r="AK1168">
        <v>160</v>
      </c>
      <c r="AL1168" t="s">
        <v>1950</v>
      </c>
      <c r="AM1168">
        <v>1.5</v>
      </c>
      <c r="AN1168" t="s">
        <v>1720</v>
      </c>
      <c r="AO1168" t="s">
        <v>59</v>
      </c>
      <c r="AP1168" t="s">
        <v>60</v>
      </c>
      <c r="AQ1168">
        <v>11</v>
      </c>
      <c r="AR1168">
        <v>183</v>
      </c>
      <c r="AS1168">
        <v>448</v>
      </c>
      <c r="AT1168">
        <v>1.45</v>
      </c>
      <c r="AU1168">
        <v>4.99</v>
      </c>
      <c r="AV1168" t="s">
        <v>4300</v>
      </c>
      <c r="AW1168" t="s">
        <v>4301</v>
      </c>
      <c r="AX1168" t="s">
        <v>4302</v>
      </c>
    </row>
    <row r="1169" spans="1:50" x14ac:dyDescent="0.25">
      <c r="A1169" t="s">
        <v>4303</v>
      </c>
      <c r="B1169" t="s">
        <v>1679</v>
      </c>
      <c r="C1169">
        <v>0</v>
      </c>
      <c r="D1169">
        <v>0</v>
      </c>
      <c r="E1169" t="s">
        <v>1740</v>
      </c>
      <c r="H1169">
        <v>1</v>
      </c>
      <c r="N1169">
        <v>0</v>
      </c>
      <c r="Q1169">
        <v>0</v>
      </c>
      <c r="R1169">
        <v>1</v>
      </c>
      <c r="U1169" t="s">
        <v>65</v>
      </c>
      <c r="V1169">
        <v>43</v>
      </c>
      <c r="W1169" t="s">
        <v>1726</v>
      </c>
      <c r="X1169" t="s">
        <v>80</v>
      </c>
      <c r="Y1169">
        <v>0</v>
      </c>
      <c r="Z1169">
        <v>59.411536180100001</v>
      </c>
      <c r="AB1169" t="s">
        <v>74</v>
      </c>
      <c r="AD1169" t="s">
        <v>57</v>
      </c>
      <c r="AE1169">
        <v>0</v>
      </c>
      <c r="AF1169">
        <v>6</v>
      </c>
      <c r="AG1169">
        <v>1</v>
      </c>
      <c r="AH1169">
        <v>1.5</v>
      </c>
      <c r="AI1169">
        <v>256</v>
      </c>
      <c r="AJ1169">
        <v>256</v>
      </c>
      <c r="AK1169">
        <v>134</v>
      </c>
      <c r="AL1169" t="s">
        <v>1950</v>
      </c>
      <c r="AM1169">
        <v>1.2000000476999999</v>
      </c>
      <c r="AN1169" t="s">
        <v>1720</v>
      </c>
      <c r="AO1169" t="s">
        <v>59</v>
      </c>
      <c r="AP1169" t="s">
        <v>60</v>
      </c>
      <c r="AQ1169">
        <v>11</v>
      </c>
      <c r="AR1169">
        <v>72</v>
      </c>
      <c r="AS1169">
        <v>190</v>
      </c>
      <c r="AT1169">
        <v>1.45</v>
      </c>
      <c r="AU1169">
        <v>4.99</v>
      </c>
      <c r="AV1169" t="s">
        <v>4304</v>
      </c>
      <c r="AW1169" t="s">
        <v>4305</v>
      </c>
      <c r="AX1169" t="s">
        <v>4306</v>
      </c>
    </row>
    <row r="1170" spans="1:50" x14ac:dyDescent="0.25">
      <c r="A1170" t="s">
        <v>4307</v>
      </c>
      <c r="B1170" t="s">
        <v>1679</v>
      </c>
      <c r="C1170">
        <v>0</v>
      </c>
      <c r="D1170">
        <v>0</v>
      </c>
      <c r="E1170" t="s">
        <v>1791</v>
      </c>
      <c r="H1170">
        <v>0</v>
      </c>
      <c r="N1170">
        <v>1</v>
      </c>
      <c r="Q1170">
        <v>1</v>
      </c>
      <c r="R1170">
        <v>0</v>
      </c>
      <c r="U1170" t="s">
        <v>1735</v>
      </c>
      <c r="V1170">
        <v>63</v>
      </c>
      <c r="W1170" t="s">
        <v>79</v>
      </c>
      <c r="X1170" t="s">
        <v>80</v>
      </c>
      <c r="Y1170">
        <v>0</v>
      </c>
      <c r="AD1170" t="s">
        <v>57</v>
      </c>
      <c r="AE1170">
        <v>0</v>
      </c>
      <c r="AF1170">
        <v>6</v>
      </c>
      <c r="AG1170">
        <v>1</v>
      </c>
      <c r="AH1170">
        <v>3</v>
      </c>
      <c r="AI1170">
        <v>512</v>
      </c>
      <c r="AJ1170">
        <v>512</v>
      </c>
      <c r="AK1170">
        <v>134</v>
      </c>
      <c r="AL1170" t="s">
        <v>1886</v>
      </c>
      <c r="AM1170">
        <v>2.4000000950000002</v>
      </c>
      <c r="AN1170" t="s">
        <v>1786</v>
      </c>
      <c r="AO1170" t="s">
        <v>67</v>
      </c>
      <c r="AP1170" t="s">
        <v>68</v>
      </c>
      <c r="AQ1170">
        <v>15</v>
      </c>
      <c r="AR1170">
        <v>1812</v>
      </c>
      <c r="AS1170">
        <v>3620</v>
      </c>
      <c r="AT1170">
        <v>2.7559999999999998</v>
      </c>
      <c r="AU1170">
        <v>6.8739999999999997</v>
      </c>
      <c r="AV1170" t="s">
        <v>4308</v>
      </c>
      <c r="AW1170" t="s">
        <v>3661</v>
      </c>
      <c r="AX1170" t="s">
        <v>4309</v>
      </c>
    </row>
    <row r="1171" spans="1:50" x14ac:dyDescent="0.25">
      <c r="A1171" t="s">
        <v>4310</v>
      </c>
      <c r="B1171" t="s">
        <v>1679</v>
      </c>
      <c r="C1171">
        <v>0</v>
      </c>
      <c r="D1171">
        <v>0</v>
      </c>
      <c r="E1171" t="s">
        <v>1703</v>
      </c>
      <c r="H1171">
        <v>0</v>
      </c>
      <c r="N1171">
        <v>0</v>
      </c>
      <c r="Q1171">
        <v>0</v>
      </c>
      <c r="R1171">
        <v>0</v>
      </c>
      <c r="U1171" t="s">
        <v>65</v>
      </c>
      <c r="V1171">
        <v>51</v>
      </c>
      <c r="W1171" t="s">
        <v>1688</v>
      </c>
      <c r="X1171" t="s">
        <v>80</v>
      </c>
      <c r="Y1171">
        <v>0</v>
      </c>
      <c r="AD1171" t="s">
        <v>57</v>
      </c>
      <c r="AE1171">
        <v>0</v>
      </c>
      <c r="AF1171">
        <v>6</v>
      </c>
      <c r="AG1171">
        <v>1</v>
      </c>
      <c r="AH1171">
        <v>1.5</v>
      </c>
      <c r="AI1171">
        <v>512</v>
      </c>
      <c r="AJ1171">
        <v>512</v>
      </c>
      <c r="AK1171">
        <v>80</v>
      </c>
      <c r="AL1171" t="s">
        <v>113</v>
      </c>
      <c r="AM1171">
        <v>2</v>
      </c>
      <c r="AN1171" t="s">
        <v>1681</v>
      </c>
      <c r="AO1171" t="s">
        <v>67</v>
      </c>
      <c r="AP1171" t="s">
        <v>68</v>
      </c>
      <c r="AQ1171">
        <v>15</v>
      </c>
      <c r="AR1171">
        <v>282</v>
      </c>
      <c r="AS1171">
        <v>565</v>
      </c>
      <c r="AT1171">
        <v>2.6720000000000002</v>
      </c>
      <c r="AU1171">
        <v>6.2960000000000003</v>
      </c>
      <c r="AV1171" t="s">
        <v>4311</v>
      </c>
      <c r="AW1171" t="s">
        <v>1930</v>
      </c>
      <c r="AX1171" t="s">
        <v>4312</v>
      </c>
    </row>
    <row r="1172" spans="1:50" x14ac:dyDescent="0.25">
      <c r="A1172" t="s">
        <v>4313</v>
      </c>
      <c r="B1172" t="s">
        <v>1679</v>
      </c>
      <c r="C1172">
        <v>0</v>
      </c>
      <c r="D1172">
        <v>1</v>
      </c>
      <c r="E1172" t="s">
        <v>1839</v>
      </c>
      <c r="H1172">
        <v>0</v>
      </c>
      <c r="N1172">
        <v>0</v>
      </c>
      <c r="Q1172">
        <v>1</v>
      </c>
      <c r="R1172">
        <v>1</v>
      </c>
      <c r="U1172" t="s">
        <v>72</v>
      </c>
      <c r="V1172">
        <v>53</v>
      </c>
      <c r="X1172" t="s">
        <v>80</v>
      </c>
      <c r="Y1172">
        <v>0</v>
      </c>
      <c r="Z1172">
        <v>86.183000000000007</v>
      </c>
      <c r="AB1172" t="s">
        <v>118</v>
      </c>
      <c r="AD1172" t="s">
        <v>57</v>
      </c>
      <c r="AE1172">
        <v>0</v>
      </c>
      <c r="AF1172">
        <v>6</v>
      </c>
      <c r="AG1172">
        <v>1</v>
      </c>
      <c r="AH1172">
        <v>1.5</v>
      </c>
      <c r="AI1172">
        <v>512</v>
      </c>
      <c r="AJ1172">
        <v>512</v>
      </c>
      <c r="AK1172">
        <v>80</v>
      </c>
      <c r="AL1172" t="s">
        <v>66</v>
      </c>
      <c r="AM1172">
        <v>2</v>
      </c>
      <c r="AN1172" t="s">
        <v>1681</v>
      </c>
      <c r="AO1172" t="s">
        <v>67</v>
      </c>
      <c r="AP1172" t="s">
        <v>68</v>
      </c>
      <c r="AQ1172">
        <v>15</v>
      </c>
      <c r="AR1172">
        <v>254</v>
      </c>
      <c r="AS1172">
        <v>509</v>
      </c>
      <c r="AT1172">
        <v>2.6960000000000002</v>
      </c>
      <c r="AU1172">
        <v>6.5890000000000004</v>
      </c>
      <c r="AV1172" t="s">
        <v>3617</v>
      </c>
      <c r="AW1172" t="s">
        <v>3099</v>
      </c>
      <c r="AX1172" t="s">
        <v>4314</v>
      </c>
    </row>
    <row r="1173" spans="1:50" x14ac:dyDescent="0.25">
      <c r="A1173" t="s">
        <v>4315</v>
      </c>
      <c r="B1173" t="s">
        <v>1679</v>
      </c>
      <c r="C1173">
        <v>0</v>
      </c>
      <c r="D1173">
        <v>0</v>
      </c>
      <c r="E1173" t="s">
        <v>1693</v>
      </c>
      <c r="H1173">
        <v>1</v>
      </c>
      <c r="N1173">
        <v>0</v>
      </c>
      <c r="Q1173">
        <v>0</v>
      </c>
      <c r="R1173">
        <v>1</v>
      </c>
      <c r="U1173" t="s">
        <v>65</v>
      </c>
      <c r="V1173">
        <v>43</v>
      </c>
      <c r="W1173" t="s">
        <v>79</v>
      </c>
      <c r="X1173" t="s">
        <v>55</v>
      </c>
      <c r="Y1173">
        <v>0</v>
      </c>
      <c r="Z1173">
        <v>110</v>
      </c>
      <c r="AB1173" t="s">
        <v>269</v>
      </c>
      <c r="AD1173" t="s">
        <v>57</v>
      </c>
      <c r="AE1173">
        <v>0</v>
      </c>
      <c r="AF1173">
        <v>6</v>
      </c>
      <c r="AG1173">
        <v>1</v>
      </c>
      <c r="AH1173">
        <v>1.5</v>
      </c>
      <c r="AI1173">
        <v>432</v>
      </c>
      <c r="AJ1173">
        <v>432</v>
      </c>
      <c r="AK1173">
        <v>72</v>
      </c>
      <c r="AL1173" t="s">
        <v>1766</v>
      </c>
      <c r="AM1173">
        <v>2.5</v>
      </c>
      <c r="AN1173" t="s">
        <v>1531</v>
      </c>
      <c r="AO1173" t="s">
        <v>1155</v>
      </c>
      <c r="AP1173" t="s">
        <v>1767</v>
      </c>
      <c r="AQ1173">
        <v>11</v>
      </c>
      <c r="AR1173">
        <v>68.209999999999994</v>
      </c>
      <c r="AS1173">
        <v>118.61</v>
      </c>
      <c r="AT1173">
        <v>2.59</v>
      </c>
      <c r="AU1173">
        <v>5.1901999999999999</v>
      </c>
      <c r="AV1173" t="s">
        <v>4316</v>
      </c>
      <c r="AW1173" t="s">
        <v>4317</v>
      </c>
      <c r="AX1173" t="s">
        <v>4318</v>
      </c>
    </row>
    <row r="1174" spans="1:50" x14ac:dyDescent="0.25">
      <c r="A1174" t="s">
        <v>4319</v>
      </c>
      <c r="B1174" t="s">
        <v>1679</v>
      </c>
      <c r="C1174">
        <v>0</v>
      </c>
      <c r="D1174">
        <v>0</v>
      </c>
      <c r="E1174" t="s">
        <v>1839</v>
      </c>
      <c r="H1174">
        <v>0</v>
      </c>
      <c r="N1174">
        <v>1</v>
      </c>
      <c r="Q1174">
        <v>1</v>
      </c>
      <c r="R1174">
        <v>0</v>
      </c>
      <c r="U1174" t="s">
        <v>1735</v>
      </c>
      <c r="V1174">
        <v>46</v>
      </c>
      <c r="X1174" t="s">
        <v>80</v>
      </c>
      <c r="Y1174">
        <v>0</v>
      </c>
      <c r="Z1174">
        <v>82.1</v>
      </c>
      <c r="AB1174" t="s">
        <v>118</v>
      </c>
      <c r="AD1174" t="s">
        <v>57</v>
      </c>
      <c r="AE1174">
        <v>0</v>
      </c>
      <c r="AF1174">
        <v>6</v>
      </c>
      <c r="AG1174">
        <v>1</v>
      </c>
      <c r="AH1174">
        <v>3</v>
      </c>
      <c r="AI1174">
        <v>512</v>
      </c>
      <c r="AJ1174">
        <v>512</v>
      </c>
      <c r="AK1174">
        <v>134</v>
      </c>
      <c r="AL1174" t="s">
        <v>81</v>
      </c>
      <c r="AM1174">
        <v>2.4</v>
      </c>
      <c r="AN1174" t="s">
        <v>1786</v>
      </c>
      <c r="AO1174" t="s">
        <v>67</v>
      </c>
      <c r="AP1174" t="s">
        <v>1845</v>
      </c>
      <c r="AQ1174">
        <v>15</v>
      </c>
      <c r="AR1174">
        <v>497</v>
      </c>
      <c r="AS1174">
        <v>995</v>
      </c>
      <c r="AT1174">
        <v>4.7</v>
      </c>
      <c r="AU1174">
        <v>8.952</v>
      </c>
      <c r="AV1174" t="s">
        <v>1817</v>
      </c>
      <c r="AW1174" t="s">
        <v>4320</v>
      </c>
      <c r="AX1174" t="s">
        <v>4321</v>
      </c>
    </row>
    <row r="1175" spans="1:50" x14ac:dyDescent="0.25">
      <c r="A1175" t="s">
        <v>4322</v>
      </c>
      <c r="B1175" t="s">
        <v>1679</v>
      </c>
      <c r="C1175">
        <v>0</v>
      </c>
      <c r="D1175">
        <v>1</v>
      </c>
      <c r="E1175" t="s">
        <v>1725</v>
      </c>
      <c r="H1175">
        <v>0</v>
      </c>
      <c r="N1175">
        <v>1</v>
      </c>
      <c r="Q1175">
        <v>0</v>
      </c>
      <c r="R1175">
        <v>0</v>
      </c>
      <c r="U1175" t="s">
        <v>1687</v>
      </c>
      <c r="V1175">
        <v>41</v>
      </c>
      <c r="W1175" t="s">
        <v>1726</v>
      </c>
      <c r="X1175" t="s">
        <v>80</v>
      </c>
      <c r="Y1175">
        <v>0</v>
      </c>
      <c r="Z1175">
        <v>80</v>
      </c>
      <c r="AB1175" t="s">
        <v>94</v>
      </c>
      <c r="AD1175" t="s">
        <v>57</v>
      </c>
      <c r="AE1175">
        <v>0</v>
      </c>
      <c r="AF1175">
        <v>6</v>
      </c>
      <c r="AG1175">
        <v>1</v>
      </c>
      <c r="AH1175">
        <v>1.5</v>
      </c>
      <c r="AI1175">
        <v>640</v>
      </c>
      <c r="AJ1175">
        <v>640</v>
      </c>
      <c r="AK1175">
        <v>150</v>
      </c>
      <c r="AL1175" t="s">
        <v>3115</v>
      </c>
      <c r="AM1175">
        <v>2.4</v>
      </c>
      <c r="AN1175" t="s">
        <v>1877</v>
      </c>
      <c r="AO1175" t="s">
        <v>1155</v>
      </c>
      <c r="AP1175" t="s">
        <v>2306</v>
      </c>
      <c r="AQ1175">
        <v>11</v>
      </c>
      <c r="AR1175">
        <v>247</v>
      </c>
      <c r="AS1175">
        <v>429</v>
      </c>
      <c r="AT1175">
        <v>3.593</v>
      </c>
      <c r="AU1175">
        <v>7.2889999999999997</v>
      </c>
      <c r="AV1175" t="s">
        <v>4323</v>
      </c>
      <c r="AW1175" t="s">
        <v>4324</v>
      </c>
      <c r="AX1175" t="s">
        <v>4325</v>
      </c>
    </row>
    <row r="1176" spans="1:50" x14ac:dyDescent="0.25">
      <c r="A1176" t="s">
        <v>4326</v>
      </c>
      <c r="B1176" t="s">
        <v>1679</v>
      </c>
      <c r="C1176">
        <v>0</v>
      </c>
      <c r="D1176">
        <v>0</v>
      </c>
      <c r="E1176" t="s">
        <v>2035</v>
      </c>
      <c r="H1176">
        <v>1</v>
      </c>
      <c r="N1176">
        <v>1</v>
      </c>
      <c r="Q1176">
        <v>1</v>
      </c>
      <c r="R1176">
        <v>0</v>
      </c>
      <c r="U1176" t="s">
        <v>1735</v>
      </c>
      <c r="V1176">
        <v>66</v>
      </c>
      <c r="X1176" t="s">
        <v>80</v>
      </c>
      <c r="Y1176">
        <v>0</v>
      </c>
      <c r="Z1176">
        <v>58.966999999999999</v>
      </c>
      <c r="AB1176" t="s">
        <v>74</v>
      </c>
      <c r="AD1176" t="s">
        <v>57</v>
      </c>
      <c r="AE1176">
        <v>0</v>
      </c>
      <c r="AF1176">
        <v>6</v>
      </c>
      <c r="AG1176">
        <v>1</v>
      </c>
      <c r="AH1176">
        <v>3</v>
      </c>
      <c r="AI1176">
        <v>512</v>
      </c>
      <c r="AJ1176">
        <v>512</v>
      </c>
      <c r="AK1176">
        <v>150</v>
      </c>
      <c r="AL1176" t="s">
        <v>81</v>
      </c>
      <c r="AM1176">
        <v>2.4</v>
      </c>
      <c r="AN1176" t="s">
        <v>1786</v>
      </c>
      <c r="AO1176" t="s">
        <v>67</v>
      </c>
      <c r="AP1176" t="s">
        <v>68</v>
      </c>
      <c r="AQ1176">
        <v>15</v>
      </c>
      <c r="AR1176">
        <v>343</v>
      </c>
      <c r="AS1176">
        <v>686</v>
      </c>
      <c r="AT1176">
        <v>2.8479999999999999</v>
      </c>
      <c r="AU1176">
        <v>7.7629999999999999</v>
      </c>
      <c r="AV1176" t="s">
        <v>2491</v>
      </c>
      <c r="AW1176" t="s">
        <v>4327</v>
      </c>
      <c r="AX1176" t="s">
        <v>4328</v>
      </c>
    </row>
    <row r="1177" spans="1:50" x14ac:dyDescent="0.25">
      <c r="A1177" t="s">
        <v>4329</v>
      </c>
      <c r="B1177" t="s">
        <v>1679</v>
      </c>
      <c r="C1177">
        <v>0</v>
      </c>
      <c r="D1177">
        <v>0</v>
      </c>
      <c r="E1177" t="s">
        <v>1780</v>
      </c>
      <c r="H1177">
        <v>0</v>
      </c>
      <c r="N1177">
        <v>1</v>
      </c>
      <c r="Q1177">
        <v>0</v>
      </c>
      <c r="R1177">
        <v>0</v>
      </c>
      <c r="U1177" t="s">
        <v>1687</v>
      </c>
      <c r="V1177">
        <v>50</v>
      </c>
      <c r="W1177" t="s">
        <v>1726</v>
      </c>
      <c r="X1177" t="s">
        <v>80</v>
      </c>
      <c r="Y1177">
        <v>1</v>
      </c>
      <c r="Z1177">
        <v>48.988</v>
      </c>
      <c r="AB1177" t="s">
        <v>247</v>
      </c>
      <c r="AD1177" t="s">
        <v>57</v>
      </c>
      <c r="AE1177">
        <v>0</v>
      </c>
      <c r="AF1177">
        <v>6</v>
      </c>
      <c r="AG1177">
        <v>1</v>
      </c>
      <c r="AH1177">
        <v>3</v>
      </c>
      <c r="AI1177">
        <v>512</v>
      </c>
      <c r="AJ1177">
        <v>512</v>
      </c>
      <c r="AK1177">
        <v>80</v>
      </c>
      <c r="AL1177" t="s">
        <v>331</v>
      </c>
      <c r="AM1177">
        <v>2</v>
      </c>
      <c r="AN1177" t="s">
        <v>1915</v>
      </c>
      <c r="AO1177" t="s">
        <v>67</v>
      </c>
      <c r="AP1177" t="s">
        <v>68</v>
      </c>
      <c r="AQ1177">
        <v>15</v>
      </c>
      <c r="AR1177">
        <v>335</v>
      </c>
      <c r="AS1177">
        <v>671</v>
      </c>
      <c r="AT1177">
        <v>2.2160000000000002</v>
      </c>
      <c r="AU1177">
        <v>6.0270000000000001</v>
      </c>
      <c r="AV1177" t="s">
        <v>4330</v>
      </c>
      <c r="AW1177" t="s">
        <v>4331</v>
      </c>
      <c r="AX1177" t="s">
        <v>4332</v>
      </c>
    </row>
    <row r="1178" spans="1:50" x14ac:dyDescent="0.25">
      <c r="A1178" t="s">
        <v>4333</v>
      </c>
      <c r="B1178" t="s">
        <v>1679</v>
      </c>
      <c r="C1178">
        <v>0</v>
      </c>
      <c r="D1178">
        <v>1</v>
      </c>
      <c r="E1178" t="s">
        <v>1740</v>
      </c>
      <c r="H1178">
        <v>1</v>
      </c>
      <c r="N1178">
        <v>0</v>
      </c>
      <c r="Q1178">
        <v>1</v>
      </c>
      <c r="R1178">
        <v>0</v>
      </c>
      <c r="U1178" t="s">
        <v>72</v>
      </c>
      <c r="V1178">
        <v>50</v>
      </c>
      <c r="W1178" t="s">
        <v>1726</v>
      </c>
      <c r="X1178" t="s">
        <v>80</v>
      </c>
      <c r="Y1178">
        <v>0</v>
      </c>
      <c r="Z1178">
        <v>81.646636986000004</v>
      </c>
      <c r="AB1178" t="s">
        <v>94</v>
      </c>
      <c r="AD1178" t="s">
        <v>57</v>
      </c>
      <c r="AE1178">
        <v>1</v>
      </c>
      <c r="AF1178">
        <v>6</v>
      </c>
      <c r="AG1178">
        <v>1</v>
      </c>
      <c r="AH1178">
        <v>1.5</v>
      </c>
      <c r="AI1178">
        <v>384</v>
      </c>
      <c r="AJ1178">
        <v>384</v>
      </c>
      <c r="AK1178">
        <v>160</v>
      </c>
      <c r="AL1178" t="s">
        <v>1034</v>
      </c>
      <c r="AM1178">
        <v>1</v>
      </c>
      <c r="AN1178" t="s">
        <v>1741</v>
      </c>
      <c r="AO1178" t="s">
        <v>59</v>
      </c>
      <c r="AP1178" t="s">
        <v>60</v>
      </c>
      <c r="AQ1178">
        <v>11</v>
      </c>
      <c r="AR1178">
        <v>112</v>
      </c>
      <c r="AS1178">
        <v>287</v>
      </c>
      <c r="AT1178">
        <v>2.31</v>
      </c>
      <c r="AU1178">
        <v>5.15</v>
      </c>
      <c r="AV1178" t="s">
        <v>2348</v>
      </c>
      <c r="AW1178" t="s">
        <v>4334</v>
      </c>
      <c r="AX1178" t="s">
        <v>4335</v>
      </c>
    </row>
    <row r="1179" spans="1:50" x14ac:dyDescent="0.25">
      <c r="A1179" t="s">
        <v>4336</v>
      </c>
      <c r="B1179" t="s">
        <v>1679</v>
      </c>
      <c r="C1179">
        <v>0</v>
      </c>
      <c r="D1179">
        <v>0</v>
      </c>
      <c r="E1179" t="s">
        <v>1693</v>
      </c>
      <c r="H1179">
        <v>0</v>
      </c>
      <c r="N1179">
        <v>1</v>
      </c>
      <c r="Q1179">
        <v>0</v>
      </c>
      <c r="R1179">
        <v>0</v>
      </c>
      <c r="U1179" t="s">
        <v>1687</v>
      </c>
      <c r="V1179">
        <v>36</v>
      </c>
      <c r="W1179" t="s">
        <v>1688</v>
      </c>
      <c r="X1179" t="s">
        <v>80</v>
      </c>
      <c r="Y1179">
        <v>0</v>
      </c>
      <c r="AD1179" t="s">
        <v>57</v>
      </c>
      <c r="AE1179">
        <v>1</v>
      </c>
      <c r="AF1179">
        <v>6</v>
      </c>
      <c r="AG1179">
        <v>1</v>
      </c>
      <c r="AH1179">
        <v>1.5</v>
      </c>
      <c r="AI1179">
        <v>384</v>
      </c>
      <c r="AJ1179">
        <v>384</v>
      </c>
      <c r="AK1179">
        <v>160</v>
      </c>
      <c r="AL1179" t="s">
        <v>2036</v>
      </c>
      <c r="AM1179">
        <v>1</v>
      </c>
      <c r="AN1179" t="s">
        <v>1728</v>
      </c>
      <c r="AO1179" t="s">
        <v>59</v>
      </c>
      <c r="AP1179" t="s">
        <v>1729</v>
      </c>
      <c r="AQ1179">
        <v>11</v>
      </c>
      <c r="AR1179">
        <v>52</v>
      </c>
      <c r="AS1179">
        <v>140</v>
      </c>
      <c r="AT1179">
        <v>1.81</v>
      </c>
      <c r="AU1179">
        <v>5.05</v>
      </c>
      <c r="AV1179" t="s">
        <v>1730</v>
      </c>
      <c r="AW1179" t="s">
        <v>4337</v>
      </c>
      <c r="AX1179" t="s">
        <v>4338</v>
      </c>
    </row>
    <row r="1180" spans="1:50" x14ac:dyDescent="0.25">
      <c r="A1180" t="s">
        <v>4339</v>
      </c>
      <c r="B1180" t="s">
        <v>1679</v>
      </c>
      <c r="C1180">
        <v>0</v>
      </c>
      <c r="D1180">
        <v>0</v>
      </c>
      <c r="E1180" t="s">
        <v>1693</v>
      </c>
      <c r="H1180">
        <v>0</v>
      </c>
      <c r="N1180">
        <v>0</v>
      </c>
      <c r="Q1180">
        <v>0</v>
      </c>
      <c r="R1180">
        <v>1</v>
      </c>
      <c r="U1180" t="s">
        <v>65</v>
      </c>
      <c r="V1180">
        <v>54</v>
      </c>
      <c r="W1180" t="s">
        <v>79</v>
      </c>
      <c r="X1180" t="s">
        <v>80</v>
      </c>
      <c r="Y1180">
        <v>0</v>
      </c>
      <c r="Z1180">
        <v>70</v>
      </c>
      <c r="AB1180" t="s">
        <v>94</v>
      </c>
      <c r="AD1180" t="s">
        <v>57</v>
      </c>
      <c r="AE1180">
        <v>0</v>
      </c>
      <c r="AF1180">
        <v>6</v>
      </c>
      <c r="AG1180">
        <v>1</v>
      </c>
      <c r="AH1180">
        <v>1.5</v>
      </c>
      <c r="AI1180">
        <v>512</v>
      </c>
      <c r="AJ1180">
        <v>512</v>
      </c>
      <c r="AK1180">
        <v>180</v>
      </c>
      <c r="AL1180" t="s">
        <v>1010</v>
      </c>
      <c r="AM1180">
        <v>2</v>
      </c>
      <c r="AN1180" t="s">
        <v>1154</v>
      </c>
      <c r="AO1180" t="s">
        <v>1155</v>
      </c>
      <c r="AP1180" t="s">
        <v>1305</v>
      </c>
      <c r="AQ1180">
        <v>11</v>
      </c>
      <c r="AR1180">
        <v>717</v>
      </c>
      <c r="AS1180">
        <v>1246</v>
      </c>
      <c r="AT1180">
        <v>2.8140000000000001</v>
      </c>
      <c r="AU1180">
        <v>5.4090999999999996</v>
      </c>
      <c r="AV1180" t="s">
        <v>4340</v>
      </c>
      <c r="AW1180" t="s">
        <v>4341</v>
      </c>
      <c r="AX1180" t="s">
        <v>4342</v>
      </c>
    </row>
    <row r="1181" spans="1:50" x14ac:dyDescent="0.25">
      <c r="A1181" t="s">
        <v>4343</v>
      </c>
      <c r="B1181" t="s">
        <v>1679</v>
      </c>
      <c r="C1181">
        <v>0</v>
      </c>
      <c r="D1181">
        <v>0</v>
      </c>
      <c r="E1181" t="s">
        <v>1686</v>
      </c>
      <c r="H1181">
        <v>0</v>
      </c>
      <c r="N1181">
        <v>0</v>
      </c>
      <c r="Q1181">
        <v>0</v>
      </c>
      <c r="R1181">
        <v>1</v>
      </c>
      <c r="U1181" t="s">
        <v>65</v>
      </c>
      <c r="V1181">
        <v>54</v>
      </c>
      <c r="X1181" t="s">
        <v>55</v>
      </c>
      <c r="Y1181">
        <v>0</v>
      </c>
      <c r="Z1181">
        <v>119.748</v>
      </c>
      <c r="AB1181" t="s">
        <v>269</v>
      </c>
      <c r="AD1181" t="s">
        <v>57</v>
      </c>
      <c r="AE1181">
        <v>0</v>
      </c>
      <c r="AF1181">
        <v>6</v>
      </c>
      <c r="AG1181">
        <v>1</v>
      </c>
      <c r="AH1181">
        <v>1.5</v>
      </c>
      <c r="AI1181">
        <v>512</v>
      </c>
      <c r="AJ1181">
        <v>512</v>
      </c>
      <c r="AK1181">
        <v>72</v>
      </c>
      <c r="AL1181" t="s">
        <v>88</v>
      </c>
      <c r="AM1181">
        <v>2.2000000000000002</v>
      </c>
      <c r="AN1181" t="s">
        <v>1072</v>
      </c>
      <c r="AO1181" t="s">
        <v>67</v>
      </c>
      <c r="AP1181" t="s">
        <v>68</v>
      </c>
      <c r="AQ1181">
        <v>15</v>
      </c>
      <c r="AR1181">
        <v>248</v>
      </c>
      <c r="AS1181">
        <v>497</v>
      </c>
      <c r="AT1181">
        <v>4.1920000000000002</v>
      </c>
      <c r="AU1181">
        <v>8.5879999999999992</v>
      </c>
      <c r="AV1181" t="s">
        <v>4344</v>
      </c>
      <c r="AW1181" t="s">
        <v>4345</v>
      </c>
      <c r="AX1181" t="s">
        <v>4346</v>
      </c>
    </row>
    <row r="1182" spans="1:50" x14ac:dyDescent="0.25">
      <c r="A1182" t="s">
        <v>4347</v>
      </c>
      <c r="B1182" t="s">
        <v>1679</v>
      </c>
      <c r="C1182">
        <v>0</v>
      </c>
      <c r="D1182">
        <v>1</v>
      </c>
      <c r="E1182" t="s">
        <v>1703</v>
      </c>
      <c r="H1182">
        <v>0</v>
      </c>
      <c r="N1182">
        <v>1</v>
      </c>
      <c r="Q1182">
        <v>0</v>
      </c>
      <c r="R1182">
        <v>1</v>
      </c>
      <c r="U1182" t="s">
        <v>1687</v>
      </c>
      <c r="V1182">
        <v>38</v>
      </c>
      <c r="X1182" t="s">
        <v>80</v>
      </c>
      <c r="Y1182">
        <v>0</v>
      </c>
      <c r="Z1182">
        <v>70.307000000000002</v>
      </c>
      <c r="AB1182" t="s">
        <v>94</v>
      </c>
      <c r="AD1182" t="s">
        <v>57</v>
      </c>
      <c r="AE1182">
        <v>0</v>
      </c>
      <c r="AF1182">
        <v>6</v>
      </c>
      <c r="AG1182">
        <v>1</v>
      </c>
      <c r="AH1182">
        <v>3</v>
      </c>
      <c r="AI1182">
        <v>512</v>
      </c>
      <c r="AJ1182">
        <v>512</v>
      </c>
      <c r="AK1182">
        <v>134</v>
      </c>
      <c r="AL1182" t="s">
        <v>81</v>
      </c>
      <c r="AM1182">
        <v>2.4</v>
      </c>
      <c r="AN1182" t="s">
        <v>1786</v>
      </c>
      <c r="AO1182" t="s">
        <v>67</v>
      </c>
      <c r="AP1182" t="s">
        <v>68</v>
      </c>
      <c r="AQ1182">
        <v>15</v>
      </c>
      <c r="AR1182">
        <v>353</v>
      </c>
      <c r="AS1182">
        <v>707</v>
      </c>
      <c r="AT1182">
        <v>4.25</v>
      </c>
      <c r="AU1182">
        <v>7.8819999999999997</v>
      </c>
      <c r="AV1182" t="s">
        <v>1817</v>
      </c>
      <c r="AW1182" t="s">
        <v>4164</v>
      </c>
      <c r="AX1182" t="s">
        <v>4348</v>
      </c>
    </row>
    <row r="1183" spans="1:50" x14ac:dyDescent="0.25">
      <c r="A1183" t="s">
        <v>4349</v>
      </c>
      <c r="B1183" t="s">
        <v>1679</v>
      </c>
      <c r="C1183">
        <v>0</v>
      </c>
      <c r="D1183">
        <v>1</v>
      </c>
      <c r="E1183" t="s">
        <v>1703</v>
      </c>
      <c r="H1183">
        <v>0</v>
      </c>
      <c r="N1183">
        <v>1</v>
      </c>
      <c r="Q1183">
        <v>0</v>
      </c>
      <c r="R1183">
        <v>0</v>
      </c>
      <c r="U1183" t="s">
        <v>1687</v>
      </c>
      <c r="V1183">
        <v>44</v>
      </c>
      <c r="W1183" t="s">
        <v>1688</v>
      </c>
      <c r="X1183" t="s">
        <v>80</v>
      </c>
      <c r="Y1183">
        <v>0</v>
      </c>
      <c r="Z1183">
        <v>108.86199999999999</v>
      </c>
      <c r="AB1183" t="s">
        <v>56</v>
      </c>
      <c r="AD1183" t="s">
        <v>57</v>
      </c>
      <c r="AE1183">
        <v>0</v>
      </c>
      <c r="AF1183">
        <v>6</v>
      </c>
      <c r="AG1183">
        <v>1</v>
      </c>
      <c r="AH1183">
        <v>1.5</v>
      </c>
      <c r="AI1183">
        <v>512</v>
      </c>
      <c r="AJ1183">
        <v>512</v>
      </c>
      <c r="AK1183">
        <v>66</v>
      </c>
      <c r="AL1183" t="s">
        <v>81</v>
      </c>
      <c r="AM1183">
        <v>2.4</v>
      </c>
      <c r="AN1183" t="s">
        <v>1942</v>
      </c>
      <c r="AO1183" t="s">
        <v>67</v>
      </c>
      <c r="AP1183" t="s">
        <v>68</v>
      </c>
      <c r="AQ1183">
        <v>15</v>
      </c>
      <c r="AR1183">
        <v>974</v>
      </c>
      <c r="AS1183">
        <v>1949</v>
      </c>
      <c r="AT1183">
        <v>2.96</v>
      </c>
      <c r="AU1183">
        <v>6.1840000000000002</v>
      </c>
      <c r="AV1183" t="s">
        <v>4350</v>
      </c>
      <c r="AW1183" t="s">
        <v>4351</v>
      </c>
      <c r="AX1183" t="s">
        <v>4352</v>
      </c>
    </row>
    <row r="1184" spans="1:50" x14ac:dyDescent="0.25">
      <c r="A1184" t="s">
        <v>4353</v>
      </c>
      <c r="B1184" t="s">
        <v>1679</v>
      </c>
      <c r="C1184">
        <v>0</v>
      </c>
      <c r="D1184">
        <v>1</v>
      </c>
      <c r="E1184" t="s">
        <v>1725</v>
      </c>
      <c r="H1184">
        <v>0</v>
      </c>
      <c r="N1184">
        <v>1</v>
      </c>
      <c r="Q1184">
        <v>0</v>
      </c>
      <c r="R1184">
        <v>1</v>
      </c>
      <c r="U1184" t="s">
        <v>1687</v>
      </c>
      <c r="V1184">
        <v>41</v>
      </c>
      <c r="W1184" t="s">
        <v>1688</v>
      </c>
      <c r="X1184" t="s">
        <v>80</v>
      </c>
      <c r="Y1184">
        <v>0</v>
      </c>
      <c r="Z1184">
        <v>74.389158142799999</v>
      </c>
      <c r="AB1184" t="s">
        <v>94</v>
      </c>
      <c r="AD1184" t="s">
        <v>57</v>
      </c>
      <c r="AE1184">
        <v>0</v>
      </c>
      <c r="AF1184">
        <v>6</v>
      </c>
      <c r="AG1184">
        <v>1</v>
      </c>
      <c r="AH1184">
        <v>3</v>
      </c>
      <c r="AI1184">
        <v>512</v>
      </c>
      <c r="AJ1184">
        <v>512</v>
      </c>
      <c r="AK1184">
        <v>160</v>
      </c>
      <c r="AL1184" t="s">
        <v>1861</v>
      </c>
      <c r="AM1184">
        <v>1</v>
      </c>
      <c r="AN1184" t="s">
        <v>1741</v>
      </c>
      <c r="AO1184" t="s">
        <v>59</v>
      </c>
      <c r="AP1184" t="s">
        <v>124</v>
      </c>
      <c r="AQ1184">
        <v>11</v>
      </c>
      <c r="AR1184">
        <v>48</v>
      </c>
      <c r="AS1184">
        <v>131</v>
      </c>
      <c r="AT1184">
        <v>1.73</v>
      </c>
      <c r="AU1184">
        <v>4.5999999999999996</v>
      </c>
      <c r="AV1184" t="s">
        <v>4354</v>
      </c>
      <c r="AW1184" t="s">
        <v>4355</v>
      </c>
      <c r="AX1184" t="s">
        <v>4356</v>
      </c>
    </row>
    <row r="1185" spans="1:50" x14ac:dyDescent="0.25">
      <c r="A1185" t="s">
        <v>4357</v>
      </c>
      <c r="B1185" t="s">
        <v>1679</v>
      </c>
      <c r="C1185">
        <v>0</v>
      </c>
      <c r="D1185">
        <v>0</v>
      </c>
      <c r="E1185" t="s">
        <v>1871</v>
      </c>
      <c r="H1185">
        <v>1</v>
      </c>
      <c r="N1185">
        <v>1</v>
      </c>
      <c r="Q1185">
        <v>1</v>
      </c>
      <c r="R1185">
        <v>1</v>
      </c>
      <c r="U1185" t="s">
        <v>1735</v>
      </c>
      <c r="V1185">
        <v>37</v>
      </c>
      <c r="W1185" t="s">
        <v>1704</v>
      </c>
      <c r="X1185" t="s">
        <v>80</v>
      </c>
      <c r="Y1185">
        <v>0</v>
      </c>
      <c r="Z1185">
        <v>68.039000000000001</v>
      </c>
      <c r="AB1185" t="s">
        <v>74</v>
      </c>
      <c r="AD1185" t="s">
        <v>57</v>
      </c>
      <c r="AE1185">
        <v>0</v>
      </c>
      <c r="AF1185">
        <v>6</v>
      </c>
      <c r="AG1185">
        <v>1</v>
      </c>
      <c r="AH1185">
        <v>1.5</v>
      </c>
      <c r="AI1185">
        <v>512</v>
      </c>
      <c r="AJ1185">
        <v>512</v>
      </c>
      <c r="AK1185">
        <v>80</v>
      </c>
      <c r="AL1185" t="s">
        <v>196</v>
      </c>
      <c r="AM1185">
        <v>2</v>
      </c>
      <c r="AN1185" t="s">
        <v>996</v>
      </c>
      <c r="AO1185" t="s">
        <v>67</v>
      </c>
      <c r="AP1185" t="s">
        <v>68</v>
      </c>
      <c r="AQ1185">
        <v>15</v>
      </c>
      <c r="AR1185">
        <v>210</v>
      </c>
      <c r="AS1185">
        <v>420</v>
      </c>
      <c r="AT1185">
        <v>4.2</v>
      </c>
      <c r="AU1185">
        <v>7</v>
      </c>
      <c r="AV1185" t="s">
        <v>2336</v>
      </c>
      <c r="AW1185" t="s">
        <v>4358</v>
      </c>
      <c r="AX1185" t="s">
        <v>4359</v>
      </c>
    </row>
    <row r="1186" spans="1:50" x14ac:dyDescent="0.25">
      <c r="A1186" t="s">
        <v>4360</v>
      </c>
      <c r="B1186" t="s">
        <v>1679</v>
      </c>
      <c r="C1186">
        <v>0</v>
      </c>
      <c r="D1186">
        <v>0</v>
      </c>
      <c r="E1186" t="s">
        <v>1703</v>
      </c>
      <c r="H1186">
        <v>0</v>
      </c>
      <c r="N1186">
        <v>1</v>
      </c>
      <c r="Q1186">
        <v>0</v>
      </c>
      <c r="R1186">
        <v>0</v>
      </c>
      <c r="U1186" t="s">
        <v>1687</v>
      </c>
      <c r="V1186">
        <v>33</v>
      </c>
      <c r="W1186" t="s">
        <v>1688</v>
      </c>
      <c r="X1186" t="s">
        <v>80</v>
      </c>
      <c r="Y1186">
        <v>0</v>
      </c>
      <c r="AD1186" t="s">
        <v>57</v>
      </c>
      <c r="AE1186">
        <v>0</v>
      </c>
      <c r="AF1186">
        <v>6</v>
      </c>
      <c r="AG1186">
        <v>1</v>
      </c>
      <c r="AH1186">
        <v>1.5</v>
      </c>
      <c r="AI1186">
        <v>512</v>
      </c>
      <c r="AJ1186">
        <v>512</v>
      </c>
      <c r="AK1186">
        <v>80</v>
      </c>
      <c r="AL1186" t="s">
        <v>774</v>
      </c>
      <c r="AM1186">
        <v>2</v>
      </c>
      <c r="AN1186" t="s">
        <v>1681</v>
      </c>
      <c r="AO1186" t="s">
        <v>67</v>
      </c>
      <c r="AP1186" t="s">
        <v>68</v>
      </c>
      <c r="AQ1186">
        <v>15</v>
      </c>
      <c r="AR1186">
        <v>349</v>
      </c>
      <c r="AS1186">
        <v>698</v>
      </c>
      <c r="AT1186">
        <v>2.1800000000000002</v>
      </c>
      <c r="AU1186">
        <v>5.6669999999999998</v>
      </c>
      <c r="AV1186" t="s">
        <v>4361</v>
      </c>
      <c r="AW1186" t="s">
        <v>4362</v>
      </c>
      <c r="AX1186" t="s">
        <v>4363</v>
      </c>
    </row>
    <row r="1187" spans="1:50" x14ac:dyDescent="0.25">
      <c r="A1187" t="s">
        <v>4364</v>
      </c>
      <c r="B1187" t="s">
        <v>1679</v>
      </c>
      <c r="C1187">
        <v>0</v>
      </c>
      <c r="D1187">
        <v>0</v>
      </c>
      <c r="E1187" t="s">
        <v>1791</v>
      </c>
      <c r="H1187">
        <v>0</v>
      </c>
      <c r="N1187">
        <v>1</v>
      </c>
      <c r="Q1187">
        <v>1</v>
      </c>
      <c r="R1187">
        <v>0</v>
      </c>
      <c r="U1187" t="s">
        <v>1735</v>
      </c>
      <c r="V1187">
        <v>44</v>
      </c>
      <c r="W1187" t="s">
        <v>1726</v>
      </c>
      <c r="X1187" t="s">
        <v>80</v>
      </c>
      <c r="Y1187">
        <v>0</v>
      </c>
      <c r="Z1187">
        <v>74.843000000000004</v>
      </c>
      <c r="AB1187" t="s">
        <v>94</v>
      </c>
      <c r="AD1187" t="s">
        <v>57</v>
      </c>
      <c r="AE1187">
        <v>0</v>
      </c>
      <c r="AF1187">
        <v>6</v>
      </c>
      <c r="AG1187">
        <v>1</v>
      </c>
      <c r="AH1187">
        <v>1.5</v>
      </c>
      <c r="AI1187">
        <v>512</v>
      </c>
      <c r="AJ1187">
        <v>512</v>
      </c>
      <c r="AK1187">
        <v>80</v>
      </c>
      <c r="AL1187" t="s">
        <v>153</v>
      </c>
      <c r="AM1187">
        <v>2</v>
      </c>
      <c r="AN1187" t="s">
        <v>996</v>
      </c>
      <c r="AO1187" t="s">
        <v>67</v>
      </c>
      <c r="AP1187" t="s">
        <v>68</v>
      </c>
      <c r="AQ1187">
        <v>15</v>
      </c>
      <c r="AR1187">
        <v>87</v>
      </c>
      <c r="AS1187">
        <v>174</v>
      </c>
      <c r="AT1187">
        <v>4.2</v>
      </c>
      <c r="AU1187">
        <v>6.96</v>
      </c>
      <c r="AV1187" t="s">
        <v>4365</v>
      </c>
      <c r="AW1187" t="s">
        <v>4366</v>
      </c>
      <c r="AX1187" t="s">
        <v>4367</v>
      </c>
    </row>
    <row r="1188" spans="1:50" x14ac:dyDescent="0.25">
      <c r="A1188" t="s">
        <v>4368</v>
      </c>
      <c r="B1188" t="s">
        <v>1679</v>
      </c>
      <c r="C1188">
        <v>0</v>
      </c>
      <c r="D1188">
        <v>0</v>
      </c>
      <c r="E1188" t="s">
        <v>1680</v>
      </c>
      <c r="H1188">
        <v>0</v>
      </c>
      <c r="N1188">
        <v>1</v>
      </c>
      <c r="Q1188">
        <v>0</v>
      </c>
      <c r="R1188">
        <v>0</v>
      </c>
      <c r="U1188" t="s">
        <v>1687</v>
      </c>
      <c r="V1188">
        <v>56</v>
      </c>
      <c r="W1188" t="s">
        <v>79</v>
      </c>
      <c r="X1188" t="s">
        <v>80</v>
      </c>
      <c r="Y1188">
        <v>0</v>
      </c>
      <c r="Z1188">
        <v>85</v>
      </c>
      <c r="AB1188" t="s">
        <v>118</v>
      </c>
      <c r="AD1188" t="s">
        <v>57</v>
      </c>
      <c r="AE1188">
        <v>1</v>
      </c>
      <c r="AF1188">
        <v>6</v>
      </c>
      <c r="AG1188">
        <v>1</v>
      </c>
      <c r="AH1188">
        <v>1.5</v>
      </c>
      <c r="AI1188">
        <v>400</v>
      </c>
      <c r="AJ1188">
        <v>400</v>
      </c>
      <c r="AK1188">
        <v>72</v>
      </c>
      <c r="AL1188" t="s">
        <v>1924</v>
      </c>
      <c r="AM1188">
        <v>2.5</v>
      </c>
      <c r="AN1188" t="s">
        <v>1531</v>
      </c>
      <c r="AO1188" t="s">
        <v>1155</v>
      </c>
      <c r="AP1188" t="s">
        <v>1767</v>
      </c>
      <c r="AQ1188">
        <v>11</v>
      </c>
      <c r="AR1188">
        <v>57.18</v>
      </c>
      <c r="AS1188">
        <v>99.4</v>
      </c>
      <c r="AT1188">
        <v>4.6040000000000001</v>
      </c>
      <c r="AU1188">
        <v>7.2140000000000004</v>
      </c>
      <c r="AV1188" t="s">
        <v>4369</v>
      </c>
      <c r="AW1188" t="s">
        <v>1711</v>
      </c>
      <c r="AX1188" t="s">
        <v>4370</v>
      </c>
    </row>
    <row r="1189" spans="1:50" x14ac:dyDescent="0.25">
      <c r="A1189" t="s">
        <v>4371</v>
      </c>
      <c r="B1189" t="s">
        <v>1679</v>
      </c>
      <c r="C1189">
        <v>0</v>
      </c>
      <c r="D1189">
        <v>0</v>
      </c>
      <c r="E1189" t="s">
        <v>1740</v>
      </c>
      <c r="H1189">
        <v>0</v>
      </c>
      <c r="N1189">
        <v>1</v>
      </c>
      <c r="Q1189">
        <v>0</v>
      </c>
      <c r="R1189">
        <v>0</v>
      </c>
      <c r="U1189" t="s">
        <v>1687</v>
      </c>
      <c r="V1189">
        <v>35</v>
      </c>
      <c r="W1189" t="s">
        <v>1726</v>
      </c>
      <c r="X1189" t="s">
        <v>80</v>
      </c>
      <c r="Y1189">
        <v>0</v>
      </c>
      <c r="Z1189">
        <v>68.039000000000001</v>
      </c>
      <c r="AB1189" t="s">
        <v>74</v>
      </c>
      <c r="AD1189" t="s">
        <v>57</v>
      </c>
      <c r="AE1189">
        <v>0</v>
      </c>
      <c r="AF1189">
        <v>6</v>
      </c>
      <c r="AG1189">
        <v>1</v>
      </c>
      <c r="AH1189">
        <v>1.5</v>
      </c>
      <c r="AI1189">
        <v>512</v>
      </c>
      <c r="AJ1189">
        <v>512</v>
      </c>
      <c r="AK1189">
        <v>72</v>
      </c>
      <c r="AL1189" t="s">
        <v>119</v>
      </c>
      <c r="AM1189">
        <v>2.2000000000000002</v>
      </c>
      <c r="AN1189" t="s">
        <v>1902</v>
      </c>
      <c r="AO1189" t="s">
        <v>67</v>
      </c>
      <c r="AP1189" t="s">
        <v>68</v>
      </c>
      <c r="AQ1189">
        <v>15</v>
      </c>
      <c r="AR1189">
        <v>195</v>
      </c>
      <c r="AS1189">
        <v>390</v>
      </c>
      <c r="AT1189">
        <v>3.1720000000000002</v>
      </c>
      <c r="AU1189">
        <v>6.548</v>
      </c>
      <c r="AV1189" t="s">
        <v>1841</v>
      </c>
      <c r="AW1189" t="s">
        <v>4147</v>
      </c>
      <c r="AX1189" t="s">
        <v>4372</v>
      </c>
    </row>
    <row r="1190" spans="1:50" x14ac:dyDescent="0.25">
      <c r="A1190" t="s">
        <v>4373</v>
      </c>
      <c r="B1190" t="s">
        <v>1679</v>
      </c>
      <c r="C1190">
        <v>0</v>
      </c>
      <c r="D1190">
        <v>0</v>
      </c>
      <c r="E1190" t="s">
        <v>1780</v>
      </c>
      <c r="H1190">
        <v>1</v>
      </c>
      <c r="N1190">
        <v>0</v>
      </c>
      <c r="Q1190">
        <v>0</v>
      </c>
      <c r="R1190">
        <v>1</v>
      </c>
      <c r="U1190" t="s">
        <v>65</v>
      </c>
      <c r="V1190">
        <v>46</v>
      </c>
      <c r="W1190" t="s">
        <v>1726</v>
      </c>
      <c r="X1190" t="s">
        <v>55</v>
      </c>
      <c r="Y1190">
        <v>0</v>
      </c>
      <c r="Z1190">
        <v>57.152645890199999</v>
      </c>
      <c r="AB1190" t="s">
        <v>74</v>
      </c>
      <c r="AD1190" t="s">
        <v>57</v>
      </c>
      <c r="AE1190">
        <v>0</v>
      </c>
      <c r="AF1190">
        <v>6</v>
      </c>
      <c r="AG1190">
        <v>1</v>
      </c>
      <c r="AH1190">
        <v>1.5</v>
      </c>
      <c r="AI1190">
        <v>512</v>
      </c>
      <c r="AJ1190">
        <v>512</v>
      </c>
      <c r="AK1190">
        <v>80</v>
      </c>
      <c r="AL1190" t="s">
        <v>1010</v>
      </c>
      <c r="AM1190">
        <v>2</v>
      </c>
      <c r="AN1190" t="s">
        <v>1011</v>
      </c>
      <c r="AO1190" t="s">
        <v>59</v>
      </c>
      <c r="AP1190" t="s">
        <v>60</v>
      </c>
      <c r="AQ1190">
        <v>11</v>
      </c>
      <c r="AR1190">
        <v>61</v>
      </c>
      <c r="AS1190">
        <v>166</v>
      </c>
      <c r="AT1190">
        <v>1.67</v>
      </c>
      <c r="AU1190">
        <v>4.51</v>
      </c>
      <c r="AV1190" t="s">
        <v>4374</v>
      </c>
      <c r="AW1190" t="s">
        <v>4375</v>
      </c>
      <c r="AX1190" t="s">
        <v>4376</v>
      </c>
    </row>
    <row r="1191" spans="1:50" x14ac:dyDescent="0.25">
      <c r="A1191" t="s">
        <v>4377</v>
      </c>
      <c r="B1191" t="s">
        <v>1679</v>
      </c>
      <c r="C1191">
        <v>0</v>
      </c>
      <c r="D1191">
        <v>0</v>
      </c>
      <c r="E1191" t="s">
        <v>1693</v>
      </c>
      <c r="H1191">
        <v>0</v>
      </c>
      <c r="N1191">
        <v>1</v>
      </c>
      <c r="Q1191">
        <v>0</v>
      </c>
      <c r="R1191">
        <v>0</v>
      </c>
      <c r="U1191" t="s">
        <v>1687</v>
      </c>
      <c r="V1191">
        <v>67</v>
      </c>
      <c r="X1191" t="s">
        <v>80</v>
      </c>
      <c r="Y1191">
        <v>0</v>
      </c>
      <c r="AD1191" t="s">
        <v>57</v>
      </c>
      <c r="AE1191">
        <v>0</v>
      </c>
      <c r="AF1191">
        <v>6</v>
      </c>
      <c r="AG1191">
        <v>1</v>
      </c>
      <c r="AH1191">
        <v>1.5</v>
      </c>
      <c r="AI1191">
        <v>512</v>
      </c>
      <c r="AJ1191">
        <v>512</v>
      </c>
      <c r="AK1191">
        <v>72</v>
      </c>
      <c r="AL1191" t="s">
        <v>119</v>
      </c>
      <c r="AM1191">
        <v>2.2000000000000002</v>
      </c>
      <c r="AN1191" t="s">
        <v>1072</v>
      </c>
      <c r="AO1191" t="s">
        <v>67</v>
      </c>
      <c r="AP1191" t="s">
        <v>68</v>
      </c>
      <c r="AQ1191">
        <v>15</v>
      </c>
      <c r="AR1191">
        <v>231</v>
      </c>
      <c r="AS1191">
        <v>463</v>
      </c>
      <c r="AT1191">
        <v>4.2359999999999998</v>
      </c>
      <c r="AU1191">
        <v>8.6679999999999993</v>
      </c>
      <c r="AV1191" t="s">
        <v>4378</v>
      </c>
      <c r="AW1191" t="s">
        <v>4379</v>
      </c>
      <c r="AX1191" t="s">
        <v>4380</v>
      </c>
    </row>
    <row r="1192" spans="1:50" x14ac:dyDescent="0.25">
      <c r="A1192" t="s">
        <v>4381</v>
      </c>
      <c r="B1192" t="s">
        <v>1679</v>
      </c>
      <c r="C1192">
        <v>0</v>
      </c>
      <c r="D1192">
        <v>0</v>
      </c>
      <c r="E1192" t="s">
        <v>1703</v>
      </c>
      <c r="H1192">
        <v>1</v>
      </c>
      <c r="N1192">
        <v>1</v>
      </c>
      <c r="Q1192">
        <v>0</v>
      </c>
      <c r="R1192">
        <v>1</v>
      </c>
      <c r="U1192" t="s">
        <v>1687</v>
      </c>
      <c r="V1192">
        <v>59</v>
      </c>
      <c r="W1192" t="s">
        <v>79</v>
      </c>
      <c r="X1192" t="s">
        <v>55</v>
      </c>
      <c r="Y1192">
        <v>0</v>
      </c>
      <c r="Z1192">
        <v>97.522000000000006</v>
      </c>
      <c r="AB1192" t="s">
        <v>56</v>
      </c>
      <c r="AD1192" t="s">
        <v>57</v>
      </c>
      <c r="AE1192">
        <v>0</v>
      </c>
      <c r="AF1192">
        <v>6</v>
      </c>
      <c r="AG1192">
        <v>1</v>
      </c>
      <c r="AH1192">
        <v>1.5</v>
      </c>
      <c r="AI1192">
        <v>512</v>
      </c>
      <c r="AJ1192">
        <v>512</v>
      </c>
      <c r="AK1192">
        <v>80</v>
      </c>
      <c r="AL1192" t="s">
        <v>119</v>
      </c>
      <c r="AM1192">
        <v>2</v>
      </c>
      <c r="AN1192" t="s">
        <v>996</v>
      </c>
      <c r="AO1192" t="s">
        <v>67</v>
      </c>
      <c r="AP1192" t="s">
        <v>68</v>
      </c>
      <c r="AQ1192">
        <v>15</v>
      </c>
      <c r="AR1192">
        <v>109</v>
      </c>
      <c r="AS1192">
        <v>218</v>
      </c>
      <c r="AT1192">
        <v>4.2</v>
      </c>
      <c r="AU1192">
        <v>7</v>
      </c>
      <c r="AV1192" t="s">
        <v>4382</v>
      </c>
      <c r="AW1192" t="s">
        <v>2206</v>
      </c>
      <c r="AX1192" t="s">
        <v>4383</v>
      </c>
    </row>
    <row r="1193" spans="1:50" x14ac:dyDescent="0.25">
      <c r="A1193" t="s">
        <v>4384</v>
      </c>
      <c r="B1193" t="s">
        <v>1679</v>
      </c>
      <c r="C1193">
        <v>0</v>
      </c>
      <c r="D1193">
        <v>0</v>
      </c>
      <c r="E1193" t="s">
        <v>1703</v>
      </c>
      <c r="H1193">
        <v>0</v>
      </c>
      <c r="N1193">
        <v>1</v>
      </c>
      <c r="Q1193">
        <v>0</v>
      </c>
      <c r="R1193">
        <v>0</v>
      </c>
      <c r="U1193" t="s">
        <v>1687</v>
      </c>
      <c r="V1193">
        <v>46</v>
      </c>
      <c r="X1193" t="s">
        <v>55</v>
      </c>
      <c r="Y1193">
        <v>0</v>
      </c>
      <c r="AD1193" t="s">
        <v>57</v>
      </c>
      <c r="AE1193">
        <v>0</v>
      </c>
      <c r="AF1193">
        <v>6</v>
      </c>
      <c r="AG1193">
        <v>1</v>
      </c>
      <c r="AH1193">
        <v>3</v>
      </c>
      <c r="AI1193">
        <v>512</v>
      </c>
      <c r="AJ1193">
        <v>512</v>
      </c>
      <c r="AK1193">
        <v>134</v>
      </c>
      <c r="AL1193" t="s">
        <v>4385</v>
      </c>
      <c r="AM1193">
        <v>2.4000000950000002</v>
      </c>
      <c r="AN1193" t="s">
        <v>1786</v>
      </c>
      <c r="AO1193" t="s">
        <v>67</v>
      </c>
      <c r="AP1193" t="s">
        <v>68</v>
      </c>
      <c r="AQ1193">
        <v>15</v>
      </c>
      <c r="AR1193">
        <v>485</v>
      </c>
      <c r="AS1193">
        <v>962</v>
      </c>
      <c r="AT1193">
        <v>2.7160000000000002</v>
      </c>
      <c r="AU1193">
        <v>6.5170000000000003</v>
      </c>
      <c r="AV1193" t="s">
        <v>1911</v>
      </c>
      <c r="AW1193" t="s">
        <v>2513</v>
      </c>
      <c r="AX1193" t="s">
        <v>4386</v>
      </c>
    </row>
    <row r="1194" spans="1:50" x14ac:dyDescent="0.25">
      <c r="A1194" t="s">
        <v>4387</v>
      </c>
      <c r="B1194" t="s">
        <v>1679</v>
      </c>
      <c r="C1194">
        <v>0</v>
      </c>
      <c r="D1194">
        <v>0</v>
      </c>
      <c r="E1194" t="s">
        <v>1703</v>
      </c>
      <c r="H1194">
        <v>0</v>
      </c>
      <c r="N1194">
        <v>1</v>
      </c>
      <c r="Q1194">
        <v>0</v>
      </c>
      <c r="R1194">
        <v>0</v>
      </c>
      <c r="U1194" t="s">
        <v>1687</v>
      </c>
      <c r="V1194">
        <v>59</v>
      </c>
      <c r="X1194" t="s">
        <v>80</v>
      </c>
      <c r="Y1194">
        <v>0</v>
      </c>
      <c r="Z1194">
        <v>56.699053462499997</v>
      </c>
      <c r="AB1194" t="s">
        <v>74</v>
      </c>
      <c r="AD1194" t="s">
        <v>57</v>
      </c>
      <c r="AE1194">
        <v>1</v>
      </c>
      <c r="AF1194">
        <v>6</v>
      </c>
      <c r="AG1194">
        <v>1</v>
      </c>
      <c r="AH1194">
        <v>1.5</v>
      </c>
      <c r="AI1194">
        <v>384</v>
      </c>
      <c r="AJ1194">
        <v>384</v>
      </c>
      <c r="AK1194">
        <v>144</v>
      </c>
      <c r="AL1194" t="s">
        <v>1394</v>
      </c>
      <c r="AM1194">
        <v>1.2000000476999999</v>
      </c>
      <c r="AN1194" t="s">
        <v>2146</v>
      </c>
      <c r="AO1194" t="s">
        <v>59</v>
      </c>
      <c r="AP1194" t="s">
        <v>2147</v>
      </c>
      <c r="AQ1194">
        <v>11</v>
      </c>
      <c r="AR1194">
        <v>34</v>
      </c>
      <c r="AS1194">
        <v>89</v>
      </c>
      <c r="AT1194">
        <v>1.62</v>
      </c>
      <c r="AU1194">
        <v>4.57</v>
      </c>
      <c r="AV1194" t="s">
        <v>2756</v>
      </c>
      <c r="AW1194" t="s">
        <v>4388</v>
      </c>
      <c r="AX1194" t="s">
        <v>4389</v>
      </c>
    </row>
    <row r="1195" spans="1:50" x14ac:dyDescent="0.25">
      <c r="A1195" t="s">
        <v>4390</v>
      </c>
      <c r="B1195" t="s">
        <v>1679</v>
      </c>
      <c r="C1195">
        <v>0</v>
      </c>
      <c r="D1195">
        <v>0</v>
      </c>
      <c r="E1195" t="s">
        <v>1703</v>
      </c>
      <c r="H1195">
        <v>0</v>
      </c>
      <c r="N1195">
        <v>0</v>
      </c>
      <c r="Q1195">
        <v>0</v>
      </c>
      <c r="R1195">
        <v>1</v>
      </c>
      <c r="U1195" t="s">
        <v>65</v>
      </c>
      <c r="V1195">
        <v>55</v>
      </c>
      <c r="W1195" t="s">
        <v>79</v>
      </c>
      <c r="X1195" t="s">
        <v>80</v>
      </c>
      <c r="Y1195">
        <v>1</v>
      </c>
      <c r="Z1195">
        <v>52.162999999999997</v>
      </c>
      <c r="AB1195" t="s">
        <v>74</v>
      </c>
      <c r="AD1195" t="s">
        <v>57</v>
      </c>
      <c r="AE1195">
        <v>0</v>
      </c>
      <c r="AF1195">
        <v>6</v>
      </c>
      <c r="AG1195">
        <v>1</v>
      </c>
      <c r="AH1195">
        <v>3</v>
      </c>
      <c r="AI1195">
        <v>512</v>
      </c>
      <c r="AJ1195">
        <v>512</v>
      </c>
      <c r="AK1195">
        <v>148</v>
      </c>
      <c r="AL1195" t="s">
        <v>81</v>
      </c>
      <c r="AM1195">
        <v>2.4</v>
      </c>
      <c r="AN1195" t="s">
        <v>1786</v>
      </c>
      <c r="AO1195" t="s">
        <v>67</v>
      </c>
      <c r="AP1195" t="s">
        <v>68</v>
      </c>
      <c r="AQ1195">
        <v>15</v>
      </c>
      <c r="AR1195">
        <v>151</v>
      </c>
      <c r="AS1195">
        <v>303</v>
      </c>
      <c r="AT1195">
        <v>2.8479999999999999</v>
      </c>
      <c r="AU1195">
        <v>7.7469999999999999</v>
      </c>
      <c r="AV1195" t="s">
        <v>1817</v>
      </c>
      <c r="AW1195" t="s">
        <v>2716</v>
      </c>
      <c r="AX1195" t="s">
        <v>4391</v>
      </c>
    </row>
    <row r="1196" spans="1:50" x14ac:dyDescent="0.25">
      <c r="A1196" t="s">
        <v>4392</v>
      </c>
      <c r="B1196" t="s">
        <v>1679</v>
      </c>
      <c r="C1196">
        <v>0</v>
      </c>
      <c r="D1196">
        <v>0</v>
      </c>
      <c r="E1196" t="s">
        <v>1693</v>
      </c>
      <c r="H1196">
        <v>1</v>
      </c>
      <c r="N1196">
        <v>0</v>
      </c>
      <c r="Q1196">
        <v>0</v>
      </c>
      <c r="R1196">
        <v>1</v>
      </c>
      <c r="U1196" t="s">
        <v>65</v>
      </c>
      <c r="V1196">
        <v>65</v>
      </c>
      <c r="W1196" t="s">
        <v>79</v>
      </c>
      <c r="X1196" t="s">
        <v>80</v>
      </c>
      <c r="Y1196">
        <v>0</v>
      </c>
      <c r="Z1196">
        <v>70.307000000000002</v>
      </c>
      <c r="AB1196" t="s">
        <v>94</v>
      </c>
      <c r="AD1196" t="s">
        <v>57</v>
      </c>
      <c r="AE1196">
        <v>0</v>
      </c>
      <c r="AF1196">
        <v>6</v>
      </c>
      <c r="AG1196">
        <v>1</v>
      </c>
      <c r="AH1196">
        <v>1.5</v>
      </c>
      <c r="AI1196">
        <v>512</v>
      </c>
      <c r="AJ1196">
        <v>512</v>
      </c>
      <c r="AK1196">
        <v>80</v>
      </c>
      <c r="AL1196" t="s">
        <v>81</v>
      </c>
      <c r="AM1196">
        <v>2</v>
      </c>
      <c r="AN1196" t="s">
        <v>996</v>
      </c>
      <c r="AO1196" t="s">
        <v>67</v>
      </c>
      <c r="AP1196" t="s">
        <v>68</v>
      </c>
      <c r="AQ1196">
        <v>15</v>
      </c>
      <c r="AR1196">
        <v>112</v>
      </c>
      <c r="AS1196">
        <v>225</v>
      </c>
      <c r="AT1196">
        <v>4.2</v>
      </c>
      <c r="AU1196">
        <v>7</v>
      </c>
      <c r="AV1196" t="s">
        <v>4393</v>
      </c>
      <c r="AW1196" t="s">
        <v>4394</v>
      </c>
      <c r="AX1196" t="s">
        <v>4395</v>
      </c>
    </row>
    <row r="1197" spans="1:50" x14ac:dyDescent="0.25">
      <c r="A1197" t="s">
        <v>4396</v>
      </c>
      <c r="B1197" t="s">
        <v>1679</v>
      </c>
      <c r="C1197">
        <v>0</v>
      </c>
      <c r="D1197">
        <v>0</v>
      </c>
      <c r="E1197" t="s">
        <v>1693</v>
      </c>
      <c r="H1197">
        <v>1</v>
      </c>
      <c r="N1197">
        <v>0</v>
      </c>
      <c r="Q1197">
        <v>0</v>
      </c>
      <c r="R1197">
        <v>1</v>
      </c>
      <c r="U1197" t="s">
        <v>65</v>
      </c>
      <c r="V1197">
        <v>47</v>
      </c>
      <c r="W1197" t="s">
        <v>1688</v>
      </c>
      <c r="X1197" t="s">
        <v>80</v>
      </c>
      <c r="Y1197">
        <v>0</v>
      </c>
      <c r="Z1197">
        <v>56</v>
      </c>
      <c r="AB1197" t="s">
        <v>74</v>
      </c>
      <c r="AD1197" t="s">
        <v>57</v>
      </c>
      <c r="AE1197">
        <v>0</v>
      </c>
      <c r="AF1197">
        <v>6</v>
      </c>
      <c r="AG1197">
        <v>1</v>
      </c>
      <c r="AH1197">
        <v>3</v>
      </c>
      <c r="AI1197">
        <v>512</v>
      </c>
      <c r="AJ1197">
        <v>512</v>
      </c>
      <c r="AK1197">
        <v>160</v>
      </c>
      <c r="AL1197" t="s">
        <v>2372</v>
      </c>
      <c r="AM1197">
        <v>2</v>
      </c>
      <c r="AN1197" t="s">
        <v>1419</v>
      </c>
      <c r="AO1197" t="s">
        <v>1155</v>
      </c>
      <c r="AP1197" t="s">
        <v>1767</v>
      </c>
      <c r="AQ1197">
        <v>15</v>
      </c>
      <c r="AR1197">
        <v>267</v>
      </c>
      <c r="AS1197">
        <v>534</v>
      </c>
      <c r="AT1197">
        <v>1.73</v>
      </c>
      <c r="AU1197">
        <v>4</v>
      </c>
      <c r="AV1197" t="s">
        <v>4397</v>
      </c>
      <c r="AW1197" t="s">
        <v>2088</v>
      </c>
      <c r="AX1197" t="s">
        <v>4398</v>
      </c>
    </row>
    <row r="1198" spans="1:50" x14ac:dyDescent="0.25">
      <c r="A1198" t="s">
        <v>4399</v>
      </c>
      <c r="B1198" t="s">
        <v>1679</v>
      </c>
      <c r="C1198">
        <v>0</v>
      </c>
      <c r="D1198">
        <v>1</v>
      </c>
      <c r="E1198" t="s">
        <v>1780</v>
      </c>
      <c r="H1198">
        <v>0</v>
      </c>
      <c r="N1198">
        <v>1</v>
      </c>
      <c r="Q1198">
        <v>0</v>
      </c>
      <c r="R1198">
        <v>0</v>
      </c>
      <c r="U1198" t="s">
        <v>1687</v>
      </c>
      <c r="V1198">
        <v>46</v>
      </c>
      <c r="W1198" t="s">
        <v>1726</v>
      </c>
      <c r="X1198" t="s">
        <v>80</v>
      </c>
      <c r="Y1198">
        <v>0</v>
      </c>
      <c r="Z1198">
        <v>70.307000000000002</v>
      </c>
      <c r="AB1198" t="s">
        <v>94</v>
      </c>
      <c r="AD1198" t="s">
        <v>57</v>
      </c>
      <c r="AE1198">
        <v>0</v>
      </c>
      <c r="AF1198">
        <v>6</v>
      </c>
      <c r="AG1198">
        <v>1</v>
      </c>
      <c r="AH1198">
        <v>1.5</v>
      </c>
      <c r="AI1198">
        <v>512</v>
      </c>
      <c r="AJ1198">
        <v>512</v>
      </c>
      <c r="AK1198">
        <v>76</v>
      </c>
      <c r="AL1198" t="s">
        <v>331</v>
      </c>
      <c r="AM1198">
        <v>2.4</v>
      </c>
      <c r="AN1198" t="s">
        <v>1942</v>
      </c>
      <c r="AO1198" t="s">
        <v>67</v>
      </c>
      <c r="AP1198" t="s">
        <v>68</v>
      </c>
      <c r="AQ1198">
        <v>15</v>
      </c>
      <c r="AR1198">
        <v>702</v>
      </c>
      <c r="AS1198">
        <v>1405</v>
      </c>
      <c r="AT1198">
        <v>3.044</v>
      </c>
      <c r="AU1198">
        <v>6.28</v>
      </c>
      <c r="AV1198" t="s">
        <v>4400</v>
      </c>
      <c r="AW1198" t="s">
        <v>4401</v>
      </c>
      <c r="AX1198" t="s">
        <v>4402</v>
      </c>
    </row>
    <row r="1199" spans="1:50" x14ac:dyDescent="0.25">
      <c r="A1199" t="s">
        <v>4403</v>
      </c>
      <c r="B1199" t="s">
        <v>1679</v>
      </c>
      <c r="C1199">
        <v>0</v>
      </c>
      <c r="D1199">
        <v>0</v>
      </c>
      <c r="E1199" t="s">
        <v>1740</v>
      </c>
      <c r="H1199">
        <v>0</v>
      </c>
      <c r="N1199">
        <v>1</v>
      </c>
      <c r="Q1199">
        <v>0</v>
      </c>
      <c r="R1199">
        <v>0</v>
      </c>
      <c r="U1199" t="s">
        <v>1687</v>
      </c>
      <c r="V1199">
        <v>36</v>
      </c>
      <c r="W1199" t="s">
        <v>1726</v>
      </c>
      <c r="X1199" t="s">
        <v>80</v>
      </c>
      <c r="Y1199">
        <v>0</v>
      </c>
      <c r="Z1199">
        <v>57.606000000000002</v>
      </c>
      <c r="AB1199" t="s">
        <v>74</v>
      </c>
      <c r="AD1199" t="s">
        <v>57</v>
      </c>
      <c r="AE1199">
        <v>0</v>
      </c>
      <c r="AF1199">
        <v>6</v>
      </c>
      <c r="AG1199">
        <v>1</v>
      </c>
      <c r="AH1199">
        <v>1.5</v>
      </c>
      <c r="AI1199">
        <v>512</v>
      </c>
      <c r="AJ1199">
        <v>512</v>
      </c>
      <c r="AK1199">
        <v>80</v>
      </c>
      <c r="AL1199" t="s">
        <v>331</v>
      </c>
      <c r="AM1199">
        <v>2</v>
      </c>
      <c r="AN1199" t="s">
        <v>996</v>
      </c>
      <c r="AO1199" t="s">
        <v>67</v>
      </c>
      <c r="AP1199" t="s">
        <v>114</v>
      </c>
      <c r="AQ1199">
        <v>15</v>
      </c>
      <c r="AR1199">
        <v>223</v>
      </c>
      <c r="AS1199">
        <v>446</v>
      </c>
      <c r="AT1199">
        <v>4.4640000000000004</v>
      </c>
      <c r="AU1199">
        <v>9.0879999999999992</v>
      </c>
      <c r="AV1199" t="s">
        <v>4404</v>
      </c>
      <c r="AW1199" t="s">
        <v>4405</v>
      </c>
      <c r="AX1199" t="s">
        <v>4406</v>
      </c>
    </row>
    <row r="1200" spans="1:50" x14ac:dyDescent="0.25">
      <c r="A1200" t="s">
        <v>4407</v>
      </c>
      <c r="B1200" t="s">
        <v>1679</v>
      </c>
      <c r="C1200">
        <v>0</v>
      </c>
      <c r="D1200">
        <v>0</v>
      </c>
      <c r="E1200" t="s">
        <v>1686</v>
      </c>
      <c r="H1200">
        <v>0</v>
      </c>
      <c r="N1200">
        <v>1</v>
      </c>
      <c r="Q1200">
        <v>0</v>
      </c>
      <c r="R1200">
        <v>0</v>
      </c>
      <c r="U1200" t="s">
        <v>1687</v>
      </c>
      <c r="V1200">
        <v>42</v>
      </c>
      <c r="W1200" t="s">
        <v>1688</v>
      </c>
      <c r="X1200" t="s">
        <v>80</v>
      </c>
      <c r="Y1200">
        <v>0</v>
      </c>
      <c r="Z1200">
        <v>96</v>
      </c>
      <c r="AB1200" t="s">
        <v>56</v>
      </c>
      <c r="AD1200" t="s">
        <v>57</v>
      </c>
      <c r="AE1200">
        <v>0</v>
      </c>
      <c r="AF1200">
        <v>6</v>
      </c>
      <c r="AG1200">
        <v>1</v>
      </c>
      <c r="AH1200">
        <v>1.5</v>
      </c>
      <c r="AI1200">
        <v>512</v>
      </c>
      <c r="AJ1200">
        <v>512</v>
      </c>
      <c r="AK1200">
        <v>80</v>
      </c>
      <c r="AL1200" t="s">
        <v>196</v>
      </c>
      <c r="AM1200">
        <v>2</v>
      </c>
      <c r="AN1200" t="s">
        <v>1705</v>
      </c>
      <c r="AO1200" t="s">
        <v>67</v>
      </c>
      <c r="AP1200" t="s">
        <v>89</v>
      </c>
      <c r="AQ1200">
        <v>15</v>
      </c>
      <c r="AR1200">
        <v>249</v>
      </c>
      <c r="AS1200">
        <v>498</v>
      </c>
      <c r="AT1200">
        <v>2.5840000000000001</v>
      </c>
      <c r="AU1200">
        <v>5.6340000000000003</v>
      </c>
      <c r="AV1200" t="s">
        <v>4408</v>
      </c>
      <c r="AW1200" t="s">
        <v>2566</v>
      </c>
      <c r="AX1200" t="s">
        <v>4409</v>
      </c>
    </row>
    <row r="1201" spans="1:50" x14ac:dyDescent="0.25">
      <c r="A1201" t="s">
        <v>4410</v>
      </c>
      <c r="B1201" t="s">
        <v>1679</v>
      </c>
      <c r="C1201">
        <v>0</v>
      </c>
      <c r="D1201">
        <v>0</v>
      </c>
      <c r="E1201" t="s">
        <v>1839</v>
      </c>
      <c r="H1201">
        <v>1</v>
      </c>
      <c r="N1201">
        <v>1</v>
      </c>
      <c r="Q1201">
        <v>1</v>
      </c>
      <c r="R1201">
        <v>0</v>
      </c>
      <c r="U1201" t="s">
        <v>1735</v>
      </c>
      <c r="V1201">
        <v>49</v>
      </c>
      <c r="W1201" t="s">
        <v>1688</v>
      </c>
      <c r="X1201" t="s">
        <v>80</v>
      </c>
      <c r="Y1201">
        <v>0</v>
      </c>
      <c r="Z1201">
        <v>57.634587844599999</v>
      </c>
      <c r="AB1201" t="s">
        <v>74</v>
      </c>
      <c r="AD1201" t="s">
        <v>57</v>
      </c>
      <c r="AE1201">
        <v>0</v>
      </c>
      <c r="AF1201">
        <v>6</v>
      </c>
      <c r="AG1201">
        <v>1</v>
      </c>
      <c r="AH1201">
        <v>1.5</v>
      </c>
      <c r="AI1201">
        <v>512</v>
      </c>
      <c r="AJ1201">
        <v>512</v>
      </c>
      <c r="AK1201">
        <v>80</v>
      </c>
      <c r="AL1201" t="s">
        <v>1010</v>
      </c>
      <c r="AM1201">
        <v>2</v>
      </c>
      <c r="AN1201" t="s">
        <v>1011</v>
      </c>
      <c r="AO1201" t="s">
        <v>59</v>
      </c>
      <c r="AP1201" t="s">
        <v>60</v>
      </c>
      <c r="AQ1201">
        <v>11</v>
      </c>
      <c r="AR1201">
        <v>63</v>
      </c>
      <c r="AS1201">
        <v>163</v>
      </c>
      <c r="AT1201">
        <v>1.81</v>
      </c>
      <c r="AU1201">
        <v>4.33</v>
      </c>
      <c r="AV1201" t="s">
        <v>4411</v>
      </c>
      <c r="AW1201" t="s">
        <v>4412</v>
      </c>
      <c r="AX1201" t="s">
        <v>4413</v>
      </c>
    </row>
    <row r="1202" spans="1:50" x14ac:dyDescent="0.25">
      <c r="A1202" t="s">
        <v>4414</v>
      </c>
      <c r="B1202" t="s">
        <v>1679</v>
      </c>
      <c r="C1202">
        <v>0</v>
      </c>
      <c r="D1202">
        <v>0</v>
      </c>
      <c r="E1202" t="s">
        <v>1680</v>
      </c>
      <c r="H1202">
        <v>1</v>
      </c>
      <c r="N1202">
        <v>0</v>
      </c>
      <c r="Q1202">
        <v>0</v>
      </c>
      <c r="R1202">
        <v>1</v>
      </c>
      <c r="U1202" t="s">
        <v>65</v>
      </c>
      <c r="V1202">
        <v>44</v>
      </c>
      <c r="W1202" t="s">
        <v>1688</v>
      </c>
      <c r="X1202" t="s">
        <v>80</v>
      </c>
      <c r="Y1202">
        <v>0</v>
      </c>
      <c r="Z1202">
        <v>64</v>
      </c>
      <c r="AB1202" t="s">
        <v>74</v>
      </c>
      <c r="AD1202" t="s">
        <v>57</v>
      </c>
      <c r="AE1202">
        <v>0</v>
      </c>
      <c r="AF1202">
        <v>6</v>
      </c>
      <c r="AG1202">
        <v>1</v>
      </c>
      <c r="AH1202">
        <v>3</v>
      </c>
      <c r="AI1202">
        <v>512</v>
      </c>
      <c r="AJ1202">
        <v>512</v>
      </c>
      <c r="AK1202">
        <v>80</v>
      </c>
      <c r="AL1202" t="s">
        <v>196</v>
      </c>
      <c r="AM1202">
        <v>2</v>
      </c>
      <c r="AN1202" t="s">
        <v>1915</v>
      </c>
      <c r="AO1202" t="s">
        <v>67</v>
      </c>
      <c r="AP1202" t="s">
        <v>68</v>
      </c>
      <c r="AQ1202">
        <v>15</v>
      </c>
      <c r="AR1202">
        <v>401</v>
      </c>
      <c r="AS1202">
        <v>802</v>
      </c>
      <c r="AT1202">
        <v>2.1360000000000001</v>
      </c>
      <c r="AU1202">
        <v>4.9779999999999998</v>
      </c>
      <c r="AV1202" t="s">
        <v>4415</v>
      </c>
      <c r="AW1202" t="s">
        <v>4158</v>
      </c>
      <c r="AX1202" t="s">
        <v>4416</v>
      </c>
    </row>
    <row r="1203" spans="1:50" x14ac:dyDescent="0.25">
      <c r="A1203" t="s">
        <v>4417</v>
      </c>
      <c r="B1203" t="s">
        <v>1679</v>
      </c>
      <c r="C1203">
        <v>0</v>
      </c>
      <c r="D1203">
        <v>0</v>
      </c>
      <c r="E1203" t="s">
        <v>1725</v>
      </c>
      <c r="H1203">
        <v>1</v>
      </c>
      <c r="N1203">
        <v>0</v>
      </c>
      <c r="Q1203">
        <v>0</v>
      </c>
      <c r="R1203">
        <v>0</v>
      </c>
      <c r="U1203" t="s">
        <v>65</v>
      </c>
      <c r="V1203">
        <v>41</v>
      </c>
      <c r="W1203" t="s">
        <v>1726</v>
      </c>
      <c r="X1203" t="s">
        <v>55</v>
      </c>
      <c r="Y1203">
        <v>0</v>
      </c>
      <c r="Z1203">
        <v>87.089746118400001</v>
      </c>
      <c r="AB1203" t="s">
        <v>118</v>
      </c>
      <c r="AD1203" t="s">
        <v>57</v>
      </c>
      <c r="AE1203">
        <v>0</v>
      </c>
      <c r="AF1203">
        <v>6</v>
      </c>
      <c r="AG1203">
        <v>1</v>
      </c>
      <c r="AH1203">
        <v>1.5</v>
      </c>
      <c r="AI1203">
        <v>512</v>
      </c>
      <c r="AJ1203">
        <v>512</v>
      </c>
      <c r="AK1203">
        <v>80</v>
      </c>
      <c r="AL1203" t="s">
        <v>1010</v>
      </c>
      <c r="AM1203">
        <v>2</v>
      </c>
      <c r="AN1203" t="s">
        <v>1011</v>
      </c>
      <c r="AO1203" t="s">
        <v>59</v>
      </c>
      <c r="AP1203" t="s">
        <v>60</v>
      </c>
      <c r="AQ1203">
        <v>11</v>
      </c>
      <c r="AR1203">
        <v>59</v>
      </c>
      <c r="AS1203">
        <v>158</v>
      </c>
      <c r="AT1203">
        <v>1.67</v>
      </c>
      <c r="AU1203">
        <v>4.51</v>
      </c>
      <c r="AV1203" t="s">
        <v>4418</v>
      </c>
      <c r="AW1203" t="s">
        <v>4419</v>
      </c>
      <c r="AX1203" t="s">
        <v>4420</v>
      </c>
    </row>
    <row r="1204" spans="1:50" x14ac:dyDescent="0.25">
      <c r="A1204" t="s">
        <v>4421</v>
      </c>
      <c r="B1204" t="s">
        <v>1679</v>
      </c>
      <c r="C1204">
        <v>0</v>
      </c>
      <c r="D1204">
        <v>0</v>
      </c>
      <c r="E1204" t="s">
        <v>1686</v>
      </c>
      <c r="H1204">
        <v>1</v>
      </c>
      <c r="N1204">
        <v>0</v>
      </c>
      <c r="Q1204">
        <v>0</v>
      </c>
      <c r="R1204">
        <v>1</v>
      </c>
      <c r="U1204" t="s">
        <v>65</v>
      </c>
      <c r="V1204">
        <v>49</v>
      </c>
      <c r="X1204" t="s">
        <v>80</v>
      </c>
      <c r="Y1204">
        <v>0</v>
      </c>
      <c r="Z1204">
        <v>88.903999999999996</v>
      </c>
      <c r="AB1204" t="s">
        <v>118</v>
      </c>
      <c r="AD1204" t="s">
        <v>57</v>
      </c>
      <c r="AE1204">
        <v>0</v>
      </c>
      <c r="AF1204">
        <v>6</v>
      </c>
      <c r="AG1204">
        <v>1</v>
      </c>
      <c r="AH1204">
        <v>1.5</v>
      </c>
      <c r="AI1204">
        <v>512</v>
      </c>
      <c r="AJ1204">
        <v>512</v>
      </c>
      <c r="AK1204">
        <v>80</v>
      </c>
      <c r="AL1204" t="s">
        <v>153</v>
      </c>
      <c r="AM1204">
        <v>2</v>
      </c>
      <c r="AN1204" t="s">
        <v>1681</v>
      </c>
      <c r="AO1204" t="s">
        <v>67</v>
      </c>
      <c r="AP1204" t="s">
        <v>68</v>
      </c>
      <c r="AQ1204">
        <v>15</v>
      </c>
      <c r="AR1204">
        <v>239</v>
      </c>
      <c r="AS1204">
        <v>478</v>
      </c>
      <c r="AT1204">
        <v>2.62</v>
      </c>
      <c r="AU1204">
        <v>5.8360000000000003</v>
      </c>
      <c r="AV1204" t="s">
        <v>4422</v>
      </c>
      <c r="AW1204" t="s">
        <v>3234</v>
      </c>
      <c r="AX1204" t="s">
        <v>4423</v>
      </c>
    </row>
    <row r="1205" spans="1:50" x14ac:dyDescent="0.25">
      <c r="A1205" t="s">
        <v>4424</v>
      </c>
      <c r="B1205" t="s">
        <v>1679</v>
      </c>
      <c r="C1205">
        <v>0</v>
      </c>
      <c r="D1205">
        <v>0</v>
      </c>
      <c r="E1205" t="s">
        <v>1725</v>
      </c>
      <c r="H1205">
        <v>0</v>
      </c>
      <c r="N1205">
        <v>1</v>
      </c>
      <c r="Q1205">
        <v>0</v>
      </c>
      <c r="R1205">
        <v>0</v>
      </c>
      <c r="U1205" t="s">
        <v>1687</v>
      </c>
      <c r="V1205">
        <v>49</v>
      </c>
      <c r="W1205" t="s">
        <v>1726</v>
      </c>
      <c r="X1205" t="s">
        <v>80</v>
      </c>
      <c r="Y1205">
        <v>0</v>
      </c>
      <c r="Z1205">
        <v>52.616999999999997</v>
      </c>
      <c r="AB1205" t="s">
        <v>74</v>
      </c>
      <c r="AD1205" t="s">
        <v>57</v>
      </c>
      <c r="AE1205">
        <v>0</v>
      </c>
      <c r="AF1205">
        <v>6</v>
      </c>
      <c r="AG1205">
        <v>1</v>
      </c>
      <c r="AH1205">
        <v>1.5</v>
      </c>
      <c r="AI1205">
        <v>512</v>
      </c>
      <c r="AJ1205">
        <v>512</v>
      </c>
      <c r="AK1205">
        <v>80</v>
      </c>
      <c r="AL1205" t="s">
        <v>66</v>
      </c>
      <c r="AM1205">
        <v>2</v>
      </c>
      <c r="AN1205" t="s">
        <v>996</v>
      </c>
      <c r="AO1205" t="s">
        <v>67</v>
      </c>
      <c r="AP1205" t="s">
        <v>68</v>
      </c>
      <c r="AQ1205">
        <v>15</v>
      </c>
      <c r="AR1205">
        <v>139</v>
      </c>
      <c r="AS1205">
        <v>279</v>
      </c>
      <c r="AT1205">
        <v>4.2</v>
      </c>
      <c r="AU1205">
        <v>7</v>
      </c>
      <c r="AV1205" t="s">
        <v>4425</v>
      </c>
      <c r="AW1205" t="s">
        <v>2361</v>
      </c>
      <c r="AX1205" t="s">
        <v>4426</v>
      </c>
    </row>
    <row r="1206" spans="1:50" x14ac:dyDescent="0.25">
      <c r="A1206" t="s">
        <v>4427</v>
      </c>
      <c r="B1206" t="s">
        <v>1679</v>
      </c>
      <c r="C1206">
        <v>0</v>
      </c>
      <c r="D1206">
        <v>0</v>
      </c>
      <c r="E1206" t="s">
        <v>1680</v>
      </c>
      <c r="H1206">
        <v>1</v>
      </c>
      <c r="N1206">
        <v>1</v>
      </c>
      <c r="Q1206">
        <v>0</v>
      </c>
      <c r="R1206">
        <v>0</v>
      </c>
      <c r="U1206" t="s">
        <v>1687</v>
      </c>
      <c r="V1206">
        <v>44</v>
      </c>
      <c r="W1206" t="s">
        <v>1726</v>
      </c>
      <c r="X1206" t="s">
        <v>80</v>
      </c>
      <c r="Y1206">
        <v>0</v>
      </c>
      <c r="AD1206" t="s">
        <v>57</v>
      </c>
      <c r="AE1206">
        <v>0</v>
      </c>
      <c r="AF1206">
        <v>6</v>
      </c>
      <c r="AG1206">
        <v>1</v>
      </c>
      <c r="AH1206">
        <v>3</v>
      </c>
      <c r="AI1206">
        <v>512</v>
      </c>
      <c r="AJ1206">
        <v>512</v>
      </c>
      <c r="AK1206">
        <v>134</v>
      </c>
      <c r="AL1206" t="s">
        <v>196</v>
      </c>
      <c r="AM1206">
        <v>2.4</v>
      </c>
      <c r="AN1206" t="s">
        <v>1786</v>
      </c>
      <c r="AO1206" t="s">
        <v>67</v>
      </c>
      <c r="AP1206" t="s">
        <v>68</v>
      </c>
      <c r="AQ1206">
        <v>15</v>
      </c>
      <c r="AR1206">
        <v>388</v>
      </c>
      <c r="AS1206">
        <v>776</v>
      </c>
      <c r="AT1206">
        <v>4.25</v>
      </c>
      <c r="AU1206">
        <v>8.5519999999999996</v>
      </c>
      <c r="AV1206" t="s">
        <v>2027</v>
      </c>
      <c r="AW1206" t="s">
        <v>3183</v>
      </c>
      <c r="AX1206" t="s">
        <v>4428</v>
      </c>
    </row>
    <row r="1207" spans="1:50" x14ac:dyDescent="0.25">
      <c r="A1207" t="s">
        <v>4429</v>
      </c>
      <c r="B1207" t="s">
        <v>1679</v>
      </c>
      <c r="C1207">
        <v>0</v>
      </c>
      <c r="D1207">
        <v>0</v>
      </c>
      <c r="E1207" t="s">
        <v>1839</v>
      </c>
      <c r="H1207">
        <v>1</v>
      </c>
      <c r="N1207">
        <v>0</v>
      </c>
      <c r="Q1207">
        <v>1</v>
      </c>
      <c r="R1207">
        <v>0</v>
      </c>
      <c r="U1207" t="s">
        <v>72</v>
      </c>
      <c r="V1207">
        <v>61</v>
      </c>
      <c r="W1207" t="s">
        <v>79</v>
      </c>
      <c r="X1207" t="s">
        <v>80</v>
      </c>
      <c r="Y1207">
        <v>0</v>
      </c>
      <c r="Z1207">
        <v>89</v>
      </c>
      <c r="AB1207" t="s">
        <v>118</v>
      </c>
      <c r="AD1207" t="s">
        <v>57</v>
      </c>
      <c r="AE1207">
        <v>0</v>
      </c>
      <c r="AF1207">
        <v>6</v>
      </c>
      <c r="AG1207">
        <v>1</v>
      </c>
      <c r="AH1207">
        <v>3</v>
      </c>
      <c r="AI1207">
        <v>416</v>
      </c>
      <c r="AJ1207">
        <v>416</v>
      </c>
      <c r="AK1207">
        <v>64</v>
      </c>
      <c r="AL1207" t="s">
        <v>3392</v>
      </c>
      <c r="AM1207">
        <v>2.5</v>
      </c>
      <c r="AN1207" t="s">
        <v>1114</v>
      </c>
      <c r="AO1207" t="s">
        <v>59</v>
      </c>
      <c r="AP1207" t="s">
        <v>1781</v>
      </c>
      <c r="AQ1207">
        <v>11</v>
      </c>
      <c r="AR1207">
        <v>173</v>
      </c>
      <c r="AS1207">
        <v>418</v>
      </c>
      <c r="AT1207">
        <v>1.46</v>
      </c>
      <c r="AU1207">
        <v>4.74</v>
      </c>
      <c r="AV1207" t="s">
        <v>4430</v>
      </c>
      <c r="AW1207" t="s">
        <v>4431</v>
      </c>
      <c r="AX1207" t="s">
        <v>4432</v>
      </c>
    </row>
    <row r="1208" spans="1:50" x14ac:dyDescent="0.25">
      <c r="A1208" t="s">
        <v>4433</v>
      </c>
      <c r="B1208" t="s">
        <v>1679</v>
      </c>
      <c r="C1208">
        <v>0</v>
      </c>
      <c r="D1208">
        <v>0</v>
      </c>
      <c r="E1208" t="s">
        <v>1703</v>
      </c>
      <c r="H1208">
        <v>1</v>
      </c>
      <c r="N1208">
        <v>0</v>
      </c>
      <c r="Q1208">
        <v>0</v>
      </c>
      <c r="R1208">
        <v>1</v>
      </c>
      <c r="U1208" t="s">
        <v>65</v>
      </c>
      <c r="V1208">
        <v>68</v>
      </c>
      <c r="X1208" t="s">
        <v>80</v>
      </c>
      <c r="Y1208">
        <v>0</v>
      </c>
      <c r="Z1208">
        <v>97</v>
      </c>
      <c r="AB1208" t="s">
        <v>56</v>
      </c>
      <c r="AD1208" t="s">
        <v>57</v>
      </c>
      <c r="AE1208">
        <v>0</v>
      </c>
      <c r="AF1208">
        <v>6</v>
      </c>
      <c r="AG1208">
        <v>1</v>
      </c>
      <c r="AH1208">
        <v>3</v>
      </c>
      <c r="AI1208">
        <v>512</v>
      </c>
      <c r="AJ1208">
        <v>512</v>
      </c>
      <c r="AK1208">
        <v>80</v>
      </c>
      <c r="AL1208" t="s">
        <v>196</v>
      </c>
      <c r="AM1208">
        <v>2</v>
      </c>
      <c r="AN1208" t="s">
        <v>1915</v>
      </c>
      <c r="AO1208" t="s">
        <v>67</v>
      </c>
      <c r="AP1208" t="s">
        <v>68</v>
      </c>
      <c r="AQ1208">
        <v>15</v>
      </c>
      <c r="AR1208">
        <v>382</v>
      </c>
      <c r="AS1208">
        <v>765</v>
      </c>
      <c r="AT1208">
        <v>2.1480000000000001</v>
      </c>
      <c r="AU1208">
        <v>5.01</v>
      </c>
      <c r="AV1208" t="s">
        <v>4434</v>
      </c>
      <c r="AW1208" t="s">
        <v>2689</v>
      </c>
      <c r="AX1208" t="s">
        <v>4435</v>
      </c>
    </row>
    <row r="1209" spans="1:50" x14ac:dyDescent="0.25">
      <c r="A1209" t="s">
        <v>4436</v>
      </c>
      <c r="B1209" t="s">
        <v>1679</v>
      </c>
      <c r="C1209">
        <v>0</v>
      </c>
      <c r="D1209">
        <v>0</v>
      </c>
      <c r="E1209" t="s">
        <v>1725</v>
      </c>
      <c r="H1209">
        <v>0</v>
      </c>
      <c r="N1209">
        <v>0</v>
      </c>
      <c r="Q1209">
        <v>0</v>
      </c>
      <c r="R1209">
        <v>1</v>
      </c>
      <c r="U1209" t="s">
        <v>65</v>
      </c>
      <c r="V1209">
        <v>51</v>
      </c>
      <c r="X1209" t="s">
        <v>80</v>
      </c>
      <c r="Y1209">
        <v>0</v>
      </c>
      <c r="Z1209">
        <v>62.63</v>
      </c>
      <c r="AB1209" t="s">
        <v>74</v>
      </c>
      <c r="AD1209" t="s">
        <v>57</v>
      </c>
      <c r="AE1209">
        <v>1</v>
      </c>
      <c r="AF1209">
        <v>6</v>
      </c>
      <c r="AG1209">
        <v>1</v>
      </c>
      <c r="AH1209">
        <v>1.5</v>
      </c>
      <c r="AI1209">
        <v>384</v>
      </c>
      <c r="AJ1209">
        <v>384</v>
      </c>
      <c r="AK1209">
        <v>176</v>
      </c>
      <c r="AL1209" t="s">
        <v>1800</v>
      </c>
      <c r="AM1209">
        <v>1.1000000238000001</v>
      </c>
      <c r="AN1209" t="s">
        <v>1720</v>
      </c>
      <c r="AO1209" t="s">
        <v>59</v>
      </c>
      <c r="AP1209" t="s">
        <v>60</v>
      </c>
      <c r="AQ1209">
        <v>11</v>
      </c>
      <c r="AR1209">
        <v>127</v>
      </c>
      <c r="AS1209">
        <v>226</v>
      </c>
      <c r="AT1209">
        <v>1.52</v>
      </c>
      <c r="AU1209">
        <v>4.1399999999999997</v>
      </c>
      <c r="AV1209" t="s">
        <v>4437</v>
      </c>
      <c r="AW1209" t="s">
        <v>2649</v>
      </c>
      <c r="AX1209" t="s">
        <v>4438</v>
      </c>
    </row>
    <row r="1210" spans="1:50" x14ac:dyDescent="0.25">
      <c r="A1210" t="s">
        <v>4439</v>
      </c>
      <c r="B1210" t="s">
        <v>1679</v>
      </c>
      <c r="C1210">
        <v>0</v>
      </c>
      <c r="D1210">
        <v>0</v>
      </c>
      <c r="E1210" t="s">
        <v>1680</v>
      </c>
      <c r="H1210">
        <v>0</v>
      </c>
      <c r="N1210">
        <v>1</v>
      </c>
      <c r="Q1210">
        <v>0</v>
      </c>
      <c r="R1210">
        <v>0</v>
      </c>
      <c r="U1210" t="s">
        <v>1687</v>
      </c>
      <c r="V1210">
        <v>45</v>
      </c>
      <c r="W1210" t="s">
        <v>1688</v>
      </c>
      <c r="X1210" t="s">
        <v>80</v>
      </c>
      <c r="Y1210">
        <v>0</v>
      </c>
      <c r="Z1210">
        <v>101.605</v>
      </c>
      <c r="AB1210" t="s">
        <v>56</v>
      </c>
      <c r="AD1210" t="s">
        <v>57</v>
      </c>
      <c r="AE1210">
        <v>0</v>
      </c>
      <c r="AF1210">
        <v>6</v>
      </c>
      <c r="AG1210">
        <v>1</v>
      </c>
      <c r="AH1210">
        <v>1.5</v>
      </c>
      <c r="AI1210">
        <v>512</v>
      </c>
      <c r="AJ1210">
        <v>512</v>
      </c>
      <c r="AK1210">
        <v>76</v>
      </c>
      <c r="AL1210" t="s">
        <v>331</v>
      </c>
      <c r="AM1210">
        <v>2.4</v>
      </c>
      <c r="AN1210" t="s">
        <v>1942</v>
      </c>
      <c r="AO1210" t="s">
        <v>67</v>
      </c>
      <c r="AP1210" t="s">
        <v>68</v>
      </c>
      <c r="AQ1210">
        <v>15</v>
      </c>
      <c r="AR1210">
        <v>413</v>
      </c>
      <c r="AS1210">
        <v>827</v>
      </c>
      <c r="AT1210">
        <v>3.06</v>
      </c>
      <c r="AU1210">
        <v>6.3319999999999999</v>
      </c>
      <c r="AV1210" t="s">
        <v>4440</v>
      </c>
      <c r="AW1210" t="s">
        <v>2609</v>
      </c>
      <c r="AX1210" t="s">
        <v>4441</v>
      </c>
    </row>
    <row r="1211" spans="1:50" x14ac:dyDescent="0.25">
      <c r="A1211" t="s">
        <v>4442</v>
      </c>
      <c r="B1211" t="s">
        <v>1679</v>
      </c>
      <c r="C1211">
        <v>0</v>
      </c>
      <c r="D1211">
        <v>0</v>
      </c>
      <c r="E1211" t="s">
        <v>1725</v>
      </c>
      <c r="H1211">
        <v>1</v>
      </c>
      <c r="N1211">
        <v>0</v>
      </c>
      <c r="Q1211">
        <v>0</v>
      </c>
      <c r="R1211">
        <v>1</v>
      </c>
      <c r="U1211" t="s">
        <v>65</v>
      </c>
      <c r="V1211">
        <v>45</v>
      </c>
      <c r="W1211" t="s">
        <v>1688</v>
      </c>
      <c r="X1211" t="s">
        <v>80</v>
      </c>
      <c r="Y1211">
        <v>0</v>
      </c>
      <c r="Z1211">
        <v>62.1421625949</v>
      </c>
      <c r="AB1211" t="s">
        <v>74</v>
      </c>
      <c r="AD1211" t="s">
        <v>57</v>
      </c>
      <c r="AE1211">
        <v>0</v>
      </c>
      <c r="AF1211">
        <v>6</v>
      </c>
      <c r="AG1211">
        <v>1</v>
      </c>
      <c r="AH1211">
        <v>1.5</v>
      </c>
      <c r="AI1211">
        <v>512</v>
      </c>
      <c r="AJ1211">
        <v>512</v>
      </c>
      <c r="AK1211">
        <v>80</v>
      </c>
      <c r="AL1211" t="s">
        <v>1010</v>
      </c>
      <c r="AM1211">
        <v>2</v>
      </c>
      <c r="AN1211" t="s">
        <v>1011</v>
      </c>
      <c r="AO1211" t="s">
        <v>59</v>
      </c>
      <c r="AP1211" t="s">
        <v>60</v>
      </c>
      <c r="AQ1211">
        <v>11</v>
      </c>
      <c r="AR1211">
        <v>60</v>
      </c>
      <c r="AS1211">
        <v>163</v>
      </c>
      <c r="AT1211">
        <v>1.67</v>
      </c>
      <c r="AU1211">
        <v>4.51</v>
      </c>
      <c r="AV1211" t="s">
        <v>4443</v>
      </c>
      <c r="AW1211" t="s">
        <v>4444</v>
      </c>
      <c r="AX1211" t="s">
        <v>4445</v>
      </c>
    </row>
    <row r="1212" spans="1:50" x14ac:dyDescent="0.25">
      <c r="A1212" t="s">
        <v>4446</v>
      </c>
      <c r="B1212" t="s">
        <v>1679</v>
      </c>
      <c r="C1212">
        <v>0</v>
      </c>
      <c r="D1212">
        <v>0</v>
      </c>
      <c r="E1212" t="s">
        <v>1734</v>
      </c>
      <c r="H1212">
        <v>0</v>
      </c>
      <c r="N1212">
        <v>1</v>
      </c>
      <c r="Q1212">
        <v>1</v>
      </c>
      <c r="R1212">
        <v>0</v>
      </c>
      <c r="U1212" t="s">
        <v>1735</v>
      </c>
      <c r="V1212">
        <v>51</v>
      </c>
      <c r="W1212" t="s">
        <v>1726</v>
      </c>
      <c r="X1212" t="s">
        <v>80</v>
      </c>
      <c r="Y1212">
        <v>0</v>
      </c>
      <c r="Z1212">
        <v>57.606000000000002</v>
      </c>
      <c r="AB1212" t="s">
        <v>74</v>
      </c>
      <c r="AD1212" t="s">
        <v>57</v>
      </c>
      <c r="AE1212">
        <v>0</v>
      </c>
      <c r="AF1212">
        <v>6</v>
      </c>
      <c r="AG1212">
        <v>1</v>
      </c>
      <c r="AH1212">
        <v>1.5</v>
      </c>
      <c r="AI1212">
        <v>512</v>
      </c>
      <c r="AJ1212">
        <v>512</v>
      </c>
      <c r="AK1212">
        <v>80</v>
      </c>
      <c r="AL1212" t="s">
        <v>81</v>
      </c>
      <c r="AM1212">
        <v>2</v>
      </c>
      <c r="AN1212" t="s">
        <v>996</v>
      </c>
      <c r="AO1212" t="s">
        <v>67</v>
      </c>
      <c r="AP1212" t="s">
        <v>68</v>
      </c>
      <c r="AQ1212">
        <v>15</v>
      </c>
      <c r="AR1212">
        <v>98</v>
      </c>
      <c r="AS1212">
        <v>196</v>
      </c>
      <c r="AT1212">
        <v>4.2</v>
      </c>
      <c r="AU1212">
        <v>7</v>
      </c>
      <c r="AV1212" t="s">
        <v>4216</v>
      </c>
      <c r="AW1212" t="s">
        <v>4447</v>
      </c>
      <c r="AX1212" t="s">
        <v>4448</v>
      </c>
    </row>
    <row r="1213" spans="1:50" x14ac:dyDescent="0.25">
      <c r="A1213" t="s">
        <v>4449</v>
      </c>
      <c r="B1213" t="s">
        <v>1679</v>
      </c>
      <c r="C1213">
        <v>0</v>
      </c>
      <c r="D1213">
        <v>0</v>
      </c>
      <c r="E1213" t="s">
        <v>1703</v>
      </c>
      <c r="H1213">
        <v>0</v>
      </c>
      <c r="N1213">
        <v>0</v>
      </c>
      <c r="Q1213">
        <v>0</v>
      </c>
      <c r="R1213">
        <v>1</v>
      </c>
      <c r="U1213" t="s">
        <v>65</v>
      </c>
      <c r="V1213">
        <v>49</v>
      </c>
      <c r="X1213" t="s">
        <v>80</v>
      </c>
      <c r="Y1213">
        <v>0</v>
      </c>
      <c r="Z1213">
        <v>80</v>
      </c>
      <c r="AB1213" t="s">
        <v>94</v>
      </c>
      <c r="AD1213" t="s">
        <v>57</v>
      </c>
      <c r="AE1213">
        <v>0</v>
      </c>
      <c r="AF1213">
        <v>6</v>
      </c>
      <c r="AG1213">
        <v>1</v>
      </c>
      <c r="AH1213">
        <v>1.5</v>
      </c>
      <c r="AI1213">
        <v>400</v>
      </c>
      <c r="AJ1213">
        <v>400</v>
      </c>
      <c r="AK1213">
        <v>64</v>
      </c>
      <c r="AL1213" t="s">
        <v>1924</v>
      </c>
      <c r="AM1213">
        <v>2.5</v>
      </c>
      <c r="AN1213" t="s">
        <v>1531</v>
      </c>
      <c r="AO1213" t="s">
        <v>1155</v>
      </c>
      <c r="AP1213" t="s">
        <v>1767</v>
      </c>
      <c r="AQ1213">
        <v>11</v>
      </c>
      <c r="AR1213">
        <v>984</v>
      </c>
      <c r="AS1213">
        <v>1710</v>
      </c>
      <c r="AT1213">
        <v>2.597</v>
      </c>
      <c r="AU1213">
        <v>5.2074999999999996</v>
      </c>
      <c r="AV1213" t="s">
        <v>4450</v>
      </c>
      <c r="AW1213" t="s">
        <v>4451</v>
      </c>
      <c r="AX1213" t="s">
        <v>4452</v>
      </c>
    </row>
    <row r="1214" spans="1:50" x14ac:dyDescent="0.25">
      <c r="A1214" t="s">
        <v>4453</v>
      </c>
      <c r="B1214" t="s">
        <v>1679</v>
      </c>
      <c r="C1214">
        <v>0</v>
      </c>
      <c r="D1214">
        <v>0</v>
      </c>
      <c r="E1214" t="s">
        <v>1680</v>
      </c>
      <c r="H1214">
        <v>1</v>
      </c>
      <c r="N1214">
        <v>0</v>
      </c>
      <c r="Q1214">
        <v>0</v>
      </c>
      <c r="R1214">
        <v>1</v>
      </c>
      <c r="U1214" t="s">
        <v>65</v>
      </c>
      <c r="V1214">
        <v>56</v>
      </c>
      <c r="X1214" t="s">
        <v>80</v>
      </c>
      <c r="Y1214">
        <v>0</v>
      </c>
      <c r="AD1214" t="s">
        <v>57</v>
      </c>
      <c r="AE1214">
        <v>0</v>
      </c>
      <c r="AF1214">
        <v>6</v>
      </c>
      <c r="AG1214">
        <v>1</v>
      </c>
      <c r="AH1214">
        <v>1.5</v>
      </c>
      <c r="AI1214">
        <v>512</v>
      </c>
      <c r="AJ1214">
        <v>512</v>
      </c>
      <c r="AK1214">
        <v>65</v>
      </c>
      <c r="AL1214" t="s">
        <v>119</v>
      </c>
      <c r="AM1214">
        <v>2.2000000000000002</v>
      </c>
      <c r="AN1214" t="s">
        <v>1072</v>
      </c>
      <c r="AO1214" t="s">
        <v>67</v>
      </c>
      <c r="AP1214" t="s">
        <v>68</v>
      </c>
      <c r="AQ1214">
        <v>15</v>
      </c>
      <c r="AR1214">
        <v>329</v>
      </c>
      <c r="AS1214">
        <v>658</v>
      </c>
      <c r="AT1214">
        <v>4.28</v>
      </c>
      <c r="AU1214">
        <v>8.7439999999999998</v>
      </c>
      <c r="AV1214" t="s">
        <v>4415</v>
      </c>
      <c r="AW1214" t="s">
        <v>4454</v>
      </c>
      <c r="AX1214" t="s">
        <v>4455</v>
      </c>
    </row>
    <row r="1215" spans="1:50" x14ac:dyDescent="0.25">
      <c r="A1215" t="s">
        <v>4456</v>
      </c>
      <c r="B1215" t="s">
        <v>1679</v>
      </c>
      <c r="C1215">
        <v>0</v>
      </c>
      <c r="D1215">
        <v>1</v>
      </c>
      <c r="E1215" t="s">
        <v>1703</v>
      </c>
      <c r="H1215">
        <v>0</v>
      </c>
      <c r="N1215">
        <v>1</v>
      </c>
      <c r="Q1215">
        <v>0</v>
      </c>
      <c r="R1215">
        <v>0</v>
      </c>
      <c r="U1215" t="s">
        <v>1687</v>
      </c>
      <c r="V1215">
        <v>35</v>
      </c>
      <c r="W1215" t="s">
        <v>1688</v>
      </c>
      <c r="X1215" t="s">
        <v>80</v>
      </c>
      <c r="Y1215">
        <v>0</v>
      </c>
      <c r="Z1215">
        <v>60.328000000000003</v>
      </c>
      <c r="AB1215" t="s">
        <v>74</v>
      </c>
      <c r="AD1215" t="s">
        <v>57</v>
      </c>
      <c r="AE1215">
        <v>0</v>
      </c>
      <c r="AF1215">
        <v>6</v>
      </c>
      <c r="AG1215">
        <v>1</v>
      </c>
      <c r="AH1215">
        <v>1.5</v>
      </c>
      <c r="AI1215">
        <v>512</v>
      </c>
      <c r="AJ1215">
        <v>512</v>
      </c>
      <c r="AK1215">
        <v>80</v>
      </c>
      <c r="AL1215" t="s">
        <v>66</v>
      </c>
      <c r="AM1215">
        <v>2</v>
      </c>
      <c r="AN1215" t="s">
        <v>996</v>
      </c>
      <c r="AO1215" t="s">
        <v>67</v>
      </c>
      <c r="AP1215" t="s">
        <v>68</v>
      </c>
      <c r="AQ1215">
        <v>15</v>
      </c>
      <c r="AR1215">
        <v>231</v>
      </c>
      <c r="AS1215">
        <v>462</v>
      </c>
      <c r="AT1215">
        <v>4.2</v>
      </c>
      <c r="AU1215">
        <v>7.0119999999999996</v>
      </c>
      <c r="AV1215" t="s">
        <v>4457</v>
      </c>
      <c r="AW1215" t="s">
        <v>3710</v>
      </c>
      <c r="AX1215" t="s">
        <v>4458</v>
      </c>
    </row>
    <row r="1216" spans="1:50" x14ac:dyDescent="0.25">
      <c r="A1216" t="s">
        <v>4459</v>
      </c>
      <c r="B1216" t="s">
        <v>1679</v>
      </c>
      <c r="C1216">
        <v>0</v>
      </c>
      <c r="D1216">
        <v>0</v>
      </c>
      <c r="E1216" t="s">
        <v>1740</v>
      </c>
      <c r="H1216">
        <v>0</v>
      </c>
      <c r="N1216">
        <v>1</v>
      </c>
      <c r="Q1216">
        <v>0</v>
      </c>
      <c r="R1216">
        <v>1</v>
      </c>
      <c r="U1216" t="s">
        <v>1687</v>
      </c>
      <c r="V1216">
        <v>54</v>
      </c>
      <c r="W1216" t="s">
        <v>79</v>
      </c>
      <c r="X1216" t="s">
        <v>80</v>
      </c>
      <c r="Y1216">
        <v>0</v>
      </c>
      <c r="Z1216">
        <v>61</v>
      </c>
      <c r="AB1216" t="s">
        <v>74</v>
      </c>
      <c r="AD1216" t="s">
        <v>57</v>
      </c>
      <c r="AE1216">
        <v>0</v>
      </c>
      <c r="AF1216">
        <v>6</v>
      </c>
      <c r="AG1216">
        <v>1</v>
      </c>
      <c r="AH1216">
        <v>3</v>
      </c>
      <c r="AI1216">
        <v>640</v>
      </c>
      <c r="AJ1216">
        <v>640</v>
      </c>
      <c r="AK1216">
        <v>160</v>
      </c>
      <c r="AL1216" t="s">
        <v>2431</v>
      </c>
      <c r="AM1216">
        <v>2</v>
      </c>
      <c r="AN1216" t="s">
        <v>1877</v>
      </c>
      <c r="AO1216" t="s">
        <v>1155</v>
      </c>
      <c r="AP1216" t="s">
        <v>1305</v>
      </c>
      <c r="AQ1216">
        <v>11</v>
      </c>
      <c r="AR1216">
        <v>704</v>
      </c>
      <c r="AS1216">
        <v>1224</v>
      </c>
      <c r="AT1216">
        <v>4.6040000000000001</v>
      </c>
      <c r="AU1216">
        <v>7.4</v>
      </c>
      <c r="AV1216" t="s">
        <v>4460</v>
      </c>
      <c r="AW1216" t="s">
        <v>4461</v>
      </c>
      <c r="AX1216" t="s">
        <v>4462</v>
      </c>
    </row>
    <row r="1217" spans="1:50" x14ac:dyDescent="0.25">
      <c r="A1217" t="s">
        <v>4463</v>
      </c>
      <c r="B1217" t="s">
        <v>1679</v>
      </c>
      <c r="C1217">
        <v>0</v>
      </c>
      <c r="D1217">
        <v>0</v>
      </c>
      <c r="E1217" t="s">
        <v>1693</v>
      </c>
      <c r="H1217">
        <v>1</v>
      </c>
      <c r="N1217">
        <v>0</v>
      </c>
      <c r="Q1217">
        <v>0</v>
      </c>
      <c r="R1217">
        <v>1</v>
      </c>
      <c r="U1217" t="s">
        <v>65</v>
      </c>
      <c r="V1217">
        <v>44</v>
      </c>
      <c r="W1217" t="s">
        <v>1688</v>
      </c>
      <c r="X1217" t="s">
        <v>55</v>
      </c>
      <c r="Y1217">
        <v>0</v>
      </c>
      <c r="AD1217" t="s">
        <v>57</v>
      </c>
      <c r="AE1217">
        <v>1</v>
      </c>
      <c r="AF1217">
        <v>6</v>
      </c>
      <c r="AG1217">
        <v>1</v>
      </c>
      <c r="AH1217">
        <v>1.5</v>
      </c>
      <c r="AI1217">
        <v>384</v>
      </c>
      <c r="AJ1217">
        <v>384</v>
      </c>
      <c r="AK1217">
        <v>160</v>
      </c>
      <c r="AL1217" t="s">
        <v>1800</v>
      </c>
      <c r="AM1217">
        <v>1</v>
      </c>
      <c r="AN1217" t="s">
        <v>1728</v>
      </c>
      <c r="AO1217" t="s">
        <v>59</v>
      </c>
      <c r="AP1217" t="s">
        <v>1729</v>
      </c>
      <c r="AQ1217">
        <v>11</v>
      </c>
      <c r="AR1217">
        <v>54</v>
      </c>
      <c r="AS1217">
        <v>144</v>
      </c>
      <c r="AT1217">
        <v>1.81</v>
      </c>
      <c r="AU1217">
        <v>5.05</v>
      </c>
      <c r="AV1217" t="s">
        <v>1730</v>
      </c>
      <c r="AW1217" t="s">
        <v>2897</v>
      </c>
      <c r="AX1217" t="s">
        <v>4464</v>
      </c>
    </row>
    <row r="1218" spans="1:50" x14ac:dyDescent="0.25">
      <c r="A1218" t="s">
        <v>4465</v>
      </c>
      <c r="B1218" t="s">
        <v>1679</v>
      </c>
      <c r="C1218">
        <v>0</v>
      </c>
      <c r="D1218">
        <v>0</v>
      </c>
      <c r="E1218" t="s">
        <v>1734</v>
      </c>
      <c r="H1218">
        <v>1</v>
      </c>
      <c r="N1218">
        <v>1</v>
      </c>
      <c r="Q1218">
        <v>1</v>
      </c>
      <c r="R1218">
        <v>0</v>
      </c>
      <c r="U1218" t="s">
        <v>1735</v>
      </c>
      <c r="V1218">
        <v>47</v>
      </c>
      <c r="W1218" t="s">
        <v>1688</v>
      </c>
      <c r="X1218" t="s">
        <v>111</v>
      </c>
      <c r="Y1218">
        <v>0</v>
      </c>
      <c r="Z1218">
        <v>59.874000000000002</v>
      </c>
      <c r="AB1218" t="s">
        <v>74</v>
      </c>
      <c r="AD1218" t="s">
        <v>57</v>
      </c>
      <c r="AE1218">
        <v>0</v>
      </c>
      <c r="AF1218">
        <v>6</v>
      </c>
      <c r="AG1218">
        <v>1</v>
      </c>
      <c r="AH1218">
        <v>1.5</v>
      </c>
      <c r="AI1218">
        <v>512</v>
      </c>
      <c r="AJ1218">
        <v>512</v>
      </c>
      <c r="AK1218">
        <v>80</v>
      </c>
      <c r="AL1218" t="s">
        <v>81</v>
      </c>
      <c r="AM1218">
        <v>2</v>
      </c>
      <c r="AN1218" t="s">
        <v>996</v>
      </c>
      <c r="AO1218" t="s">
        <v>67</v>
      </c>
      <c r="AP1218" t="s">
        <v>68</v>
      </c>
      <c r="AQ1218">
        <v>15</v>
      </c>
      <c r="AR1218">
        <v>112</v>
      </c>
      <c r="AS1218">
        <v>225</v>
      </c>
      <c r="AT1218">
        <v>4.2</v>
      </c>
      <c r="AU1218">
        <v>7</v>
      </c>
      <c r="AV1218" t="s">
        <v>4466</v>
      </c>
      <c r="AW1218" t="s">
        <v>3971</v>
      </c>
      <c r="AX1218" t="s">
        <v>4467</v>
      </c>
    </row>
    <row r="1219" spans="1:50" x14ac:dyDescent="0.25">
      <c r="A1219" t="s">
        <v>4468</v>
      </c>
      <c r="B1219" t="s">
        <v>1679</v>
      </c>
      <c r="C1219">
        <v>0</v>
      </c>
      <c r="D1219">
        <v>0</v>
      </c>
      <c r="E1219" t="s">
        <v>1680</v>
      </c>
      <c r="H1219">
        <v>0</v>
      </c>
      <c r="N1219">
        <v>0</v>
      </c>
      <c r="Q1219">
        <v>0</v>
      </c>
      <c r="R1219">
        <v>1</v>
      </c>
      <c r="U1219" t="s">
        <v>65</v>
      </c>
      <c r="V1219">
        <v>54</v>
      </c>
      <c r="W1219" t="s">
        <v>79</v>
      </c>
      <c r="X1219" t="s">
        <v>80</v>
      </c>
      <c r="Y1219">
        <v>0</v>
      </c>
      <c r="Z1219">
        <v>66</v>
      </c>
      <c r="AB1219" t="s">
        <v>74</v>
      </c>
      <c r="AD1219" t="s">
        <v>57</v>
      </c>
      <c r="AE1219">
        <v>0</v>
      </c>
      <c r="AF1219">
        <v>6</v>
      </c>
      <c r="AG1219">
        <v>1</v>
      </c>
      <c r="AH1219">
        <v>1.5</v>
      </c>
      <c r="AI1219">
        <v>512</v>
      </c>
      <c r="AJ1219">
        <v>512</v>
      </c>
      <c r="AK1219">
        <v>180</v>
      </c>
      <c r="AL1219" t="s">
        <v>1010</v>
      </c>
      <c r="AM1219">
        <v>2</v>
      </c>
      <c r="AN1219" t="s">
        <v>1154</v>
      </c>
      <c r="AO1219" t="s">
        <v>1155</v>
      </c>
      <c r="AP1219" t="s">
        <v>1305</v>
      </c>
      <c r="AQ1219">
        <v>11</v>
      </c>
      <c r="AR1219">
        <v>775</v>
      </c>
      <c r="AS1219">
        <v>1348</v>
      </c>
      <c r="AT1219">
        <v>2.8140000000000001</v>
      </c>
      <c r="AU1219">
        <v>5.4090999999999996</v>
      </c>
      <c r="AV1219" t="s">
        <v>4469</v>
      </c>
      <c r="AW1219" t="s">
        <v>4470</v>
      </c>
      <c r="AX1219" t="s">
        <v>4471</v>
      </c>
    </row>
    <row r="1220" spans="1:50" x14ac:dyDescent="0.25">
      <c r="A1220" t="s">
        <v>4472</v>
      </c>
      <c r="B1220" t="s">
        <v>1679</v>
      </c>
      <c r="C1220">
        <v>0</v>
      </c>
      <c r="D1220">
        <v>0</v>
      </c>
      <c r="E1220" t="s">
        <v>1780</v>
      </c>
      <c r="H1220">
        <v>0</v>
      </c>
      <c r="N1220">
        <v>0</v>
      </c>
      <c r="Q1220">
        <v>0</v>
      </c>
      <c r="R1220">
        <v>0</v>
      </c>
      <c r="U1220" t="s">
        <v>65</v>
      </c>
      <c r="V1220">
        <v>57</v>
      </c>
      <c r="W1220" t="s">
        <v>79</v>
      </c>
      <c r="X1220" t="s">
        <v>55</v>
      </c>
      <c r="Y1220">
        <v>0</v>
      </c>
      <c r="Z1220">
        <v>121.1091781959</v>
      </c>
      <c r="AB1220" t="s">
        <v>269</v>
      </c>
      <c r="AD1220" t="s">
        <v>57</v>
      </c>
      <c r="AE1220">
        <v>0</v>
      </c>
      <c r="AF1220">
        <v>6</v>
      </c>
      <c r="AG1220">
        <v>1</v>
      </c>
      <c r="AH1220">
        <v>1.5</v>
      </c>
      <c r="AI1220">
        <v>512</v>
      </c>
      <c r="AJ1220">
        <v>512</v>
      </c>
      <c r="AK1220">
        <v>90</v>
      </c>
      <c r="AL1220" t="s">
        <v>1821</v>
      </c>
      <c r="AM1220">
        <v>2</v>
      </c>
      <c r="AN1220" t="s">
        <v>1011</v>
      </c>
      <c r="AO1220" t="s">
        <v>59</v>
      </c>
      <c r="AP1220" t="s">
        <v>2388</v>
      </c>
      <c r="AQ1220">
        <v>11</v>
      </c>
      <c r="AR1220">
        <v>64</v>
      </c>
      <c r="AS1220">
        <v>174</v>
      </c>
      <c r="AT1220">
        <v>1.91</v>
      </c>
      <c r="AU1220">
        <v>5.07</v>
      </c>
      <c r="AV1220" t="s">
        <v>4473</v>
      </c>
      <c r="AW1220" t="s">
        <v>4474</v>
      </c>
      <c r="AX1220" t="s">
        <v>4475</v>
      </c>
    </row>
    <row r="1221" spans="1:50" x14ac:dyDescent="0.25">
      <c r="A1221" t="s">
        <v>4476</v>
      </c>
      <c r="B1221" t="s">
        <v>1679</v>
      </c>
      <c r="C1221">
        <v>0</v>
      </c>
      <c r="D1221">
        <v>0</v>
      </c>
      <c r="E1221" t="s">
        <v>1686</v>
      </c>
      <c r="H1221">
        <v>0</v>
      </c>
      <c r="N1221">
        <v>0</v>
      </c>
      <c r="Q1221">
        <v>0</v>
      </c>
      <c r="R1221">
        <v>1</v>
      </c>
      <c r="U1221" t="s">
        <v>65</v>
      </c>
      <c r="V1221">
        <v>61</v>
      </c>
      <c r="W1221" t="s">
        <v>79</v>
      </c>
      <c r="X1221" t="s">
        <v>80</v>
      </c>
      <c r="Y1221">
        <v>0</v>
      </c>
      <c r="Z1221">
        <v>59</v>
      </c>
      <c r="AB1221" t="s">
        <v>74</v>
      </c>
      <c r="AD1221" t="s">
        <v>57</v>
      </c>
      <c r="AE1221">
        <v>0</v>
      </c>
      <c r="AF1221">
        <v>6</v>
      </c>
      <c r="AG1221">
        <v>1</v>
      </c>
      <c r="AH1221">
        <v>1.5</v>
      </c>
      <c r="AI1221">
        <v>512</v>
      </c>
      <c r="AJ1221">
        <v>512</v>
      </c>
      <c r="AK1221">
        <v>158</v>
      </c>
      <c r="AL1221" t="s">
        <v>1876</v>
      </c>
      <c r="AM1221">
        <v>2</v>
      </c>
      <c r="AN1221" t="s">
        <v>1877</v>
      </c>
      <c r="AO1221" t="s">
        <v>1155</v>
      </c>
      <c r="AP1221" t="s">
        <v>1767</v>
      </c>
      <c r="AQ1221">
        <v>11</v>
      </c>
      <c r="AR1221">
        <v>401</v>
      </c>
      <c r="AS1221">
        <v>697</v>
      </c>
      <c r="AT1221">
        <v>3.5459999999999998</v>
      </c>
      <c r="AU1221">
        <v>7.1877000000000004</v>
      </c>
      <c r="AV1221" t="s">
        <v>2273</v>
      </c>
      <c r="AW1221" t="s">
        <v>4477</v>
      </c>
      <c r="AX1221" t="s">
        <v>4478</v>
      </c>
    </row>
    <row r="1222" spans="1:50" x14ac:dyDescent="0.25">
      <c r="A1222" t="s">
        <v>4479</v>
      </c>
      <c r="B1222" t="s">
        <v>1679</v>
      </c>
      <c r="C1222">
        <v>0</v>
      </c>
      <c r="D1222">
        <v>0</v>
      </c>
      <c r="E1222" t="s">
        <v>1703</v>
      </c>
      <c r="H1222">
        <v>0</v>
      </c>
      <c r="N1222">
        <v>1</v>
      </c>
      <c r="Q1222">
        <v>0</v>
      </c>
      <c r="R1222">
        <v>0</v>
      </c>
      <c r="U1222" t="s">
        <v>1687</v>
      </c>
      <c r="V1222">
        <v>46</v>
      </c>
      <c r="W1222" t="s">
        <v>1704</v>
      </c>
      <c r="X1222" t="s">
        <v>55</v>
      </c>
      <c r="Y1222">
        <v>0</v>
      </c>
      <c r="Z1222">
        <v>68.038864154999999</v>
      </c>
      <c r="AA1222">
        <v>1.4986029992000001</v>
      </c>
      <c r="AB1222" t="s">
        <v>118</v>
      </c>
      <c r="AD1222" t="s">
        <v>57</v>
      </c>
      <c r="AE1222">
        <v>1</v>
      </c>
      <c r="AF1222">
        <v>6</v>
      </c>
      <c r="AG1222">
        <v>1</v>
      </c>
      <c r="AH1222">
        <v>1.5</v>
      </c>
      <c r="AI1222">
        <v>384</v>
      </c>
      <c r="AJ1222">
        <v>384</v>
      </c>
      <c r="AK1222">
        <v>176</v>
      </c>
      <c r="AL1222" t="s">
        <v>1727</v>
      </c>
      <c r="AM1222">
        <v>1</v>
      </c>
      <c r="AN1222" t="s">
        <v>1728</v>
      </c>
      <c r="AO1222" t="s">
        <v>59</v>
      </c>
      <c r="AP1222" t="s">
        <v>1729</v>
      </c>
      <c r="AQ1222">
        <v>15</v>
      </c>
      <c r="AR1222">
        <v>54</v>
      </c>
      <c r="AS1222">
        <v>145</v>
      </c>
      <c r="AT1222">
        <v>1.81</v>
      </c>
      <c r="AU1222">
        <v>4.82</v>
      </c>
      <c r="AV1222" t="s">
        <v>4480</v>
      </c>
      <c r="AW1222" t="s">
        <v>4481</v>
      </c>
      <c r="AX1222" t="s">
        <v>4482</v>
      </c>
    </row>
    <row r="1223" spans="1:50" x14ac:dyDescent="0.25">
      <c r="A1223" t="s">
        <v>4483</v>
      </c>
      <c r="B1223" t="s">
        <v>1679</v>
      </c>
      <c r="C1223">
        <v>0</v>
      </c>
      <c r="D1223">
        <v>0</v>
      </c>
      <c r="E1223" t="s">
        <v>1703</v>
      </c>
      <c r="H1223">
        <v>1</v>
      </c>
      <c r="N1223">
        <v>1</v>
      </c>
      <c r="Q1223">
        <v>0</v>
      </c>
      <c r="R1223">
        <v>1</v>
      </c>
      <c r="U1223" t="s">
        <v>1687</v>
      </c>
      <c r="V1223">
        <v>34</v>
      </c>
      <c r="W1223" t="s">
        <v>1688</v>
      </c>
      <c r="X1223" t="s">
        <v>80</v>
      </c>
      <c r="Y1223">
        <v>0</v>
      </c>
      <c r="Z1223">
        <v>77</v>
      </c>
      <c r="AB1223" t="s">
        <v>94</v>
      </c>
      <c r="AD1223" t="s">
        <v>57</v>
      </c>
      <c r="AE1223">
        <v>1</v>
      </c>
      <c r="AF1223">
        <v>6</v>
      </c>
      <c r="AG1223">
        <v>1</v>
      </c>
      <c r="AH1223">
        <v>1.5</v>
      </c>
      <c r="AI1223">
        <v>400</v>
      </c>
      <c r="AJ1223">
        <v>400</v>
      </c>
      <c r="AK1223">
        <v>72</v>
      </c>
      <c r="AL1223" t="s">
        <v>1924</v>
      </c>
      <c r="AM1223">
        <v>2.5</v>
      </c>
      <c r="AN1223" t="s">
        <v>1531</v>
      </c>
      <c r="AO1223" t="s">
        <v>1155</v>
      </c>
      <c r="AP1223" t="s">
        <v>1767</v>
      </c>
      <c r="AQ1223">
        <v>11</v>
      </c>
      <c r="AR1223">
        <v>74.22</v>
      </c>
      <c r="AS1223">
        <v>128.97999999999999</v>
      </c>
      <c r="AT1223">
        <v>2.5979999999999999</v>
      </c>
      <c r="AU1223">
        <v>5.2080000000000002</v>
      </c>
      <c r="AV1223" t="s">
        <v>4484</v>
      </c>
      <c r="AW1223" t="s">
        <v>4485</v>
      </c>
      <c r="AX1223" t="s">
        <v>4486</v>
      </c>
    </row>
    <row r="1224" spans="1:50" x14ac:dyDescent="0.25">
      <c r="A1224" t="s">
        <v>4487</v>
      </c>
      <c r="B1224" t="s">
        <v>1679</v>
      </c>
      <c r="C1224">
        <v>0</v>
      </c>
      <c r="D1224">
        <v>0</v>
      </c>
      <c r="E1224" t="s">
        <v>1780</v>
      </c>
      <c r="H1224">
        <v>1</v>
      </c>
      <c r="N1224">
        <v>0</v>
      </c>
      <c r="Q1224">
        <v>0</v>
      </c>
      <c r="R1224">
        <v>1</v>
      </c>
      <c r="U1224" t="s">
        <v>65</v>
      </c>
      <c r="V1224">
        <v>48</v>
      </c>
      <c r="W1224" t="s">
        <v>79</v>
      </c>
      <c r="X1224" t="s">
        <v>80</v>
      </c>
      <c r="Y1224">
        <v>0</v>
      </c>
      <c r="Z1224">
        <v>63.502939877999999</v>
      </c>
      <c r="AA1224">
        <v>1.5240030499999999</v>
      </c>
      <c r="AB1224" t="s">
        <v>94</v>
      </c>
      <c r="AD1224" t="s">
        <v>57</v>
      </c>
      <c r="AE1224">
        <v>0</v>
      </c>
      <c r="AF1224">
        <v>6</v>
      </c>
      <c r="AG1224">
        <v>1</v>
      </c>
      <c r="AH1224">
        <v>1.5</v>
      </c>
      <c r="AI1224">
        <v>256</v>
      </c>
      <c r="AJ1224">
        <v>256</v>
      </c>
      <c r="AK1224">
        <v>160</v>
      </c>
      <c r="AL1224" t="s">
        <v>1800</v>
      </c>
      <c r="AM1224">
        <v>1</v>
      </c>
      <c r="AN1224" t="s">
        <v>1728</v>
      </c>
      <c r="AO1224" t="s">
        <v>59</v>
      </c>
      <c r="AP1224" t="s">
        <v>1729</v>
      </c>
      <c r="AQ1224">
        <v>15</v>
      </c>
      <c r="AR1224">
        <v>52</v>
      </c>
      <c r="AS1224">
        <v>140</v>
      </c>
      <c r="AT1224">
        <v>1.81</v>
      </c>
      <c r="AU1224">
        <v>5.01</v>
      </c>
      <c r="AV1224" t="s">
        <v>4488</v>
      </c>
      <c r="AW1224" t="s">
        <v>3406</v>
      </c>
      <c r="AX1224" t="s">
        <v>4489</v>
      </c>
    </row>
    <row r="1225" spans="1:50" x14ac:dyDescent="0.25">
      <c r="A1225" t="s">
        <v>4490</v>
      </c>
      <c r="B1225" t="s">
        <v>1679</v>
      </c>
      <c r="C1225">
        <v>0</v>
      </c>
      <c r="D1225">
        <v>0</v>
      </c>
      <c r="E1225" t="s">
        <v>1680</v>
      </c>
      <c r="H1225">
        <v>0</v>
      </c>
      <c r="N1225">
        <v>1</v>
      </c>
      <c r="Q1225">
        <v>0</v>
      </c>
      <c r="R1225">
        <v>0</v>
      </c>
      <c r="U1225" t="s">
        <v>1687</v>
      </c>
      <c r="V1225">
        <v>54</v>
      </c>
      <c r="X1225" t="s">
        <v>80</v>
      </c>
      <c r="Y1225">
        <v>0</v>
      </c>
      <c r="AD1225" t="s">
        <v>57</v>
      </c>
      <c r="AE1225">
        <v>0</v>
      </c>
      <c r="AF1225">
        <v>6</v>
      </c>
      <c r="AG1225">
        <v>1</v>
      </c>
      <c r="AH1225">
        <v>1.5</v>
      </c>
      <c r="AI1225">
        <v>512</v>
      </c>
      <c r="AJ1225">
        <v>512</v>
      </c>
      <c r="AK1225">
        <v>72</v>
      </c>
      <c r="AL1225" t="s">
        <v>119</v>
      </c>
      <c r="AM1225">
        <v>2.2000000000000002</v>
      </c>
      <c r="AN1225" t="s">
        <v>1072</v>
      </c>
      <c r="AO1225" t="s">
        <v>67</v>
      </c>
      <c r="AP1225" t="s">
        <v>68</v>
      </c>
      <c r="AQ1225">
        <v>15</v>
      </c>
      <c r="AR1225">
        <v>215</v>
      </c>
      <c r="AS1225">
        <v>430</v>
      </c>
      <c r="AT1225">
        <v>4.2359999999999998</v>
      </c>
      <c r="AU1225">
        <v>8.6679999999999993</v>
      </c>
      <c r="AV1225" t="s">
        <v>4491</v>
      </c>
      <c r="AW1225" t="s">
        <v>4098</v>
      </c>
      <c r="AX1225" t="s">
        <v>4492</v>
      </c>
    </row>
    <row r="1226" spans="1:50" x14ac:dyDescent="0.25">
      <c r="A1226" t="s">
        <v>4493</v>
      </c>
      <c r="B1226" t="s">
        <v>1679</v>
      </c>
      <c r="C1226">
        <v>0</v>
      </c>
      <c r="D1226">
        <v>0</v>
      </c>
      <c r="E1226" t="s">
        <v>1703</v>
      </c>
      <c r="H1226">
        <v>0</v>
      </c>
      <c r="N1226">
        <v>1</v>
      </c>
      <c r="Q1226">
        <v>0</v>
      </c>
      <c r="R1226">
        <v>1</v>
      </c>
      <c r="U1226" t="s">
        <v>1687</v>
      </c>
      <c r="V1226">
        <v>31</v>
      </c>
      <c r="W1226" t="s">
        <v>1704</v>
      </c>
      <c r="X1226" t="s">
        <v>55</v>
      </c>
      <c r="Y1226">
        <v>0</v>
      </c>
      <c r="Z1226">
        <v>111.13</v>
      </c>
      <c r="AB1226" t="s">
        <v>269</v>
      </c>
      <c r="AD1226" t="s">
        <v>57</v>
      </c>
      <c r="AE1226">
        <v>0</v>
      </c>
      <c r="AF1226">
        <v>6</v>
      </c>
      <c r="AG1226">
        <v>1</v>
      </c>
      <c r="AH1226">
        <v>1.5</v>
      </c>
      <c r="AI1226">
        <v>512</v>
      </c>
      <c r="AJ1226">
        <v>512</v>
      </c>
      <c r="AK1226">
        <v>66</v>
      </c>
      <c r="AL1226" t="s">
        <v>81</v>
      </c>
      <c r="AM1226">
        <v>2.4</v>
      </c>
      <c r="AN1226" t="s">
        <v>1942</v>
      </c>
      <c r="AO1226" t="s">
        <v>67</v>
      </c>
      <c r="AP1226" t="s">
        <v>68</v>
      </c>
      <c r="AQ1226">
        <v>15</v>
      </c>
      <c r="AR1226">
        <v>467</v>
      </c>
      <c r="AS1226">
        <v>935</v>
      </c>
      <c r="AT1226">
        <v>2.96</v>
      </c>
      <c r="AU1226">
        <v>6.1920000000000002</v>
      </c>
      <c r="AV1226" t="s">
        <v>4494</v>
      </c>
      <c r="AW1226" t="s">
        <v>4495</v>
      </c>
      <c r="AX1226" t="s">
        <v>4496</v>
      </c>
    </row>
    <row r="1227" spans="1:50" x14ac:dyDescent="0.25">
      <c r="A1227" t="s">
        <v>4497</v>
      </c>
      <c r="B1227" t="s">
        <v>1679</v>
      </c>
      <c r="C1227">
        <v>0</v>
      </c>
      <c r="D1227">
        <v>0</v>
      </c>
      <c r="E1227" t="s">
        <v>1839</v>
      </c>
      <c r="H1227">
        <v>1</v>
      </c>
      <c r="N1227">
        <v>1</v>
      </c>
      <c r="Q1227">
        <v>1</v>
      </c>
      <c r="R1227">
        <v>1</v>
      </c>
      <c r="U1227" t="s">
        <v>1735</v>
      </c>
      <c r="V1227">
        <v>57</v>
      </c>
      <c r="W1227" t="s">
        <v>79</v>
      </c>
      <c r="X1227" t="s">
        <v>80</v>
      </c>
      <c r="Y1227">
        <v>0</v>
      </c>
      <c r="Z1227">
        <v>53.524000000000001</v>
      </c>
      <c r="AB1227" t="s">
        <v>74</v>
      </c>
      <c r="AD1227" t="s">
        <v>57</v>
      </c>
      <c r="AE1227">
        <v>0</v>
      </c>
      <c r="AF1227">
        <v>6</v>
      </c>
      <c r="AG1227">
        <v>1</v>
      </c>
      <c r="AH1227">
        <v>1.5</v>
      </c>
      <c r="AI1227">
        <v>512</v>
      </c>
      <c r="AJ1227">
        <v>512</v>
      </c>
      <c r="AK1227">
        <v>80</v>
      </c>
      <c r="AL1227" t="s">
        <v>331</v>
      </c>
      <c r="AM1227">
        <v>2</v>
      </c>
      <c r="AN1227" t="s">
        <v>1681</v>
      </c>
      <c r="AO1227" t="s">
        <v>67</v>
      </c>
      <c r="AP1227" t="s">
        <v>68</v>
      </c>
      <c r="AQ1227">
        <v>15</v>
      </c>
      <c r="AR1227">
        <v>282</v>
      </c>
      <c r="AS1227">
        <v>564</v>
      </c>
      <c r="AT1227">
        <v>2.7559999999999998</v>
      </c>
      <c r="AU1227">
        <v>7.149</v>
      </c>
      <c r="AV1227" t="s">
        <v>4498</v>
      </c>
      <c r="AW1227" t="s">
        <v>1707</v>
      </c>
      <c r="AX1227" t="s">
        <v>4499</v>
      </c>
    </row>
    <row r="1228" spans="1:50" x14ac:dyDescent="0.25">
      <c r="A1228" t="s">
        <v>4500</v>
      </c>
      <c r="B1228" t="s">
        <v>1679</v>
      </c>
      <c r="C1228">
        <v>0</v>
      </c>
      <c r="D1228">
        <v>0</v>
      </c>
      <c r="E1228" t="s">
        <v>1686</v>
      </c>
      <c r="H1228">
        <v>0</v>
      </c>
      <c r="N1228">
        <v>1</v>
      </c>
      <c r="Q1228">
        <v>0</v>
      </c>
      <c r="R1228">
        <v>1</v>
      </c>
      <c r="U1228" t="s">
        <v>1687</v>
      </c>
      <c r="V1228">
        <v>41</v>
      </c>
      <c r="X1228" t="s">
        <v>80</v>
      </c>
      <c r="Y1228">
        <v>0</v>
      </c>
      <c r="Z1228">
        <v>66</v>
      </c>
      <c r="AB1228" t="s">
        <v>74</v>
      </c>
      <c r="AD1228" t="s">
        <v>57</v>
      </c>
      <c r="AE1228">
        <v>0</v>
      </c>
      <c r="AF1228">
        <v>6</v>
      </c>
      <c r="AG1228">
        <v>1</v>
      </c>
      <c r="AH1228">
        <v>3</v>
      </c>
      <c r="AI1228">
        <v>512</v>
      </c>
      <c r="AJ1228">
        <v>512</v>
      </c>
      <c r="AK1228">
        <v>80</v>
      </c>
      <c r="AL1228" t="s">
        <v>66</v>
      </c>
      <c r="AM1228">
        <v>2</v>
      </c>
      <c r="AN1228" t="s">
        <v>1915</v>
      </c>
      <c r="AO1228" t="s">
        <v>67</v>
      </c>
      <c r="AP1228" t="s">
        <v>68</v>
      </c>
      <c r="AQ1228">
        <v>15</v>
      </c>
      <c r="AR1228">
        <v>626</v>
      </c>
      <c r="AS1228">
        <v>1252</v>
      </c>
      <c r="AT1228">
        <v>2.1720000000000002</v>
      </c>
      <c r="AU1228">
        <v>5.5069999999999997</v>
      </c>
      <c r="AV1228" t="s">
        <v>4501</v>
      </c>
      <c r="AW1228" t="s">
        <v>3047</v>
      </c>
      <c r="AX1228" t="s">
        <v>4502</v>
      </c>
    </row>
    <row r="1229" spans="1:50" x14ac:dyDescent="0.25">
      <c r="A1229" t="s">
        <v>4503</v>
      </c>
      <c r="B1229" t="s">
        <v>1679</v>
      </c>
      <c r="C1229">
        <v>0</v>
      </c>
      <c r="D1229">
        <v>1</v>
      </c>
      <c r="E1229" t="s">
        <v>1734</v>
      </c>
      <c r="H1229">
        <v>0</v>
      </c>
      <c r="N1229">
        <v>0</v>
      </c>
      <c r="Q1229">
        <v>1</v>
      </c>
      <c r="R1229">
        <v>0</v>
      </c>
      <c r="U1229" t="s">
        <v>72</v>
      </c>
      <c r="V1229">
        <v>59</v>
      </c>
      <c r="W1229" t="s">
        <v>79</v>
      </c>
      <c r="X1229" t="s">
        <v>111</v>
      </c>
      <c r="Y1229">
        <v>0</v>
      </c>
      <c r="Z1229">
        <v>86</v>
      </c>
      <c r="AB1229" t="s">
        <v>118</v>
      </c>
      <c r="AD1229" t="s">
        <v>57</v>
      </c>
      <c r="AE1229">
        <v>0</v>
      </c>
      <c r="AF1229">
        <v>6</v>
      </c>
      <c r="AG1229">
        <v>1</v>
      </c>
      <c r="AH1229">
        <v>1.5</v>
      </c>
      <c r="AI1229">
        <v>512</v>
      </c>
      <c r="AJ1229">
        <v>512</v>
      </c>
      <c r="AK1229">
        <v>158</v>
      </c>
      <c r="AL1229" t="s">
        <v>1876</v>
      </c>
      <c r="AM1229">
        <v>2</v>
      </c>
      <c r="AN1229" t="s">
        <v>1877</v>
      </c>
      <c r="AO1229" t="s">
        <v>1155</v>
      </c>
      <c r="AP1229" t="s">
        <v>1767</v>
      </c>
      <c r="AQ1229">
        <v>11</v>
      </c>
      <c r="AR1229">
        <v>372</v>
      </c>
      <c r="AS1229">
        <v>647</v>
      </c>
      <c r="AT1229">
        <v>3.5459999999999998</v>
      </c>
      <c r="AU1229">
        <v>7.1879</v>
      </c>
      <c r="AV1229" t="s">
        <v>2516</v>
      </c>
      <c r="AW1229" t="s">
        <v>2936</v>
      </c>
      <c r="AX1229" t="s">
        <v>4504</v>
      </c>
    </row>
    <row r="1230" spans="1:50" x14ac:dyDescent="0.25">
      <c r="A1230" t="s">
        <v>4505</v>
      </c>
      <c r="B1230" t="s">
        <v>1679</v>
      </c>
      <c r="C1230">
        <v>0</v>
      </c>
      <c r="D1230">
        <v>0</v>
      </c>
      <c r="E1230" t="s">
        <v>1725</v>
      </c>
      <c r="H1230">
        <v>0</v>
      </c>
      <c r="N1230">
        <v>0</v>
      </c>
      <c r="Q1230">
        <v>0</v>
      </c>
      <c r="R1230">
        <v>1</v>
      </c>
      <c r="U1230" t="s">
        <v>65</v>
      </c>
      <c r="V1230">
        <v>56</v>
      </c>
      <c r="W1230" t="s">
        <v>79</v>
      </c>
      <c r="X1230" t="s">
        <v>80</v>
      </c>
      <c r="Y1230">
        <v>0</v>
      </c>
      <c r="AD1230" t="s">
        <v>57</v>
      </c>
      <c r="AE1230">
        <v>1</v>
      </c>
      <c r="AF1230">
        <v>6</v>
      </c>
      <c r="AG1230">
        <v>1</v>
      </c>
      <c r="AH1230">
        <v>1.5</v>
      </c>
      <c r="AI1230">
        <v>384</v>
      </c>
      <c r="AJ1230">
        <v>384</v>
      </c>
      <c r="AK1230">
        <v>160</v>
      </c>
      <c r="AL1230" t="s">
        <v>2036</v>
      </c>
      <c r="AM1230">
        <v>1</v>
      </c>
      <c r="AN1230" t="s">
        <v>1728</v>
      </c>
      <c r="AO1230" t="s">
        <v>59</v>
      </c>
      <c r="AP1230" t="s">
        <v>1729</v>
      </c>
      <c r="AQ1230">
        <v>11</v>
      </c>
      <c r="AR1230">
        <v>51</v>
      </c>
      <c r="AS1230">
        <v>138</v>
      </c>
      <c r="AT1230">
        <v>1.81</v>
      </c>
      <c r="AU1230">
        <v>5.05</v>
      </c>
      <c r="AV1230" t="s">
        <v>2325</v>
      </c>
      <c r="AW1230" t="s">
        <v>4506</v>
      </c>
      <c r="AX1230" t="s">
        <v>4507</v>
      </c>
    </row>
    <row r="1231" spans="1:50" x14ac:dyDescent="0.25">
      <c r="A1231" t="s">
        <v>4508</v>
      </c>
      <c r="B1231" t="s">
        <v>1679</v>
      </c>
      <c r="C1231">
        <v>0</v>
      </c>
      <c r="D1231">
        <v>0</v>
      </c>
      <c r="E1231" t="s">
        <v>2035</v>
      </c>
      <c r="H1231">
        <v>1</v>
      </c>
      <c r="N1231">
        <v>1</v>
      </c>
      <c r="Q1231">
        <v>1</v>
      </c>
      <c r="R1231">
        <v>0</v>
      </c>
      <c r="U1231" t="s">
        <v>1735</v>
      </c>
      <c r="V1231">
        <v>57</v>
      </c>
      <c r="X1231" t="s">
        <v>80</v>
      </c>
      <c r="Y1231">
        <v>0</v>
      </c>
      <c r="Z1231">
        <v>114</v>
      </c>
      <c r="AB1231" t="s">
        <v>269</v>
      </c>
      <c r="AD1231" t="s">
        <v>57</v>
      </c>
      <c r="AE1231">
        <v>0</v>
      </c>
      <c r="AF1231">
        <v>6</v>
      </c>
      <c r="AG1231">
        <v>1</v>
      </c>
      <c r="AH1231">
        <v>1.5</v>
      </c>
      <c r="AI1231">
        <v>512</v>
      </c>
      <c r="AJ1231">
        <v>512</v>
      </c>
      <c r="AK1231">
        <v>160</v>
      </c>
      <c r="AL1231" t="s">
        <v>1010</v>
      </c>
      <c r="AM1231">
        <v>2</v>
      </c>
      <c r="AN1231" t="s">
        <v>1154</v>
      </c>
      <c r="AO1231" t="s">
        <v>1155</v>
      </c>
      <c r="AP1231" t="s">
        <v>1305</v>
      </c>
      <c r="AQ1231">
        <v>11</v>
      </c>
      <c r="AR1231">
        <v>471</v>
      </c>
      <c r="AS1231">
        <v>818</v>
      </c>
      <c r="AT1231">
        <v>2.8140000000000001</v>
      </c>
      <c r="AU1231">
        <v>5.4090999999999996</v>
      </c>
      <c r="AV1231" t="s">
        <v>2824</v>
      </c>
      <c r="AW1231" t="s">
        <v>4509</v>
      </c>
      <c r="AX1231" t="s">
        <v>4510</v>
      </c>
    </row>
    <row r="1232" spans="1:50" x14ac:dyDescent="0.25">
      <c r="A1232" t="s">
        <v>4511</v>
      </c>
      <c r="B1232" t="s">
        <v>1679</v>
      </c>
      <c r="C1232">
        <v>0</v>
      </c>
      <c r="D1232">
        <v>1</v>
      </c>
      <c r="E1232" t="s">
        <v>1725</v>
      </c>
      <c r="H1232">
        <v>0</v>
      </c>
      <c r="N1232">
        <v>1</v>
      </c>
      <c r="Q1232">
        <v>0</v>
      </c>
      <c r="R1232">
        <v>0</v>
      </c>
      <c r="U1232" t="s">
        <v>1687</v>
      </c>
      <c r="V1232">
        <v>54</v>
      </c>
      <c r="X1232" t="s">
        <v>80</v>
      </c>
      <c r="Y1232">
        <v>0</v>
      </c>
      <c r="Z1232">
        <v>90.718485540000003</v>
      </c>
      <c r="AB1232" t="s">
        <v>118</v>
      </c>
      <c r="AD1232" t="s">
        <v>57</v>
      </c>
      <c r="AE1232">
        <v>1</v>
      </c>
      <c r="AF1232">
        <v>6</v>
      </c>
      <c r="AG1232">
        <v>1</v>
      </c>
      <c r="AH1232">
        <v>1.5</v>
      </c>
      <c r="AI1232">
        <v>384</v>
      </c>
      <c r="AJ1232">
        <v>384</v>
      </c>
      <c r="AK1232">
        <v>176</v>
      </c>
      <c r="AL1232" t="s">
        <v>75</v>
      </c>
      <c r="AM1232">
        <v>1</v>
      </c>
      <c r="AN1232" t="s">
        <v>1728</v>
      </c>
      <c r="AO1232" t="s">
        <v>59</v>
      </c>
      <c r="AP1232" t="s">
        <v>1729</v>
      </c>
      <c r="AQ1232">
        <v>11</v>
      </c>
      <c r="AR1232">
        <v>56</v>
      </c>
      <c r="AS1232">
        <v>152</v>
      </c>
      <c r="AT1232">
        <v>1.81</v>
      </c>
      <c r="AU1232">
        <v>5.05</v>
      </c>
      <c r="AV1232" t="s">
        <v>4512</v>
      </c>
      <c r="AW1232" t="s">
        <v>4513</v>
      </c>
      <c r="AX1232" t="s">
        <v>4514</v>
      </c>
    </row>
    <row r="1233" spans="1:50" x14ac:dyDescent="0.25">
      <c r="A1233" t="s">
        <v>4515</v>
      </c>
      <c r="B1233" t="s">
        <v>1679</v>
      </c>
      <c r="C1233">
        <v>0</v>
      </c>
      <c r="D1233">
        <v>0</v>
      </c>
      <c r="E1233" t="s">
        <v>1740</v>
      </c>
      <c r="H1233">
        <v>0</v>
      </c>
      <c r="N1233">
        <v>1</v>
      </c>
      <c r="Q1233">
        <v>1</v>
      </c>
      <c r="R1233">
        <v>0</v>
      </c>
      <c r="U1233" t="s">
        <v>1735</v>
      </c>
      <c r="V1233">
        <v>44</v>
      </c>
      <c r="W1233" t="s">
        <v>1726</v>
      </c>
      <c r="X1233" t="s">
        <v>80</v>
      </c>
      <c r="Y1233">
        <v>0</v>
      </c>
      <c r="Z1233">
        <v>74.843000000000004</v>
      </c>
      <c r="AB1233" t="s">
        <v>94</v>
      </c>
      <c r="AD1233" t="s">
        <v>57</v>
      </c>
      <c r="AE1233">
        <v>0</v>
      </c>
      <c r="AF1233">
        <v>6</v>
      </c>
      <c r="AG1233">
        <v>1</v>
      </c>
      <c r="AH1233">
        <v>1.5</v>
      </c>
      <c r="AI1233">
        <v>512</v>
      </c>
      <c r="AJ1233">
        <v>512</v>
      </c>
      <c r="AK1233">
        <v>80</v>
      </c>
      <c r="AL1233" t="s">
        <v>81</v>
      </c>
      <c r="AM1233">
        <v>2</v>
      </c>
      <c r="AN1233" t="s">
        <v>996</v>
      </c>
      <c r="AO1233" t="s">
        <v>67</v>
      </c>
      <c r="AP1233" t="s">
        <v>68</v>
      </c>
      <c r="AQ1233">
        <v>15</v>
      </c>
      <c r="AR1233">
        <v>95</v>
      </c>
      <c r="AS1233">
        <v>190</v>
      </c>
      <c r="AT1233">
        <v>4.2</v>
      </c>
      <c r="AU1233">
        <v>7</v>
      </c>
      <c r="AV1233" t="s">
        <v>4516</v>
      </c>
      <c r="AW1233" t="s">
        <v>2337</v>
      </c>
      <c r="AX1233" t="s">
        <v>4517</v>
      </c>
    </row>
    <row r="1234" spans="1:50" x14ac:dyDescent="0.25">
      <c r="A1234" t="s">
        <v>4518</v>
      </c>
      <c r="B1234" t="s">
        <v>1679</v>
      </c>
      <c r="C1234">
        <v>0</v>
      </c>
      <c r="D1234">
        <v>1</v>
      </c>
      <c r="E1234" t="s">
        <v>1839</v>
      </c>
      <c r="H1234">
        <v>1</v>
      </c>
      <c r="N1234">
        <v>1</v>
      </c>
      <c r="Q1234">
        <v>1</v>
      </c>
      <c r="R1234">
        <v>0</v>
      </c>
      <c r="U1234" t="s">
        <v>1735</v>
      </c>
      <c r="V1234">
        <v>33</v>
      </c>
      <c r="W1234" t="s">
        <v>1688</v>
      </c>
      <c r="X1234" t="s">
        <v>80</v>
      </c>
      <c r="Y1234">
        <v>0</v>
      </c>
      <c r="Z1234">
        <v>80</v>
      </c>
      <c r="AB1234" t="s">
        <v>94</v>
      </c>
      <c r="AD1234" t="s">
        <v>57</v>
      </c>
      <c r="AE1234">
        <v>0</v>
      </c>
      <c r="AF1234">
        <v>6</v>
      </c>
      <c r="AG1234">
        <v>1</v>
      </c>
      <c r="AH1234">
        <v>1.5</v>
      </c>
      <c r="AI1234">
        <v>560</v>
      </c>
      <c r="AJ1234">
        <v>560</v>
      </c>
      <c r="AK1234">
        <v>160</v>
      </c>
      <c r="AL1234" t="s">
        <v>4519</v>
      </c>
      <c r="AM1234">
        <v>2</v>
      </c>
      <c r="AN1234" t="s">
        <v>1154</v>
      </c>
      <c r="AO1234" t="s">
        <v>1155</v>
      </c>
      <c r="AP1234" t="s">
        <v>1305</v>
      </c>
      <c r="AQ1234">
        <v>11</v>
      </c>
      <c r="AR1234">
        <v>873</v>
      </c>
      <c r="AS1234">
        <v>1517</v>
      </c>
      <c r="AT1234">
        <v>2.6619999999999999</v>
      </c>
      <c r="AU1234">
        <v>5.3667999999999996</v>
      </c>
      <c r="AV1234" t="s">
        <v>4520</v>
      </c>
      <c r="AW1234" t="s">
        <v>4521</v>
      </c>
      <c r="AX1234" t="s">
        <v>4522</v>
      </c>
    </row>
    <row r="1235" spans="1:50" x14ac:dyDescent="0.25">
      <c r="A1235" t="s">
        <v>4523</v>
      </c>
      <c r="B1235" t="s">
        <v>1679</v>
      </c>
      <c r="C1235">
        <v>0</v>
      </c>
      <c r="D1235">
        <v>1</v>
      </c>
      <c r="E1235" t="s">
        <v>1780</v>
      </c>
      <c r="H1235">
        <v>0</v>
      </c>
      <c r="N1235">
        <v>0</v>
      </c>
      <c r="Q1235">
        <v>0</v>
      </c>
      <c r="R1235">
        <v>1</v>
      </c>
      <c r="U1235" t="s">
        <v>65</v>
      </c>
      <c r="V1235">
        <v>64</v>
      </c>
      <c r="W1235" t="s">
        <v>79</v>
      </c>
      <c r="X1235" t="s">
        <v>80</v>
      </c>
      <c r="Y1235">
        <v>0</v>
      </c>
      <c r="Z1235">
        <v>67.132000000000005</v>
      </c>
      <c r="AB1235" t="s">
        <v>74</v>
      </c>
      <c r="AD1235" t="s">
        <v>57</v>
      </c>
      <c r="AE1235">
        <v>0</v>
      </c>
      <c r="AF1235">
        <v>6</v>
      </c>
      <c r="AG1235">
        <v>1</v>
      </c>
      <c r="AH1235">
        <v>1.5</v>
      </c>
      <c r="AI1235">
        <v>512</v>
      </c>
      <c r="AJ1235">
        <v>512</v>
      </c>
      <c r="AK1235">
        <v>80</v>
      </c>
      <c r="AL1235" t="s">
        <v>153</v>
      </c>
      <c r="AM1235">
        <v>2</v>
      </c>
      <c r="AN1235" t="s">
        <v>996</v>
      </c>
      <c r="AO1235" t="s">
        <v>67</v>
      </c>
      <c r="AP1235" t="s">
        <v>68</v>
      </c>
      <c r="AQ1235">
        <v>15</v>
      </c>
      <c r="AR1235">
        <v>96</v>
      </c>
      <c r="AS1235">
        <v>192</v>
      </c>
      <c r="AT1235">
        <v>4.2</v>
      </c>
      <c r="AU1235">
        <v>7</v>
      </c>
      <c r="AV1235" t="s">
        <v>4524</v>
      </c>
      <c r="AW1235" t="s">
        <v>4525</v>
      </c>
      <c r="AX1235" t="s">
        <v>4526</v>
      </c>
    </row>
    <row r="1236" spans="1:50" x14ac:dyDescent="0.25">
      <c r="A1236" t="s">
        <v>4527</v>
      </c>
      <c r="B1236" t="s">
        <v>1679</v>
      </c>
      <c r="C1236">
        <v>0</v>
      </c>
      <c r="D1236">
        <v>0</v>
      </c>
      <c r="E1236" t="s">
        <v>1693</v>
      </c>
      <c r="H1236">
        <v>0</v>
      </c>
      <c r="N1236">
        <v>0</v>
      </c>
      <c r="Q1236">
        <v>0</v>
      </c>
      <c r="R1236">
        <v>1</v>
      </c>
      <c r="U1236" t="s">
        <v>65</v>
      </c>
      <c r="V1236">
        <v>31</v>
      </c>
      <c r="W1236" t="s">
        <v>1688</v>
      </c>
      <c r="X1236" t="s">
        <v>80</v>
      </c>
      <c r="Y1236">
        <v>0</v>
      </c>
      <c r="Z1236">
        <v>61.234977739500003</v>
      </c>
      <c r="AB1236" t="s">
        <v>74</v>
      </c>
      <c r="AD1236" t="s">
        <v>57</v>
      </c>
      <c r="AE1236">
        <v>1</v>
      </c>
      <c r="AF1236">
        <v>6</v>
      </c>
      <c r="AG1236">
        <v>1</v>
      </c>
      <c r="AH1236">
        <v>1.5</v>
      </c>
      <c r="AI1236">
        <v>384</v>
      </c>
      <c r="AJ1236">
        <v>384</v>
      </c>
      <c r="AK1236">
        <v>144</v>
      </c>
      <c r="AL1236" t="s">
        <v>1394</v>
      </c>
      <c r="AM1236">
        <v>1.2000000476999999</v>
      </c>
      <c r="AN1236" t="s">
        <v>2146</v>
      </c>
      <c r="AO1236" t="s">
        <v>59</v>
      </c>
      <c r="AP1236" t="s">
        <v>2147</v>
      </c>
      <c r="AQ1236">
        <v>11</v>
      </c>
      <c r="AR1236">
        <v>25</v>
      </c>
      <c r="AS1236">
        <v>66</v>
      </c>
      <c r="AT1236">
        <v>1.62</v>
      </c>
      <c r="AU1236">
        <v>4.57</v>
      </c>
      <c r="AV1236" t="s">
        <v>3769</v>
      </c>
      <c r="AW1236" t="s">
        <v>2897</v>
      </c>
      <c r="AX1236" t="s">
        <v>4528</v>
      </c>
    </row>
    <row r="1237" spans="1:50" x14ac:dyDescent="0.25">
      <c r="A1237" t="s">
        <v>4529</v>
      </c>
      <c r="B1237" t="s">
        <v>1679</v>
      </c>
      <c r="C1237">
        <v>0</v>
      </c>
      <c r="D1237">
        <v>0</v>
      </c>
      <c r="E1237" t="s">
        <v>1740</v>
      </c>
      <c r="H1237">
        <v>0</v>
      </c>
      <c r="N1237">
        <v>1</v>
      </c>
      <c r="Q1237">
        <v>1</v>
      </c>
      <c r="R1237">
        <v>0</v>
      </c>
      <c r="U1237" t="s">
        <v>1735</v>
      </c>
      <c r="V1237">
        <v>65</v>
      </c>
      <c r="W1237" t="s">
        <v>79</v>
      </c>
      <c r="X1237" t="s">
        <v>80</v>
      </c>
      <c r="Y1237">
        <v>0</v>
      </c>
      <c r="Z1237">
        <v>83.007414269099996</v>
      </c>
      <c r="AB1237" t="s">
        <v>118</v>
      </c>
      <c r="AD1237" t="s">
        <v>57</v>
      </c>
      <c r="AE1237">
        <v>1</v>
      </c>
      <c r="AF1237">
        <v>6</v>
      </c>
      <c r="AG1237">
        <v>1</v>
      </c>
      <c r="AH1237">
        <v>1.5</v>
      </c>
      <c r="AI1237">
        <v>384</v>
      </c>
      <c r="AJ1237">
        <v>384</v>
      </c>
      <c r="AK1237">
        <v>160</v>
      </c>
      <c r="AL1237" t="s">
        <v>1727</v>
      </c>
      <c r="AM1237">
        <v>1</v>
      </c>
      <c r="AN1237" t="s">
        <v>1741</v>
      </c>
      <c r="AO1237" t="s">
        <v>59</v>
      </c>
      <c r="AP1237" t="s">
        <v>60</v>
      </c>
      <c r="AQ1237">
        <v>11</v>
      </c>
      <c r="AR1237">
        <v>98</v>
      </c>
      <c r="AS1237">
        <v>253</v>
      </c>
      <c r="AT1237">
        <v>2.29</v>
      </c>
      <c r="AU1237">
        <v>5.15</v>
      </c>
      <c r="AV1237" t="s">
        <v>2348</v>
      </c>
      <c r="AW1237" t="s">
        <v>2889</v>
      </c>
      <c r="AX1237" t="s">
        <v>4530</v>
      </c>
    </row>
    <row r="1238" spans="1:50" x14ac:dyDescent="0.25">
      <c r="A1238" t="s">
        <v>4531</v>
      </c>
      <c r="B1238" t="s">
        <v>1679</v>
      </c>
      <c r="C1238">
        <v>0</v>
      </c>
      <c r="D1238">
        <v>0</v>
      </c>
      <c r="E1238" t="s">
        <v>1725</v>
      </c>
      <c r="H1238">
        <v>1</v>
      </c>
      <c r="N1238">
        <v>0</v>
      </c>
      <c r="Q1238">
        <v>0</v>
      </c>
      <c r="R1238">
        <v>1</v>
      </c>
      <c r="U1238" t="s">
        <v>65</v>
      </c>
      <c r="V1238">
        <v>60</v>
      </c>
      <c r="W1238" t="s">
        <v>79</v>
      </c>
      <c r="X1238" t="s">
        <v>80</v>
      </c>
      <c r="Y1238">
        <v>0</v>
      </c>
      <c r="Z1238">
        <v>80.739000000000004</v>
      </c>
      <c r="AB1238" t="s">
        <v>94</v>
      </c>
      <c r="AD1238" t="s">
        <v>57</v>
      </c>
      <c r="AE1238">
        <v>0</v>
      </c>
      <c r="AF1238">
        <v>6</v>
      </c>
      <c r="AG1238">
        <v>1</v>
      </c>
      <c r="AH1238">
        <v>1.5</v>
      </c>
      <c r="AI1238">
        <v>512</v>
      </c>
      <c r="AJ1238">
        <v>512</v>
      </c>
      <c r="AK1238">
        <v>80</v>
      </c>
      <c r="AL1238" t="s">
        <v>81</v>
      </c>
      <c r="AM1238">
        <v>2</v>
      </c>
      <c r="AN1238" t="s">
        <v>996</v>
      </c>
      <c r="AO1238" t="s">
        <v>67</v>
      </c>
      <c r="AP1238" t="s">
        <v>68</v>
      </c>
      <c r="AQ1238">
        <v>15</v>
      </c>
      <c r="AR1238">
        <v>110</v>
      </c>
      <c r="AS1238">
        <v>221</v>
      </c>
      <c r="AT1238">
        <v>4.2</v>
      </c>
      <c r="AU1238">
        <v>7</v>
      </c>
      <c r="AV1238" t="s">
        <v>4045</v>
      </c>
      <c r="AW1238" t="s">
        <v>4532</v>
      </c>
      <c r="AX1238" t="s">
        <v>4533</v>
      </c>
    </row>
    <row r="1239" spans="1:50" x14ac:dyDescent="0.25">
      <c r="A1239" t="s">
        <v>4534</v>
      </c>
      <c r="B1239" t="s">
        <v>1679</v>
      </c>
      <c r="C1239">
        <v>0</v>
      </c>
      <c r="D1239">
        <v>1</v>
      </c>
      <c r="E1239" t="s">
        <v>1698</v>
      </c>
      <c r="H1239">
        <v>0</v>
      </c>
      <c r="N1239">
        <v>0</v>
      </c>
      <c r="Q1239">
        <v>0</v>
      </c>
      <c r="R1239">
        <v>1</v>
      </c>
      <c r="U1239" t="s">
        <v>65</v>
      </c>
      <c r="V1239">
        <v>32</v>
      </c>
      <c r="W1239" t="s">
        <v>1688</v>
      </c>
      <c r="X1239" t="s">
        <v>80</v>
      </c>
      <c r="Y1239">
        <v>0</v>
      </c>
      <c r="Z1239">
        <v>94</v>
      </c>
      <c r="AB1239" t="s">
        <v>118</v>
      </c>
      <c r="AD1239" t="s">
        <v>57</v>
      </c>
      <c r="AE1239">
        <v>0</v>
      </c>
      <c r="AF1239">
        <v>6</v>
      </c>
      <c r="AG1239">
        <v>1</v>
      </c>
      <c r="AH1239">
        <v>1.5</v>
      </c>
      <c r="AI1239">
        <v>512</v>
      </c>
      <c r="AJ1239">
        <v>512</v>
      </c>
      <c r="AK1239">
        <v>80</v>
      </c>
      <c r="AL1239" t="s">
        <v>196</v>
      </c>
      <c r="AM1239">
        <v>2</v>
      </c>
      <c r="AN1239" t="s">
        <v>1705</v>
      </c>
      <c r="AO1239" t="s">
        <v>67</v>
      </c>
      <c r="AP1239" t="s">
        <v>89</v>
      </c>
      <c r="AQ1239">
        <v>15</v>
      </c>
      <c r="AR1239">
        <v>286</v>
      </c>
      <c r="AS1239">
        <v>573</v>
      </c>
      <c r="AT1239">
        <v>2.5840000000000001</v>
      </c>
      <c r="AU1239">
        <v>5.6429999999999998</v>
      </c>
      <c r="AV1239" t="s">
        <v>4535</v>
      </c>
      <c r="AW1239" t="s">
        <v>4536</v>
      </c>
      <c r="AX1239" t="s">
        <v>4537</v>
      </c>
    </row>
    <row r="1240" spans="1:50" x14ac:dyDescent="0.25">
      <c r="A1240" t="s">
        <v>4538</v>
      </c>
      <c r="B1240" t="s">
        <v>1679</v>
      </c>
      <c r="C1240">
        <v>0</v>
      </c>
      <c r="D1240">
        <v>0</v>
      </c>
      <c r="E1240" t="s">
        <v>1693</v>
      </c>
      <c r="H1240">
        <v>0</v>
      </c>
      <c r="N1240">
        <v>1</v>
      </c>
      <c r="Q1240">
        <v>0</v>
      </c>
      <c r="R1240">
        <v>1</v>
      </c>
      <c r="U1240" t="s">
        <v>1687</v>
      </c>
      <c r="V1240">
        <v>58</v>
      </c>
      <c r="W1240" t="s">
        <v>79</v>
      </c>
      <c r="X1240" t="s">
        <v>80</v>
      </c>
      <c r="Y1240">
        <v>0</v>
      </c>
      <c r="Z1240">
        <v>64</v>
      </c>
      <c r="AB1240" t="s">
        <v>74</v>
      </c>
      <c r="AD1240" t="s">
        <v>57</v>
      </c>
      <c r="AE1240">
        <v>0</v>
      </c>
      <c r="AF1240">
        <v>6</v>
      </c>
      <c r="AG1240">
        <v>1</v>
      </c>
      <c r="AH1240">
        <v>1.5</v>
      </c>
      <c r="AI1240">
        <v>512</v>
      </c>
      <c r="AJ1240">
        <v>512</v>
      </c>
      <c r="AK1240">
        <v>160</v>
      </c>
      <c r="AL1240" t="s">
        <v>1876</v>
      </c>
      <c r="AM1240">
        <v>2</v>
      </c>
      <c r="AN1240" t="s">
        <v>1877</v>
      </c>
      <c r="AO1240" t="s">
        <v>1155</v>
      </c>
      <c r="AP1240" t="s">
        <v>1767</v>
      </c>
      <c r="AQ1240">
        <v>11</v>
      </c>
      <c r="AR1240">
        <v>365</v>
      </c>
      <c r="AS1240">
        <v>634</v>
      </c>
      <c r="AT1240">
        <v>3.544</v>
      </c>
      <c r="AU1240">
        <v>7.1867000000000001</v>
      </c>
      <c r="AV1240" t="s">
        <v>4539</v>
      </c>
      <c r="AW1240" t="s">
        <v>2742</v>
      </c>
      <c r="AX1240" t="s">
        <v>4540</v>
      </c>
    </row>
    <row r="1241" spans="1:50" x14ac:dyDescent="0.25">
      <c r="A1241" t="s">
        <v>4541</v>
      </c>
      <c r="B1241" t="s">
        <v>1679</v>
      </c>
      <c r="C1241">
        <v>0</v>
      </c>
      <c r="D1241">
        <v>0</v>
      </c>
      <c r="E1241" t="s">
        <v>1686</v>
      </c>
      <c r="H1241">
        <v>0</v>
      </c>
      <c r="N1241">
        <v>0</v>
      </c>
      <c r="Q1241">
        <v>0</v>
      </c>
      <c r="R1241">
        <v>1</v>
      </c>
      <c r="U1241" t="s">
        <v>65</v>
      </c>
      <c r="V1241">
        <v>48</v>
      </c>
      <c r="W1241" t="s">
        <v>79</v>
      </c>
      <c r="X1241" t="s">
        <v>80</v>
      </c>
      <c r="Y1241">
        <v>0</v>
      </c>
      <c r="Z1241">
        <v>90.718485540000003</v>
      </c>
      <c r="AB1241" t="s">
        <v>118</v>
      </c>
      <c r="AD1241" t="s">
        <v>57</v>
      </c>
      <c r="AE1241">
        <v>0</v>
      </c>
      <c r="AF1241">
        <v>6</v>
      </c>
      <c r="AG1241">
        <v>1</v>
      </c>
      <c r="AH1241">
        <v>1.5</v>
      </c>
      <c r="AI1241">
        <v>512</v>
      </c>
      <c r="AJ1241">
        <v>512</v>
      </c>
      <c r="AK1241">
        <v>80</v>
      </c>
      <c r="AL1241" t="s">
        <v>1010</v>
      </c>
      <c r="AM1241">
        <v>2</v>
      </c>
      <c r="AN1241" t="s">
        <v>1011</v>
      </c>
      <c r="AO1241" t="s">
        <v>59</v>
      </c>
      <c r="AP1241" t="s">
        <v>60</v>
      </c>
      <c r="AQ1241">
        <v>11</v>
      </c>
      <c r="AR1241">
        <v>75</v>
      </c>
      <c r="AS1241">
        <v>196</v>
      </c>
      <c r="AT1241">
        <v>1.81</v>
      </c>
      <c r="AU1241">
        <v>4.33</v>
      </c>
      <c r="AV1241" t="s">
        <v>4542</v>
      </c>
      <c r="AW1241" t="s">
        <v>2526</v>
      </c>
      <c r="AX1241" t="s">
        <v>4543</v>
      </c>
    </row>
    <row r="1242" spans="1:50" x14ac:dyDescent="0.25">
      <c r="A1242" t="s">
        <v>4544</v>
      </c>
      <c r="B1242" t="s">
        <v>1679</v>
      </c>
      <c r="C1242">
        <v>0</v>
      </c>
      <c r="D1242">
        <v>0</v>
      </c>
      <c r="E1242" t="s">
        <v>1680</v>
      </c>
      <c r="H1242">
        <v>0</v>
      </c>
      <c r="N1242">
        <v>0</v>
      </c>
      <c r="Q1242">
        <v>0</v>
      </c>
      <c r="R1242">
        <v>0</v>
      </c>
      <c r="U1242" t="s">
        <v>65</v>
      </c>
      <c r="V1242">
        <v>44</v>
      </c>
      <c r="W1242" t="s">
        <v>1688</v>
      </c>
      <c r="X1242" t="s">
        <v>80</v>
      </c>
      <c r="Y1242">
        <v>0</v>
      </c>
      <c r="Z1242">
        <v>61.2</v>
      </c>
      <c r="AB1242" t="s">
        <v>74</v>
      </c>
      <c r="AD1242" t="s">
        <v>57</v>
      </c>
      <c r="AE1242">
        <v>0</v>
      </c>
      <c r="AF1242">
        <v>6</v>
      </c>
      <c r="AG1242">
        <v>1</v>
      </c>
      <c r="AH1242">
        <v>1.5</v>
      </c>
      <c r="AI1242">
        <v>512</v>
      </c>
      <c r="AJ1242">
        <v>512</v>
      </c>
      <c r="AK1242">
        <v>80</v>
      </c>
      <c r="AL1242" t="s">
        <v>196</v>
      </c>
      <c r="AM1242">
        <v>2</v>
      </c>
      <c r="AN1242" t="s">
        <v>1705</v>
      </c>
      <c r="AO1242" t="s">
        <v>67</v>
      </c>
      <c r="AP1242" t="s">
        <v>89</v>
      </c>
      <c r="AQ1242">
        <v>15</v>
      </c>
      <c r="AR1242">
        <v>331</v>
      </c>
      <c r="AS1242">
        <v>662</v>
      </c>
      <c r="AT1242">
        <v>2.5840000000000001</v>
      </c>
      <c r="AU1242">
        <v>5.6550000000000002</v>
      </c>
      <c r="AV1242" t="s">
        <v>4545</v>
      </c>
      <c r="AW1242" t="s">
        <v>2232</v>
      </c>
      <c r="AX1242" t="s">
        <v>4546</v>
      </c>
    </row>
    <row r="1243" spans="1:50" x14ac:dyDescent="0.25">
      <c r="A1243" t="s">
        <v>4547</v>
      </c>
      <c r="B1243" t="s">
        <v>1679</v>
      </c>
      <c r="C1243">
        <v>0</v>
      </c>
      <c r="D1243">
        <v>0</v>
      </c>
      <c r="E1243" t="s">
        <v>1703</v>
      </c>
      <c r="H1243">
        <v>0</v>
      </c>
      <c r="N1243">
        <v>0</v>
      </c>
      <c r="Q1243">
        <v>0</v>
      </c>
      <c r="R1243">
        <v>0</v>
      </c>
      <c r="U1243" t="s">
        <v>65</v>
      </c>
      <c r="V1243">
        <v>56</v>
      </c>
      <c r="W1243" t="s">
        <v>79</v>
      </c>
      <c r="X1243" t="s">
        <v>80</v>
      </c>
      <c r="Y1243">
        <v>0</v>
      </c>
      <c r="AD1243" t="s">
        <v>57</v>
      </c>
      <c r="AE1243">
        <v>0</v>
      </c>
      <c r="AF1243">
        <v>6</v>
      </c>
      <c r="AG1243">
        <v>1</v>
      </c>
      <c r="AH1243">
        <v>1.5</v>
      </c>
      <c r="AI1243">
        <v>512</v>
      </c>
      <c r="AJ1243">
        <v>512</v>
      </c>
      <c r="AK1243">
        <v>80</v>
      </c>
      <c r="AL1243" t="s">
        <v>81</v>
      </c>
      <c r="AM1243">
        <v>2</v>
      </c>
      <c r="AN1243" t="s">
        <v>1681</v>
      </c>
      <c r="AO1243" t="s">
        <v>67</v>
      </c>
      <c r="AP1243" t="s">
        <v>68</v>
      </c>
      <c r="AQ1243">
        <v>15</v>
      </c>
      <c r="AR1243">
        <v>302</v>
      </c>
      <c r="AS1243">
        <v>605</v>
      </c>
      <c r="AT1243">
        <v>2.6040000000000001</v>
      </c>
      <c r="AU1243">
        <v>5.6239999999999997</v>
      </c>
      <c r="AV1243" t="s">
        <v>4548</v>
      </c>
      <c r="AW1243" t="s">
        <v>4549</v>
      </c>
      <c r="AX1243" t="s">
        <v>4550</v>
      </c>
    </row>
    <row r="1244" spans="1:50" x14ac:dyDescent="0.25">
      <c r="A1244" t="s">
        <v>4551</v>
      </c>
      <c r="B1244" t="s">
        <v>1679</v>
      </c>
      <c r="C1244">
        <v>0</v>
      </c>
      <c r="D1244">
        <v>1</v>
      </c>
      <c r="E1244" t="s">
        <v>1871</v>
      </c>
      <c r="H1244">
        <v>1</v>
      </c>
      <c r="N1244">
        <v>1</v>
      </c>
      <c r="Q1244">
        <v>1</v>
      </c>
      <c r="R1244">
        <v>1</v>
      </c>
      <c r="U1244" t="s">
        <v>1735</v>
      </c>
      <c r="V1244">
        <v>47</v>
      </c>
      <c r="W1244" t="s">
        <v>1688</v>
      </c>
      <c r="X1244" t="s">
        <v>80</v>
      </c>
      <c r="Y1244">
        <v>0</v>
      </c>
      <c r="Z1244">
        <v>90.718000000000004</v>
      </c>
      <c r="AB1244" t="s">
        <v>118</v>
      </c>
      <c r="AD1244" t="s">
        <v>57</v>
      </c>
      <c r="AE1244">
        <v>0</v>
      </c>
      <c r="AF1244">
        <v>6</v>
      </c>
      <c r="AG1244">
        <v>1</v>
      </c>
      <c r="AH1244">
        <v>3</v>
      </c>
      <c r="AI1244">
        <v>512</v>
      </c>
      <c r="AJ1244">
        <v>512</v>
      </c>
      <c r="AK1244">
        <v>134</v>
      </c>
      <c r="AL1244" t="s">
        <v>350</v>
      </c>
      <c r="AM1244">
        <v>2.4</v>
      </c>
      <c r="AN1244" t="s">
        <v>1786</v>
      </c>
      <c r="AO1244" t="s">
        <v>67</v>
      </c>
      <c r="AP1244" t="s">
        <v>68</v>
      </c>
      <c r="AQ1244">
        <v>15</v>
      </c>
      <c r="AR1244">
        <v>200</v>
      </c>
      <c r="AS1244">
        <v>401</v>
      </c>
      <c r="AT1244">
        <v>2.7120000000000002</v>
      </c>
      <c r="AU1244">
        <v>6.4749999999999996</v>
      </c>
      <c r="AV1244" t="s">
        <v>4552</v>
      </c>
      <c r="AW1244" t="s">
        <v>4431</v>
      </c>
      <c r="AX1244" t="s">
        <v>4553</v>
      </c>
    </row>
    <row r="1245" spans="1:50" x14ac:dyDescent="0.25">
      <c r="A1245" t="s">
        <v>4554</v>
      </c>
      <c r="B1245" t="s">
        <v>1679</v>
      </c>
      <c r="C1245">
        <v>0</v>
      </c>
      <c r="D1245">
        <v>1</v>
      </c>
      <c r="E1245" t="s">
        <v>1703</v>
      </c>
      <c r="H1245">
        <v>0</v>
      </c>
      <c r="N1245">
        <v>0</v>
      </c>
      <c r="Q1245">
        <v>0</v>
      </c>
      <c r="R1245">
        <v>0</v>
      </c>
      <c r="U1245" t="s">
        <v>65</v>
      </c>
      <c r="V1245">
        <v>38</v>
      </c>
      <c r="W1245" t="s">
        <v>1688</v>
      </c>
      <c r="X1245" t="s">
        <v>80</v>
      </c>
      <c r="Y1245">
        <v>0</v>
      </c>
      <c r="Z1245">
        <v>118</v>
      </c>
      <c r="AB1245" t="s">
        <v>269</v>
      </c>
      <c r="AD1245" t="s">
        <v>57</v>
      </c>
      <c r="AE1245">
        <v>0</v>
      </c>
      <c r="AF1245">
        <v>6</v>
      </c>
      <c r="AG1245">
        <v>1</v>
      </c>
      <c r="AH1245">
        <v>1.5</v>
      </c>
      <c r="AI1245">
        <v>512</v>
      </c>
      <c r="AJ1245">
        <v>512</v>
      </c>
      <c r="AK1245">
        <v>160</v>
      </c>
      <c r="AL1245" t="s">
        <v>1010</v>
      </c>
      <c r="AM1245">
        <v>2</v>
      </c>
      <c r="AN1245" t="s">
        <v>1154</v>
      </c>
      <c r="AO1245" t="s">
        <v>1155</v>
      </c>
      <c r="AP1245" t="s">
        <v>1305</v>
      </c>
      <c r="AQ1245">
        <v>11</v>
      </c>
      <c r="AR1245">
        <v>597</v>
      </c>
      <c r="AS1245">
        <v>1037</v>
      </c>
      <c r="AT1245">
        <v>2.8140000000000001</v>
      </c>
      <c r="AU1245">
        <v>5.4090999999999996</v>
      </c>
      <c r="AV1245" t="s">
        <v>4555</v>
      </c>
      <c r="AW1245" t="s">
        <v>4556</v>
      </c>
      <c r="AX1245" t="s">
        <v>4557</v>
      </c>
    </row>
    <row r="1246" spans="1:50" x14ac:dyDescent="0.25">
      <c r="A1246" t="s">
        <v>4558</v>
      </c>
      <c r="B1246" t="s">
        <v>1679</v>
      </c>
      <c r="C1246">
        <v>0</v>
      </c>
      <c r="D1246">
        <v>0</v>
      </c>
      <c r="E1246" t="s">
        <v>1791</v>
      </c>
      <c r="H1246">
        <v>0</v>
      </c>
      <c r="N1246">
        <v>1</v>
      </c>
      <c r="Q1246">
        <v>1</v>
      </c>
      <c r="R1246">
        <v>0</v>
      </c>
      <c r="U1246" t="s">
        <v>1735</v>
      </c>
      <c r="V1246">
        <v>52</v>
      </c>
      <c r="W1246" t="s">
        <v>79</v>
      </c>
      <c r="X1246" t="s">
        <v>80</v>
      </c>
      <c r="Y1246">
        <v>0</v>
      </c>
      <c r="Z1246">
        <v>56.698999999999998</v>
      </c>
      <c r="AB1246" t="s">
        <v>74</v>
      </c>
      <c r="AD1246" t="s">
        <v>57</v>
      </c>
      <c r="AE1246">
        <v>0</v>
      </c>
      <c r="AF1246">
        <v>6</v>
      </c>
      <c r="AG1246">
        <v>1</v>
      </c>
      <c r="AH1246">
        <v>1.5</v>
      </c>
      <c r="AI1246">
        <v>512</v>
      </c>
      <c r="AJ1246">
        <v>512</v>
      </c>
      <c r="AK1246">
        <v>80</v>
      </c>
      <c r="AL1246" t="s">
        <v>196</v>
      </c>
      <c r="AM1246">
        <v>2</v>
      </c>
      <c r="AN1246" t="s">
        <v>996</v>
      </c>
      <c r="AO1246" t="s">
        <v>67</v>
      </c>
      <c r="AP1246" t="s">
        <v>68</v>
      </c>
      <c r="AQ1246">
        <v>15</v>
      </c>
      <c r="AR1246">
        <v>100</v>
      </c>
      <c r="AS1246">
        <v>200</v>
      </c>
      <c r="AT1246">
        <v>4.2</v>
      </c>
      <c r="AU1246">
        <v>7</v>
      </c>
      <c r="AV1246" t="s">
        <v>4559</v>
      </c>
      <c r="AW1246" t="s">
        <v>3661</v>
      </c>
      <c r="AX1246" t="s">
        <v>4560</v>
      </c>
    </row>
    <row r="1247" spans="1:50" x14ac:dyDescent="0.25">
      <c r="A1247" t="s">
        <v>4561</v>
      </c>
      <c r="B1247" t="s">
        <v>1679</v>
      </c>
      <c r="C1247">
        <v>0</v>
      </c>
      <c r="D1247">
        <v>0</v>
      </c>
      <c r="E1247" t="s">
        <v>1839</v>
      </c>
      <c r="H1247">
        <v>1</v>
      </c>
      <c r="N1247">
        <v>0</v>
      </c>
      <c r="Q1247">
        <v>1</v>
      </c>
      <c r="R1247">
        <v>1</v>
      </c>
      <c r="U1247" t="s">
        <v>72</v>
      </c>
      <c r="V1247">
        <v>52</v>
      </c>
      <c r="X1247" t="s">
        <v>55</v>
      </c>
      <c r="Y1247">
        <v>0</v>
      </c>
      <c r="Z1247">
        <v>56.698999999999998</v>
      </c>
      <c r="AB1247" t="s">
        <v>74</v>
      </c>
      <c r="AD1247" t="s">
        <v>57</v>
      </c>
      <c r="AE1247">
        <v>0</v>
      </c>
      <c r="AF1247">
        <v>6</v>
      </c>
      <c r="AG1247">
        <v>1</v>
      </c>
      <c r="AH1247">
        <v>1.5</v>
      </c>
      <c r="AI1247">
        <v>512</v>
      </c>
      <c r="AJ1247">
        <v>512</v>
      </c>
      <c r="AK1247">
        <v>66</v>
      </c>
      <c r="AL1247" t="s">
        <v>2022</v>
      </c>
      <c r="AM1247">
        <v>2.4</v>
      </c>
      <c r="AN1247" t="s">
        <v>1942</v>
      </c>
      <c r="AO1247" t="s">
        <v>67</v>
      </c>
      <c r="AP1247" t="s">
        <v>68</v>
      </c>
      <c r="AQ1247">
        <v>15</v>
      </c>
      <c r="AR1247">
        <v>422</v>
      </c>
      <c r="AS1247">
        <v>844</v>
      </c>
      <c r="AT1247">
        <v>3.0840000000000001</v>
      </c>
      <c r="AU1247">
        <v>6.3520000000000003</v>
      </c>
      <c r="AV1247" t="s">
        <v>4562</v>
      </c>
      <c r="AW1247" t="s">
        <v>4563</v>
      </c>
      <c r="AX1247" t="s">
        <v>4564</v>
      </c>
    </row>
    <row r="1248" spans="1:50" x14ac:dyDescent="0.25">
      <c r="A1248" t="s">
        <v>4565</v>
      </c>
      <c r="B1248" t="s">
        <v>1679</v>
      </c>
      <c r="C1248">
        <v>0</v>
      </c>
      <c r="D1248">
        <v>1</v>
      </c>
      <c r="E1248" t="s">
        <v>1693</v>
      </c>
      <c r="H1248">
        <v>0</v>
      </c>
      <c r="N1248">
        <v>1</v>
      </c>
      <c r="Q1248">
        <v>0</v>
      </c>
      <c r="R1248">
        <v>1</v>
      </c>
      <c r="U1248" t="s">
        <v>1687</v>
      </c>
      <c r="V1248">
        <v>57</v>
      </c>
      <c r="W1248" t="s">
        <v>79</v>
      </c>
      <c r="X1248" t="s">
        <v>80</v>
      </c>
      <c r="Y1248">
        <v>0</v>
      </c>
      <c r="AD1248" t="s">
        <v>57</v>
      </c>
      <c r="AE1248">
        <v>0</v>
      </c>
      <c r="AF1248">
        <v>6</v>
      </c>
      <c r="AG1248">
        <v>1</v>
      </c>
      <c r="AH1248">
        <v>1.5</v>
      </c>
      <c r="AI1248">
        <v>512</v>
      </c>
      <c r="AJ1248">
        <v>512</v>
      </c>
      <c r="AK1248">
        <v>90</v>
      </c>
      <c r="AL1248" t="s">
        <v>497</v>
      </c>
      <c r="AM1248">
        <v>2</v>
      </c>
      <c r="AN1248" t="s">
        <v>1681</v>
      </c>
      <c r="AO1248" t="s">
        <v>67</v>
      </c>
      <c r="AP1248" t="s">
        <v>68</v>
      </c>
      <c r="AQ1248">
        <v>15</v>
      </c>
      <c r="AR1248">
        <v>288</v>
      </c>
      <c r="AS1248">
        <v>577</v>
      </c>
      <c r="AT1248">
        <v>2.7280000000000002</v>
      </c>
      <c r="AU1248">
        <v>6.8460000000000001</v>
      </c>
      <c r="AV1248" t="s">
        <v>4566</v>
      </c>
      <c r="AW1248" t="s">
        <v>4567</v>
      </c>
      <c r="AX1248" t="s">
        <v>4568</v>
      </c>
    </row>
    <row r="1249" spans="1:50" x14ac:dyDescent="0.25">
      <c r="A1249" t="s">
        <v>4569</v>
      </c>
      <c r="B1249" t="s">
        <v>1679</v>
      </c>
      <c r="C1249">
        <v>0</v>
      </c>
      <c r="D1249">
        <v>0</v>
      </c>
      <c r="E1249" t="s">
        <v>1680</v>
      </c>
      <c r="H1249">
        <v>1</v>
      </c>
      <c r="N1249">
        <v>0</v>
      </c>
      <c r="Q1249">
        <v>0</v>
      </c>
      <c r="R1249">
        <v>1</v>
      </c>
      <c r="U1249" t="s">
        <v>65</v>
      </c>
      <c r="V1249">
        <v>55</v>
      </c>
      <c r="W1249" t="s">
        <v>79</v>
      </c>
      <c r="X1249" t="s">
        <v>80</v>
      </c>
      <c r="Y1249">
        <v>0</v>
      </c>
      <c r="Z1249">
        <v>121.54</v>
      </c>
      <c r="AB1249" t="s">
        <v>269</v>
      </c>
      <c r="AD1249" t="s">
        <v>57</v>
      </c>
      <c r="AE1249">
        <v>1</v>
      </c>
      <c r="AF1249">
        <v>6</v>
      </c>
      <c r="AG1249">
        <v>1</v>
      </c>
      <c r="AH1249">
        <v>1.5</v>
      </c>
      <c r="AI1249">
        <v>384</v>
      </c>
      <c r="AJ1249">
        <v>384</v>
      </c>
      <c r="AK1249">
        <v>160</v>
      </c>
      <c r="AL1249" t="s">
        <v>1394</v>
      </c>
      <c r="AM1249">
        <v>1.3999999761999999</v>
      </c>
      <c r="AN1249" t="s">
        <v>1720</v>
      </c>
      <c r="AO1249" t="s">
        <v>59</v>
      </c>
      <c r="AP1249" t="s">
        <v>60</v>
      </c>
      <c r="AQ1249">
        <v>11</v>
      </c>
      <c r="AR1249">
        <v>197</v>
      </c>
      <c r="AS1249">
        <v>493</v>
      </c>
      <c r="AT1249">
        <v>1.47</v>
      </c>
      <c r="AU1249">
        <v>4.99</v>
      </c>
      <c r="AV1249" t="s">
        <v>4570</v>
      </c>
      <c r="AW1249" t="s">
        <v>4571</v>
      </c>
      <c r="AX1249" t="s">
        <v>4572</v>
      </c>
    </row>
    <row r="1250" spans="1:50" x14ac:dyDescent="0.25">
      <c r="A1250" t="s">
        <v>4573</v>
      </c>
      <c r="B1250" t="s">
        <v>1679</v>
      </c>
      <c r="C1250">
        <v>0</v>
      </c>
      <c r="D1250">
        <v>0</v>
      </c>
      <c r="E1250" t="s">
        <v>1871</v>
      </c>
      <c r="H1250">
        <v>1</v>
      </c>
      <c r="N1250">
        <v>1</v>
      </c>
      <c r="Q1250">
        <v>1</v>
      </c>
      <c r="R1250">
        <v>0</v>
      </c>
      <c r="U1250" t="s">
        <v>1735</v>
      </c>
      <c r="V1250">
        <v>35</v>
      </c>
      <c r="W1250" t="s">
        <v>1688</v>
      </c>
      <c r="X1250" t="s">
        <v>80</v>
      </c>
      <c r="Y1250">
        <v>0</v>
      </c>
      <c r="Z1250">
        <v>72.575000000000003</v>
      </c>
      <c r="AB1250" t="s">
        <v>94</v>
      </c>
      <c r="AD1250" t="s">
        <v>57</v>
      </c>
      <c r="AE1250">
        <v>0</v>
      </c>
      <c r="AF1250">
        <v>6</v>
      </c>
      <c r="AG1250">
        <v>1</v>
      </c>
      <c r="AH1250">
        <v>1.5</v>
      </c>
      <c r="AI1250">
        <v>512</v>
      </c>
      <c r="AJ1250">
        <v>512</v>
      </c>
      <c r="AK1250">
        <v>80</v>
      </c>
      <c r="AL1250" t="s">
        <v>113</v>
      </c>
      <c r="AM1250">
        <v>2</v>
      </c>
      <c r="AN1250" t="s">
        <v>996</v>
      </c>
      <c r="AO1250" t="s">
        <v>67</v>
      </c>
      <c r="AP1250" t="s">
        <v>68</v>
      </c>
      <c r="AQ1250">
        <v>15</v>
      </c>
      <c r="AR1250">
        <v>128</v>
      </c>
      <c r="AS1250">
        <v>256</v>
      </c>
      <c r="AT1250">
        <v>4.2</v>
      </c>
      <c r="AU1250">
        <v>7</v>
      </c>
      <c r="AV1250" t="s">
        <v>4574</v>
      </c>
      <c r="AW1250" t="s">
        <v>2545</v>
      </c>
      <c r="AX1250" t="s">
        <v>4575</v>
      </c>
    </row>
    <row r="1251" spans="1:50" x14ac:dyDescent="0.25">
      <c r="A1251" t="s">
        <v>4576</v>
      </c>
      <c r="B1251" t="s">
        <v>1679</v>
      </c>
      <c r="C1251">
        <v>0</v>
      </c>
      <c r="D1251">
        <v>0</v>
      </c>
      <c r="E1251" t="s">
        <v>1680</v>
      </c>
      <c r="H1251">
        <v>1</v>
      </c>
      <c r="N1251">
        <v>0</v>
      </c>
      <c r="Q1251">
        <v>0</v>
      </c>
      <c r="R1251">
        <v>1</v>
      </c>
      <c r="U1251" t="s">
        <v>65</v>
      </c>
      <c r="V1251">
        <v>56</v>
      </c>
      <c r="W1251" t="s">
        <v>79</v>
      </c>
      <c r="X1251" t="s">
        <v>80</v>
      </c>
      <c r="Y1251">
        <v>0</v>
      </c>
      <c r="Z1251">
        <v>63.5</v>
      </c>
      <c r="AB1251" t="s">
        <v>74</v>
      </c>
      <c r="AD1251" t="s">
        <v>57</v>
      </c>
      <c r="AE1251">
        <v>0</v>
      </c>
      <c r="AF1251">
        <v>6</v>
      </c>
      <c r="AG1251">
        <v>1</v>
      </c>
      <c r="AH1251">
        <v>3</v>
      </c>
      <c r="AI1251">
        <v>512</v>
      </c>
      <c r="AJ1251">
        <v>512</v>
      </c>
      <c r="AK1251">
        <v>134</v>
      </c>
      <c r="AL1251" t="s">
        <v>81</v>
      </c>
      <c r="AM1251">
        <v>2.4</v>
      </c>
      <c r="AN1251" t="s">
        <v>1786</v>
      </c>
      <c r="AO1251" t="s">
        <v>67</v>
      </c>
      <c r="AP1251" t="s">
        <v>1845</v>
      </c>
      <c r="AQ1251">
        <v>15</v>
      </c>
      <c r="AR1251">
        <v>671</v>
      </c>
      <c r="AS1251">
        <v>1343</v>
      </c>
      <c r="AT1251">
        <v>4.7</v>
      </c>
      <c r="AU1251">
        <v>8.9559999999999995</v>
      </c>
      <c r="AV1251" t="s">
        <v>4577</v>
      </c>
      <c r="AW1251" t="s">
        <v>1960</v>
      </c>
      <c r="AX1251" t="s">
        <v>4578</v>
      </c>
    </row>
    <row r="1252" spans="1:50" x14ac:dyDescent="0.25">
      <c r="A1252" t="s">
        <v>4579</v>
      </c>
      <c r="B1252" t="s">
        <v>1679</v>
      </c>
      <c r="C1252">
        <v>0</v>
      </c>
      <c r="D1252">
        <v>0</v>
      </c>
      <c r="E1252" t="s">
        <v>1703</v>
      </c>
      <c r="H1252">
        <v>0</v>
      </c>
      <c r="N1252">
        <v>0</v>
      </c>
      <c r="Q1252">
        <v>0</v>
      </c>
      <c r="R1252">
        <v>1</v>
      </c>
      <c r="U1252" t="s">
        <v>65</v>
      </c>
      <c r="V1252">
        <v>29</v>
      </c>
      <c r="W1252" t="s">
        <v>1726</v>
      </c>
      <c r="X1252" t="s">
        <v>80</v>
      </c>
      <c r="Y1252">
        <v>0</v>
      </c>
      <c r="Z1252">
        <v>62.142000000000003</v>
      </c>
      <c r="AB1252" t="s">
        <v>74</v>
      </c>
      <c r="AD1252" t="s">
        <v>57</v>
      </c>
      <c r="AE1252">
        <v>0</v>
      </c>
      <c r="AF1252">
        <v>6</v>
      </c>
      <c r="AG1252">
        <v>1</v>
      </c>
      <c r="AH1252">
        <v>1.5</v>
      </c>
      <c r="AI1252">
        <v>512</v>
      </c>
      <c r="AJ1252">
        <v>512</v>
      </c>
      <c r="AK1252">
        <v>80</v>
      </c>
      <c r="AL1252" t="s">
        <v>153</v>
      </c>
      <c r="AM1252">
        <v>2</v>
      </c>
      <c r="AN1252" t="s">
        <v>996</v>
      </c>
      <c r="AO1252" t="s">
        <v>67</v>
      </c>
      <c r="AP1252" t="s">
        <v>68</v>
      </c>
      <c r="AQ1252">
        <v>15</v>
      </c>
      <c r="AR1252">
        <v>177</v>
      </c>
      <c r="AS1252">
        <v>354</v>
      </c>
      <c r="AT1252">
        <v>4.2</v>
      </c>
      <c r="AU1252">
        <v>7</v>
      </c>
      <c r="AV1252" t="s">
        <v>4580</v>
      </c>
      <c r="AW1252" t="s">
        <v>4581</v>
      </c>
      <c r="AX1252" t="s">
        <v>4582</v>
      </c>
    </row>
    <row r="1253" spans="1:50" x14ac:dyDescent="0.25">
      <c r="A1253" t="s">
        <v>4583</v>
      </c>
      <c r="B1253" t="s">
        <v>1679</v>
      </c>
      <c r="C1253">
        <v>0</v>
      </c>
      <c r="D1253">
        <v>1</v>
      </c>
      <c r="E1253" t="s">
        <v>1693</v>
      </c>
      <c r="H1253">
        <v>0</v>
      </c>
      <c r="N1253">
        <v>0</v>
      </c>
      <c r="Q1253">
        <v>0</v>
      </c>
      <c r="R1253">
        <v>1</v>
      </c>
      <c r="U1253" t="s">
        <v>65</v>
      </c>
      <c r="V1253">
        <v>53</v>
      </c>
      <c r="X1253" t="s">
        <v>80</v>
      </c>
      <c r="Y1253">
        <v>0</v>
      </c>
      <c r="Z1253">
        <v>77.110712708999998</v>
      </c>
      <c r="AA1253">
        <v>1.6256032533</v>
      </c>
      <c r="AB1253" t="s">
        <v>94</v>
      </c>
      <c r="AD1253" t="s">
        <v>57</v>
      </c>
      <c r="AE1253">
        <v>0</v>
      </c>
      <c r="AF1253">
        <v>6</v>
      </c>
      <c r="AG1253">
        <v>1</v>
      </c>
      <c r="AH1253">
        <v>3</v>
      </c>
      <c r="AI1253">
        <v>512</v>
      </c>
      <c r="AJ1253">
        <v>512</v>
      </c>
      <c r="AK1253">
        <v>126</v>
      </c>
      <c r="AL1253" t="s">
        <v>196</v>
      </c>
      <c r="AM1253">
        <v>1</v>
      </c>
      <c r="AN1253" t="s">
        <v>1741</v>
      </c>
      <c r="AO1253" t="s">
        <v>59</v>
      </c>
      <c r="AP1253" t="s">
        <v>124</v>
      </c>
      <c r="AQ1253">
        <v>11</v>
      </c>
      <c r="AR1253">
        <v>78</v>
      </c>
      <c r="AS1253">
        <v>214</v>
      </c>
      <c r="AT1253">
        <v>1.69</v>
      </c>
      <c r="AU1253">
        <v>4.5999999999999996</v>
      </c>
      <c r="AV1253" t="s">
        <v>1967</v>
      </c>
      <c r="AW1253" t="s">
        <v>4584</v>
      </c>
      <c r="AX1253" t="s">
        <v>4585</v>
      </c>
    </row>
    <row r="1254" spans="1:50" x14ac:dyDescent="0.25">
      <c r="A1254" t="s">
        <v>4586</v>
      </c>
      <c r="B1254" t="s">
        <v>1679</v>
      </c>
      <c r="C1254">
        <v>0</v>
      </c>
      <c r="D1254">
        <v>1</v>
      </c>
      <c r="E1254" t="s">
        <v>1698</v>
      </c>
      <c r="H1254">
        <v>0</v>
      </c>
      <c r="N1254">
        <v>1</v>
      </c>
      <c r="Q1254">
        <v>0</v>
      </c>
      <c r="R1254">
        <v>0</v>
      </c>
      <c r="U1254" t="s">
        <v>1687</v>
      </c>
      <c r="V1254">
        <v>44</v>
      </c>
      <c r="W1254" t="s">
        <v>1688</v>
      </c>
      <c r="X1254" t="s">
        <v>80</v>
      </c>
      <c r="Y1254">
        <v>0</v>
      </c>
      <c r="Z1254">
        <v>65.77</v>
      </c>
      <c r="AB1254" t="s">
        <v>74</v>
      </c>
      <c r="AD1254" t="s">
        <v>57</v>
      </c>
      <c r="AE1254">
        <v>0</v>
      </c>
      <c r="AF1254">
        <v>6</v>
      </c>
      <c r="AG1254">
        <v>1</v>
      </c>
      <c r="AH1254">
        <v>1.5</v>
      </c>
      <c r="AI1254">
        <v>512</v>
      </c>
      <c r="AJ1254">
        <v>512</v>
      </c>
      <c r="AK1254">
        <v>80</v>
      </c>
      <c r="AL1254" t="s">
        <v>497</v>
      </c>
      <c r="AM1254">
        <v>2</v>
      </c>
      <c r="AN1254" t="s">
        <v>996</v>
      </c>
      <c r="AO1254" t="s">
        <v>67</v>
      </c>
      <c r="AP1254" t="s">
        <v>68</v>
      </c>
      <c r="AQ1254">
        <v>15</v>
      </c>
      <c r="AR1254">
        <v>28</v>
      </c>
      <c r="AS1254">
        <v>57</v>
      </c>
      <c r="AT1254">
        <v>4.2</v>
      </c>
      <c r="AU1254">
        <v>7.0960000000000001</v>
      </c>
      <c r="AV1254" t="s">
        <v>3478</v>
      </c>
      <c r="AW1254" t="s">
        <v>1763</v>
      </c>
      <c r="AX1254" t="s">
        <v>4587</v>
      </c>
    </row>
    <row r="1255" spans="1:50" x14ac:dyDescent="0.25">
      <c r="A1255" t="s">
        <v>4588</v>
      </c>
      <c r="B1255" t="s">
        <v>1679</v>
      </c>
      <c r="C1255">
        <v>0</v>
      </c>
      <c r="D1255">
        <v>0</v>
      </c>
      <c r="E1255" t="s">
        <v>1680</v>
      </c>
      <c r="H1255">
        <v>0</v>
      </c>
      <c r="N1255">
        <v>0</v>
      </c>
      <c r="Q1255">
        <v>0</v>
      </c>
      <c r="R1255">
        <v>1</v>
      </c>
      <c r="U1255" t="s">
        <v>65</v>
      </c>
      <c r="V1255">
        <v>52</v>
      </c>
      <c r="W1255" t="s">
        <v>1688</v>
      </c>
      <c r="X1255" t="s">
        <v>55</v>
      </c>
      <c r="Y1255">
        <v>0</v>
      </c>
      <c r="Z1255">
        <v>97.069000000000003</v>
      </c>
      <c r="AB1255" t="s">
        <v>56</v>
      </c>
      <c r="AD1255" t="s">
        <v>57</v>
      </c>
      <c r="AE1255">
        <v>0</v>
      </c>
      <c r="AF1255">
        <v>6</v>
      </c>
      <c r="AG1255">
        <v>1</v>
      </c>
      <c r="AH1255">
        <v>1.5</v>
      </c>
      <c r="AI1255">
        <v>512</v>
      </c>
      <c r="AJ1255">
        <v>512</v>
      </c>
      <c r="AK1255">
        <v>72</v>
      </c>
      <c r="AL1255" t="s">
        <v>119</v>
      </c>
      <c r="AM1255">
        <v>2.2000000000000002</v>
      </c>
      <c r="AN1255" t="s">
        <v>1072</v>
      </c>
      <c r="AO1255" t="s">
        <v>67</v>
      </c>
      <c r="AP1255" t="s">
        <v>68</v>
      </c>
      <c r="AQ1255">
        <v>15</v>
      </c>
      <c r="AR1255">
        <v>176</v>
      </c>
      <c r="AS1255">
        <v>352</v>
      </c>
      <c r="AT1255">
        <v>4.2359999999999998</v>
      </c>
      <c r="AU1255">
        <v>8.6679999999999993</v>
      </c>
      <c r="AV1255" t="s">
        <v>4589</v>
      </c>
      <c r="AW1255" t="s">
        <v>4590</v>
      </c>
      <c r="AX1255" t="s">
        <v>4591</v>
      </c>
    </row>
    <row r="1256" spans="1:50" x14ac:dyDescent="0.25">
      <c r="A1256" t="s">
        <v>4592</v>
      </c>
      <c r="B1256" t="s">
        <v>1679</v>
      </c>
      <c r="C1256">
        <v>0</v>
      </c>
      <c r="D1256">
        <v>0</v>
      </c>
      <c r="E1256" t="s">
        <v>1780</v>
      </c>
      <c r="H1256">
        <v>0</v>
      </c>
      <c r="N1256">
        <v>1</v>
      </c>
      <c r="Q1256">
        <v>0</v>
      </c>
      <c r="R1256">
        <v>0</v>
      </c>
      <c r="U1256" t="s">
        <v>1687</v>
      </c>
      <c r="V1256">
        <v>64</v>
      </c>
      <c r="W1256" t="s">
        <v>79</v>
      </c>
      <c r="X1256" t="s">
        <v>80</v>
      </c>
      <c r="Y1256">
        <v>0</v>
      </c>
      <c r="Z1256">
        <v>75.296000000000006</v>
      </c>
      <c r="AB1256" t="s">
        <v>94</v>
      </c>
      <c r="AD1256" t="s">
        <v>57</v>
      </c>
      <c r="AE1256">
        <v>0</v>
      </c>
      <c r="AF1256">
        <v>6</v>
      </c>
      <c r="AG1256">
        <v>1</v>
      </c>
      <c r="AH1256">
        <v>1.5</v>
      </c>
      <c r="AI1256">
        <v>512</v>
      </c>
      <c r="AJ1256">
        <v>512</v>
      </c>
      <c r="AK1256">
        <v>66</v>
      </c>
      <c r="AL1256" t="s">
        <v>196</v>
      </c>
      <c r="AM1256">
        <v>2.4</v>
      </c>
      <c r="AN1256" t="s">
        <v>1942</v>
      </c>
      <c r="AO1256" t="s">
        <v>67</v>
      </c>
      <c r="AP1256" t="s">
        <v>68</v>
      </c>
      <c r="AQ1256">
        <v>15</v>
      </c>
      <c r="AR1256">
        <v>391</v>
      </c>
      <c r="AS1256">
        <v>782</v>
      </c>
      <c r="AT1256">
        <v>2.984</v>
      </c>
      <c r="AU1256">
        <v>6.2</v>
      </c>
      <c r="AV1256" t="s">
        <v>4593</v>
      </c>
      <c r="AW1256" t="s">
        <v>4594</v>
      </c>
      <c r="AX1256" t="s">
        <v>4595</v>
      </c>
    </row>
    <row r="1257" spans="1:50" x14ac:dyDescent="0.25">
      <c r="A1257" t="s">
        <v>4596</v>
      </c>
      <c r="B1257" t="s">
        <v>1679</v>
      </c>
      <c r="C1257">
        <v>0</v>
      </c>
      <c r="D1257">
        <v>0</v>
      </c>
      <c r="E1257" t="s">
        <v>1703</v>
      </c>
      <c r="H1257">
        <v>0</v>
      </c>
      <c r="N1257">
        <v>1</v>
      </c>
      <c r="Q1257">
        <v>0</v>
      </c>
      <c r="R1257">
        <v>0</v>
      </c>
      <c r="U1257" t="s">
        <v>1687</v>
      </c>
      <c r="V1257">
        <v>55</v>
      </c>
      <c r="W1257" t="s">
        <v>79</v>
      </c>
      <c r="X1257" t="s">
        <v>80</v>
      </c>
      <c r="Y1257">
        <v>0</v>
      </c>
      <c r="AD1257" t="s">
        <v>57</v>
      </c>
      <c r="AE1257">
        <v>0</v>
      </c>
      <c r="AF1257">
        <v>6</v>
      </c>
      <c r="AG1257">
        <v>1</v>
      </c>
      <c r="AH1257">
        <v>3</v>
      </c>
      <c r="AI1257">
        <v>512</v>
      </c>
      <c r="AJ1257">
        <v>512</v>
      </c>
      <c r="AK1257">
        <v>134</v>
      </c>
      <c r="AL1257" t="s">
        <v>350</v>
      </c>
      <c r="AM1257">
        <v>2.4</v>
      </c>
      <c r="AN1257" t="s">
        <v>1786</v>
      </c>
      <c r="AO1257" t="s">
        <v>67</v>
      </c>
      <c r="AP1257" t="s">
        <v>68</v>
      </c>
      <c r="AQ1257">
        <v>15</v>
      </c>
      <c r="AR1257">
        <v>239</v>
      </c>
      <c r="AS1257">
        <v>478</v>
      </c>
      <c r="AT1257">
        <v>2.72</v>
      </c>
      <c r="AU1257">
        <v>6.516</v>
      </c>
      <c r="AV1257" t="s">
        <v>4597</v>
      </c>
      <c r="AW1257" t="s">
        <v>3538</v>
      </c>
      <c r="AX1257" t="s">
        <v>4598</v>
      </c>
    </row>
    <row r="1258" spans="1:50" x14ac:dyDescent="0.25">
      <c r="A1258" t="s">
        <v>4599</v>
      </c>
      <c r="B1258" t="s">
        <v>1679</v>
      </c>
      <c r="C1258">
        <v>0</v>
      </c>
      <c r="D1258">
        <v>1</v>
      </c>
      <c r="E1258" t="s">
        <v>1693</v>
      </c>
      <c r="H1258">
        <v>0</v>
      </c>
      <c r="N1258">
        <v>0</v>
      </c>
      <c r="Q1258">
        <v>0</v>
      </c>
      <c r="R1258">
        <v>1</v>
      </c>
      <c r="U1258" t="s">
        <v>65</v>
      </c>
      <c r="V1258">
        <v>53</v>
      </c>
      <c r="W1258" t="s">
        <v>79</v>
      </c>
      <c r="X1258" t="s">
        <v>80</v>
      </c>
      <c r="Y1258">
        <v>0</v>
      </c>
      <c r="Z1258">
        <v>77.111000000000004</v>
      </c>
      <c r="AB1258" t="s">
        <v>94</v>
      </c>
      <c r="AD1258" t="s">
        <v>57</v>
      </c>
      <c r="AE1258">
        <v>0</v>
      </c>
      <c r="AF1258">
        <v>6</v>
      </c>
      <c r="AG1258">
        <v>1</v>
      </c>
      <c r="AH1258">
        <v>1.5</v>
      </c>
      <c r="AI1258">
        <v>512</v>
      </c>
      <c r="AJ1258">
        <v>512</v>
      </c>
      <c r="AK1258">
        <v>76</v>
      </c>
      <c r="AL1258" t="s">
        <v>196</v>
      </c>
      <c r="AM1258">
        <v>2.4</v>
      </c>
      <c r="AN1258" t="s">
        <v>1942</v>
      </c>
      <c r="AO1258" t="s">
        <v>67</v>
      </c>
      <c r="AP1258" t="s">
        <v>68</v>
      </c>
      <c r="AQ1258">
        <v>15</v>
      </c>
      <c r="AR1258">
        <v>558</v>
      </c>
      <c r="AS1258">
        <v>1116</v>
      </c>
      <c r="AT1258">
        <v>2.98</v>
      </c>
      <c r="AU1258">
        <v>6.1959999999999997</v>
      </c>
      <c r="AV1258" t="s">
        <v>4600</v>
      </c>
      <c r="AW1258" t="s">
        <v>4601</v>
      </c>
      <c r="AX1258" t="s">
        <v>4602</v>
      </c>
    </row>
    <row r="1259" spans="1:50" x14ac:dyDescent="0.25">
      <c r="A1259" t="s">
        <v>4603</v>
      </c>
      <c r="B1259" t="s">
        <v>1679</v>
      </c>
      <c r="C1259">
        <v>0</v>
      </c>
      <c r="D1259">
        <v>0</v>
      </c>
      <c r="E1259" t="s">
        <v>1698</v>
      </c>
      <c r="H1259">
        <v>1</v>
      </c>
      <c r="N1259">
        <v>0</v>
      </c>
      <c r="Q1259">
        <v>0</v>
      </c>
      <c r="R1259">
        <v>1</v>
      </c>
      <c r="U1259" t="s">
        <v>65</v>
      </c>
      <c r="V1259">
        <v>46</v>
      </c>
      <c r="W1259" t="s">
        <v>1688</v>
      </c>
      <c r="X1259" t="s">
        <v>80</v>
      </c>
      <c r="Y1259">
        <v>0</v>
      </c>
      <c r="Z1259">
        <v>88.450999999999993</v>
      </c>
      <c r="AB1259" t="s">
        <v>118</v>
      </c>
      <c r="AD1259" t="s">
        <v>57</v>
      </c>
      <c r="AE1259">
        <v>0</v>
      </c>
      <c r="AF1259">
        <v>6</v>
      </c>
      <c r="AG1259">
        <v>1</v>
      </c>
      <c r="AH1259">
        <v>1.5</v>
      </c>
      <c r="AI1259">
        <v>512</v>
      </c>
      <c r="AJ1259">
        <v>512</v>
      </c>
      <c r="AK1259">
        <v>72</v>
      </c>
      <c r="AL1259" t="s">
        <v>119</v>
      </c>
      <c r="AM1259">
        <v>2.2000000000000002</v>
      </c>
      <c r="AN1259" t="s">
        <v>1072</v>
      </c>
      <c r="AO1259" t="s">
        <v>67</v>
      </c>
      <c r="AP1259" t="s">
        <v>68</v>
      </c>
      <c r="AQ1259">
        <v>15</v>
      </c>
      <c r="AR1259">
        <v>156</v>
      </c>
      <c r="AS1259">
        <v>312</v>
      </c>
      <c r="AT1259">
        <v>4.2359999999999998</v>
      </c>
      <c r="AU1259">
        <v>8.6679999999999993</v>
      </c>
      <c r="AV1259" t="s">
        <v>4604</v>
      </c>
      <c r="AW1259" t="s">
        <v>4605</v>
      </c>
      <c r="AX1259" t="s">
        <v>4606</v>
      </c>
    </row>
    <row r="1260" spans="1:50" x14ac:dyDescent="0.25">
      <c r="A1260" t="s">
        <v>4607</v>
      </c>
      <c r="B1260" t="s">
        <v>1679</v>
      </c>
      <c r="C1260">
        <v>0</v>
      </c>
      <c r="D1260">
        <v>0</v>
      </c>
      <c r="E1260" t="s">
        <v>1680</v>
      </c>
      <c r="H1260">
        <v>0</v>
      </c>
      <c r="N1260">
        <v>1</v>
      </c>
      <c r="Q1260">
        <v>0</v>
      </c>
      <c r="R1260">
        <v>0</v>
      </c>
      <c r="U1260" t="s">
        <v>1687</v>
      </c>
      <c r="V1260">
        <v>47</v>
      </c>
      <c r="X1260" t="s">
        <v>111</v>
      </c>
      <c r="Y1260">
        <v>0</v>
      </c>
      <c r="Z1260">
        <v>57.152999999999999</v>
      </c>
      <c r="AB1260" t="s">
        <v>74</v>
      </c>
      <c r="AD1260" t="s">
        <v>57</v>
      </c>
      <c r="AE1260">
        <v>0</v>
      </c>
      <c r="AF1260">
        <v>6</v>
      </c>
      <c r="AG1260">
        <v>1</v>
      </c>
      <c r="AH1260">
        <v>3</v>
      </c>
      <c r="AI1260">
        <v>512</v>
      </c>
      <c r="AJ1260">
        <v>512</v>
      </c>
      <c r="AK1260">
        <v>134</v>
      </c>
      <c r="AL1260" t="s">
        <v>81</v>
      </c>
      <c r="AM1260">
        <v>2.4</v>
      </c>
      <c r="AN1260" t="s">
        <v>1786</v>
      </c>
      <c r="AO1260" t="s">
        <v>67</v>
      </c>
      <c r="AP1260" t="s">
        <v>68</v>
      </c>
      <c r="AQ1260">
        <v>15</v>
      </c>
      <c r="AR1260">
        <v>286</v>
      </c>
      <c r="AS1260">
        <v>573</v>
      </c>
      <c r="AT1260">
        <v>2.8479999999999999</v>
      </c>
      <c r="AU1260">
        <v>7.7450000000000001</v>
      </c>
      <c r="AV1260" t="s">
        <v>1817</v>
      </c>
      <c r="AW1260" t="s">
        <v>4608</v>
      </c>
      <c r="AX1260" t="s">
        <v>4609</v>
      </c>
    </row>
    <row r="1261" spans="1:50" x14ac:dyDescent="0.25">
      <c r="A1261" t="s">
        <v>4610</v>
      </c>
      <c r="B1261" t="s">
        <v>1679</v>
      </c>
      <c r="C1261">
        <v>0</v>
      </c>
      <c r="D1261">
        <v>1</v>
      </c>
      <c r="E1261" t="s">
        <v>2035</v>
      </c>
      <c r="H1261">
        <v>0</v>
      </c>
      <c r="N1261">
        <v>0</v>
      </c>
      <c r="Q1261">
        <v>1</v>
      </c>
      <c r="R1261">
        <v>1</v>
      </c>
      <c r="U1261" t="s">
        <v>72</v>
      </c>
      <c r="V1261">
        <v>52</v>
      </c>
      <c r="X1261" t="s">
        <v>55</v>
      </c>
      <c r="Y1261">
        <v>0</v>
      </c>
      <c r="Z1261">
        <v>100</v>
      </c>
      <c r="AB1261" t="s">
        <v>56</v>
      </c>
      <c r="AD1261" t="s">
        <v>57</v>
      </c>
      <c r="AE1261">
        <v>0</v>
      </c>
      <c r="AF1261">
        <v>6</v>
      </c>
      <c r="AG1261">
        <v>1</v>
      </c>
      <c r="AH1261">
        <v>1.5</v>
      </c>
      <c r="AI1261">
        <v>448</v>
      </c>
      <c r="AJ1261">
        <v>448</v>
      </c>
      <c r="AK1261">
        <v>64</v>
      </c>
      <c r="AL1261" t="s">
        <v>4611</v>
      </c>
      <c r="AM1261">
        <v>2.5</v>
      </c>
      <c r="AN1261" t="s">
        <v>1531</v>
      </c>
      <c r="AO1261" t="s">
        <v>1155</v>
      </c>
      <c r="AP1261" t="s">
        <v>1767</v>
      </c>
      <c r="AQ1261">
        <v>11</v>
      </c>
      <c r="AR1261">
        <v>69.88</v>
      </c>
      <c r="AS1261">
        <v>121.47</v>
      </c>
      <c r="AT1261">
        <v>2.5840000000000001</v>
      </c>
      <c r="AU1261">
        <v>5.1794000000000002</v>
      </c>
      <c r="AV1261" t="s">
        <v>4612</v>
      </c>
      <c r="AW1261" t="s">
        <v>2869</v>
      </c>
      <c r="AX1261" t="s">
        <v>4613</v>
      </c>
    </row>
    <row r="1262" spans="1:50" x14ac:dyDescent="0.25">
      <c r="A1262" t="s">
        <v>4614</v>
      </c>
      <c r="B1262" t="s">
        <v>1679</v>
      </c>
      <c r="C1262">
        <v>0</v>
      </c>
      <c r="D1262">
        <v>0</v>
      </c>
      <c r="E1262" t="s">
        <v>1703</v>
      </c>
      <c r="H1262">
        <v>0</v>
      </c>
      <c r="N1262">
        <v>0</v>
      </c>
      <c r="Q1262">
        <v>0</v>
      </c>
      <c r="R1262">
        <v>1</v>
      </c>
      <c r="U1262" t="s">
        <v>65</v>
      </c>
      <c r="V1262">
        <v>69</v>
      </c>
      <c r="W1262" t="s">
        <v>79</v>
      </c>
      <c r="X1262" t="s">
        <v>80</v>
      </c>
      <c r="Y1262">
        <v>0</v>
      </c>
      <c r="Z1262">
        <v>61.234999999999999</v>
      </c>
      <c r="AB1262" t="s">
        <v>74</v>
      </c>
      <c r="AD1262" t="s">
        <v>57</v>
      </c>
      <c r="AE1262">
        <v>0</v>
      </c>
      <c r="AF1262">
        <v>6</v>
      </c>
      <c r="AG1262">
        <v>1</v>
      </c>
      <c r="AH1262">
        <v>3</v>
      </c>
      <c r="AI1262">
        <v>512</v>
      </c>
      <c r="AJ1262">
        <v>512</v>
      </c>
      <c r="AK1262">
        <v>136</v>
      </c>
      <c r="AL1262" t="s">
        <v>81</v>
      </c>
      <c r="AM1262">
        <v>2.4</v>
      </c>
      <c r="AN1262" t="s">
        <v>1786</v>
      </c>
      <c r="AO1262" t="s">
        <v>67</v>
      </c>
      <c r="AP1262" t="s">
        <v>68</v>
      </c>
      <c r="AQ1262">
        <v>15</v>
      </c>
      <c r="AR1262">
        <v>163</v>
      </c>
      <c r="AS1262">
        <v>327</v>
      </c>
      <c r="AT1262">
        <v>2.8479999999999999</v>
      </c>
      <c r="AU1262">
        <v>7.7850000000000001</v>
      </c>
      <c r="AV1262" t="s">
        <v>1817</v>
      </c>
      <c r="AW1262" t="s">
        <v>4136</v>
      </c>
      <c r="AX1262" t="s">
        <v>4615</v>
      </c>
    </row>
    <row r="1263" spans="1:50" x14ac:dyDescent="0.25">
      <c r="A1263" t="s">
        <v>4616</v>
      </c>
      <c r="B1263" t="s">
        <v>1679</v>
      </c>
      <c r="C1263">
        <v>0</v>
      </c>
      <c r="D1263">
        <v>0</v>
      </c>
      <c r="E1263" t="s">
        <v>1703</v>
      </c>
      <c r="H1263">
        <v>0</v>
      </c>
      <c r="N1263">
        <v>1</v>
      </c>
      <c r="Q1263">
        <v>0</v>
      </c>
      <c r="R1263">
        <v>0</v>
      </c>
      <c r="U1263" t="s">
        <v>1687</v>
      </c>
      <c r="V1263">
        <v>52</v>
      </c>
      <c r="W1263" t="s">
        <v>1704</v>
      </c>
      <c r="X1263" t="s">
        <v>80</v>
      </c>
      <c r="Y1263">
        <v>0</v>
      </c>
      <c r="Z1263">
        <v>78.924999999999997</v>
      </c>
      <c r="AB1263" t="s">
        <v>94</v>
      </c>
      <c r="AD1263" t="s">
        <v>57</v>
      </c>
      <c r="AE1263">
        <v>0</v>
      </c>
      <c r="AF1263">
        <v>6</v>
      </c>
      <c r="AG1263">
        <v>1</v>
      </c>
      <c r="AH1263">
        <v>1.5</v>
      </c>
      <c r="AI1263">
        <v>512</v>
      </c>
      <c r="AJ1263">
        <v>512</v>
      </c>
      <c r="AK1263">
        <v>64</v>
      </c>
      <c r="AL1263" t="s">
        <v>119</v>
      </c>
      <c r="AM1263">
        <v>2.5</v>
      </c>
      <c r="AN1263" t="s">
        <v>2618</v>
      </c>
      <c r="AO1263" t="s">
        <v>67</v>
      </c>
      <c r="AP1263" t="s">
        <v>68</v>
      </c>
      <c r="AQ1263">
        <v>15</v>
      </c>
      <c r="AR1263">
        <v>101</v>
      </c>
      <c r="AS1263">
        <v>203</v>
      </c>
      <c r="AT1263">
        <v>3.036</v>
      </c>
      <c r="AU1263">
        <v>6.2240000000000002</v>
      </c>
      <c r="AW1263" t="s">
        <v>4447</v>
      </c>
      <c r="AX1263" t="s">
        <v>4617</v>
      </c>
    </row>
    <row r="1264" spans="1:50" x14ac:dyDescent="0.25">
      <c r="A1264" t="s">
        <v>4618</v>
      </c>
      <c r="B1264" t="s">
        <v>1679</v>
      </c>
      <c r="C1264">
        <v>0</v>
      </c>
      <c r="D1264">
        <v>0</v>
      </c>
      <c r="E1264" t="s">
        <v>1791</v>
      </c>
      <c r="H1264">
        <v>1</v>
      </c>
      <c r="N1264">
        <v>0</v>
      </c>
      <c r="Q1264">
        <v>1</v>
      </c>
      <c r="R1264">
        <v>0</v>
      </c>
      <c r="U1264" t="s">
        <v>72</v>
      </c>
      <c r="V1264">
        <v>44</v>
      </c>
      <c r="X1264" t="s">
        <v>55</v>
      </c>
      <c r="Y1264">
        <v>0</v>
      </c>
      <c r="Z1264">
        <v>56.698999999999998</v>
      </c>
      <c r="AB1264" t="s">
        <v>74</v>
      </c>
      <c r="AD1264" t="s">
        <v>57</v>
      </c>
      <c r="AE1264">
        <v>0</v>
      </c>
      <c r="AF1264">
        <v>6</v>
      </c>
      <c r="AG1264">
        <v>1</v>
      </c>
      <c r="AH1264">
        <v>3</v>
      </c>
      <c r="AI1264">
        <v>512</v>
      </c>
      <c r="AJ1264">
        <v>512</v>
      </c>
      <c r="AK1264">
        <v>66</v>
      </c>
      <c r="AL1264" t="s">
        <v>2022</v>
      </c>
      <c r="AM1264">
        <v>2.4</v>
      </c>
      <c r="AN1264" t="s">
        <v>1915</v>
      </c>
      <c r="AO1264" t="s">
        <v>67</v>
      </c>
      <c r="AP1264" t="s">
        <v>68</v>
      </c>
      <c r="AQ1264">
        <v>15</v>
      </c>
      <c r="AR1264">
        <v>289</v>
      </c>
      <c r="AS1264">
        <v>578</v>
      </c>
      <c r="AT1264">
        <v>2.2320000000000002</v>
      </c>
      <c r="AU1264">
        <v>6.8010000000000002</v>
      </c>
      <c r="AV1264" t="s">
        <v>4619</v>
      </c>
      <c r="AW1264" t="s">
        <v>4620</v>
      </c>
      <c r="AX1264" t="s">
        <v>4621</v>
      </c>
    </row>
    <row r="1265" spans="1:50" x14ac:dyDescent="0.25">
      <c r="A1265" t="s">
        <v>4622</v>
      </c>
      <c r="B1265" t="s">
        <v>1679</v>
      </c>
      <c r="C1265">
        <v>0</v>
      </c>
      <c r="D1265">
        <v>0</v>
      </c>
      <c r="E1265" t="s">
        <v>1686</v>
      </c>
      <c r="H1265">
        <v>1</v>
      </c>
      <c r="N1265">
        <v>0</v>
      </c>
      <c r="Q1265">
        <v>0</v>
      </c>
      <c r="R1265">
        <v>1</v>
      </c>
      <c r="U1265" t="s">
        <v>65</v>
      </c>
      <c r="V1265">
        <v>66</v>
      </c>
      <c r="W1265" t="s">
        <v>79</v>
      </c>
      <c r="X1265" t="s">
        <v>80</v>
      </c>
      <c r="Y1265">
        <v>0</v>
      </c>
      <c r="Z1265">
        <v>74.843000000000004</v>
      </c>
      <c r="AB1265" t="s">
        <v>94</v>
      </c>
      <c r="AD1265" t="s">
        <v>57</v>
      </c>
      <c r="AE1265">
        <v>0</v>
      </c>
      <c r="AF1265">
        <v>6</v>
      </c>
      <c r="AG1265">
        <v>1</v>
      </c>
      <c r="AH1265">
        <v>1.5</v>
      </c>
      <c r="AI1265">
        <v>512</v>
      </c>
      <c r="AJ1265">
        <v>512</v>
      </c>
      <c r="AK1265">
        <v>80</v>
      </c>
      <c r="AL1265" t="s">
        <v>153</v>
      </c>
      <c r="AM1265">
        <v>2</v>
      </c>
      <c r="AN1265" t="s">
        <v>996</v>
      </c>
      <c r="AO1265" t="s">
        <v>67</v>
      </c>
      <c r="AP1265" t="s">
        <v>68</v>
      </c>
      <c r="AQ1265">
        <v>15</v>
      </c>
      <c r="AR1265">
        <v>125</v>
      </c>
      <c r="AS1265">
        <v>251</v>
      </c>
      <c r="AT1265">
        <v>4.2</v>
      </c>
      <c r="AU1265">
        <v>7</v>
      </c>
      <c r="AV1265" t="s">
        <v>4623</v>
      </c>
      <c r="AW1265" t="s">
        <v>1935</v>
      </c>
      <c r="AX1265" t="s">
        <v>4624</v>
      </c>
    </row>
    <row r="1266" spans="1:50" x14ac:dyDescent="0.25">
      <c r="A1266" t="s">
        <v>4625</v>
      </c>
      <c r="B1266" t="s">
        <v>1679</v>
      </c>
      <c r="C1266">
        <v>0</v>
      </c>
      <c r="D1266">
        <v>0</v>
      </c>
      <c r="E1266" t="s">
        <v>1740</v>
      </c>
      <c r="H1266">
        <v>0</v>
      </c>
      <c r="N1266">
        <v>0</v>
      </c>
      <c r="Q1266">
        <v>0</v>
      </c>
      <c r="R1266">
        <v>0</v>
      </c>
      <c r="U1266" t="s">
        <v>65</v>
      </c>
      <c r="V1266">
        <v>58</v>
      </c>
      <c r="W1266" t="s">
        <v>79</v>
      </c>
      <c r="X1266" t="s">
        <v>80</v>
      </c>
      <c r="Y1266">
        <v>0</v>
      </c>
      <c r="Z1266">
        <v>109.76900000000001</v>
      </c>
      <c r="AB1266" t="s">
        <v>269</v>
      </c>
      <c r="AD1266" t="s">
        <v>57</v>
      </c>
      <c r="AE1266">
        <v>0</v>
      </c>
      <c r="AF1266">
        <v>6</v>
      </c>
      <c r="AG1266">
        <v>1</v>
      </c>
      <c r="AH1266">
        <v>3</v>
      </c>
      <c r="AI1266">
        <v>512</v>
      </c>
      <c r="AJ1266">
        <v>512</v>
      </c>
      <c r="AK1266">
        <v>66</v>
      </c>
      <c r="AL1266" t="s">
        <v>81</v>
      </c>
      <c r="AM1266">
        <v>2.4</v>
      </c>
      <c r="AN1266" t="s">
        <v>1915</v>
      </c>
      <c r="AO1266" t="s">
        <v>67</v>
      </c>
      <c r="AP1266" t="s">
        <v>68</v>
      </c>
      <c r="AQ1266">
        <v>15</v>
      </c>
      <c r="AR1266">
        <v>155</v>
      </c>
      <c r="AS1266">
        <v>311</v>
      </c>
      <c r="AT1266">
        <v>2.1</v>
      </c>
      <c r="AU1266">
        <v>4.7699999999999996</v>
      </c>
      <c r="AV1266" t="s">
        <v>4626</v>
      </c>
      <c r="AW1266" t="s">
        <v>4627</v>
      </c>
      <c r="AX1266" t="s">
        <v>4628</v>
      </c>
    </row>
    <row r="1267" spans="1:50" x14ac:dyDescent="0.25">
      <c r="A1267" t="s">
        <v>4629</v>
      </c>
      <c r="B1267" t="s">
        <v>1679</v>
      </c>
      <c r="C1267">
        <v>0</v>
      </c>
      <c r="D1267">
        <v>0</v>
      </c>
      <c r="E1267" t="s">
        <v>1740</v>
      </c>
      <c r="H1267">
        <v>1</v>
      </c>
      <c r="N1267">
        <v>0</v>
      </c>
      <c r="Q1267">
        <v>1</v>
      </c>
      <c r="R1267">
        <v>0</v>
      </c>
      <c r="U1267" t="s">
        <v>72</v>
      </c>
      <c r="V1267">
        <v>40</v>
      </c>
      <c r="W1267" t="s">
        <v>1726</v>
      </c>
      <c r="X1267" t="s">
        <v>80</v>
      </c>
      <c r="Y1267">
        <v>1</v>
      </c>
      <c r="Z1267">
        <v>70.760000000000005</v>
      </c>
      <c r="AB1267" t="s">
        <v>94</v>
      </c>
      <c r="AD1267" t="s">
        <v>57</v>
      </c>
      <c r="AE1267">
        <v>0</v>
      </c>
      <c r="AF1267">
        <v>6</v>
      </c>
      <c r="AG1267">
        <v>1</v>
      </c>
      <c r="AH1267">
        <v>1.5</v>
      </c>
      <c r="AI1267">
        <v>512</v>
      </c>
      <c r="AJ1267">
        <v>512</v>
      </c>
      <c r="AK1267">
        <v>80</v>
      </c>
      <c r="AL1267" t="s">
        <v>153</v>
      </c>
      <c r="AM1267">
        <v>2</v>
      </c>
      <c r="AN1267" t="s">
        <v>996</v>
      </c>
      <c r="AO1267" t="s">
        <v>67</v>
      </c>
      <c r="AP1267" t="s">
        <v>68</v>
      </c>
      <c r="AQ1267">
        <v>15</v>
      </c>
      <c r="AR1267">
        <v>94</v>
      </c>
      <c r="AS1267">
        <v>189</v>
      </c>
      <c r="AT1267">
        <v>4.2</v>
      </c>
      <c r="AU1267">
        <v>7</v>
      </c>
      <c r="AV1267" t="s">
        <v>4630</v>
      </c>
      <c r="AW1267" t="s">
        <v>4631</v>
      </c>
      <c r="AX1267" t="s">
        <v>4632</v>
      </c>
    </row>
    <row r="1268" spans="1:50" x14ac:dyDescent="0.25">
      <c r="A1268" t="s">
        <v>4633</v>
      </c>
      <c r="B1268" t="s">
        <v>1679</v>
      </c>
      <c r="C1268">
        <v>0</v>
      </c>
      <c r="D1268">
        <v>1</v>
      </c>
      <c r="E1268" t="s">
        <v>1740</v>
      </c>
      <c r="H1268">
        <v>0</v>
      </c>
      <c r="N1268">
        <v>1</v>
      </c>
      <c r="Q1268">
        <v>1</v>
      </c>
      <c r="R1268">
        <v>0</v>
      </c>
      <c r="U1268" t="s">
        <v>1735</v>
      </c>
      <c r="V1268">
        <v>68</v>
      </c>
      <c r="W1268" t="s">
        <v>79</v>
      </c>
      <c r="X1268" t="s">
        <v>55</v>
      </c>
      <c r="Y1268">
        <v>0</v>
      </c>
      <c r="Z1268">
        <v>76.203527853599994</v>
      </c>
      <c r="AB1268" t="s">
        <v>94</v>
      </c>
      <c r="AD1268" t="s">
        <v>57</v>
      </c>
      <c r="AE1268">
        <v>0</v>
      </c>
      <c r="AF1268">
        <v>6</v>
      </c>
      <c r="AG1268">
        <v>1</v>
      </c>
      <c r="AH1268">
        <v>1.5</v>
      </c>
      <c r="AI1268">
        <v>512</v>
      </c>
      <c r="AJ1268">
        <v>512</v>
      </c>
      <c r="AK1268">
        <v>80</v>
      </c>
      <c r="AL1268" t="s">
        <v>1010</v>
      </c>
      <c r="AM1268">
        <v>2</v>
      </c>
      <c r="AN1268" t="s">
        <v>1011</v>
      </c>
      <c r="AO1268" t="s">
        <v>59</v>
      </c>
      <c r="AP1268" t="s">
        <v>60</v>
      </c>
      <c r="AQ1268">
        <v>11</v>
      </c>
      <c r="AR1268">
        <v>58</v>
      </c>
      <c r="AS1268">
        <v>156</v>
      </c>
      <c r="AT1268">
        <v>1.67</v>
      </c>
      <c r="AU1268">
        <v>4.51</v>
      </c>
      <c r="AV1268" t="s">
        <v>4634</v>
      </c>
      <c r="AW1268" t="s">
        <v>3129</v>
      </c>
      <c r="AX1268" t="s">
        <v>4635</v>
      </c>
    </row>
    <row r="1269" spans="1:50" x14ac:dyDescent="0.25">
      <c r="A1269" t="s">
        <v>4636</v>
      </c>
      <c r="B1269" t="s">
        <v>1679</v>
      </c>
      <c r="C1269">
        <v>0</v>
      </c>
      <c r="D1269">
        <v>0</v>
      </c>
      <c r="E1269" t="s">
        <v>1698</v>
      </c>
      <c r="H1269">
        <v>1</v>
      </c>
      <c r="N1269">
        <v>0</v>
      </c>
      <c r="Q1269">
        <v>0</v>
      </c>
      <c r="R1269">
        <v>1</v>
      </c>
      <c r="U1269" t="s">
        <v>65</v>
      </c>
      <c r="V1269">
        <v>37</v>
      </c>
      <c r="X1269" t="s">
        <v>80</v>
      </c>
      <c r="Y1269">
        <v>0</v>
      </c>
      <c r="Z1269">
        <v>65</v>
      </c>
      <c r="AB1269" t="s">
        <v>74</v>
      </c>
      <c r="AD1269" t="s">
        <v>57</v>
      </c>
      <c r="AE1269">
        <v>0</v>
      </c>
      <c r="AF1269">
        <v>6</v>
      </c>
      <c r="AG1269">
        <v>1</v>
      </c>
      <c r="AH1269">
        <v>1.5</v>
      </c>
      <c r="AI1269">
        <v>512</v>
      </c>
      <c r="AJ1269">
        <v>512</v>
      </c>
      <c r="AK1269">
        <v>64</v>
      </c>
      <c r="AL1269" t="s">
        <v>196</v>
      </c>
      <c r="AM1269">
        <v>2.5</v>
      </c>
      <c r="AN1269" t="s">
        <v>1531</v>
      </c>
      <c r="AO1269" t="s">
        <v>1155</v>
      </c>
      <c r="AP1269" t="s">
        <v>1767</v>
      </c>
      <c r="AQ1269">
        <v>11</v>
      </c>
      <c r="AR1269">
        <v>58.04</v>
      </c>
      <c r="AS1269">
        <v>100.97</v>
      </c>
      <c r="AT1269">
        <v>2.5920000000000001</v>
      </c>
      <c r="AU1269">
        <v>5.1962999999999999</v>
      </c>
      <c r="AV1269" t="s">
        <v>4637</v>
      </c>
      <c r="AW1269" t="s">
        <v>4638</v>
      </c>
      <c r="AX1269" t="s">
        <v>4639</v>
      </c>
    </row>
    <row r="1270" spans="1:50" x14ac:dyDescent="0.25">
      <c r="A1270" t="s">
        <v>4640</v>
      </c>
      <c r="B1270" t="s">
        <v>1679</v>
      </c>
      <c r="C1270">
        <v>0</v>
      </c>
      <c r="D1270">
        <v>0</v>
      </c>
      <c r="E1270" t="s">
        <v>1703</v>
      </c>
      <c r="H1270">
        <v>0</v>
      </c>
      <c r="N1270">
        <v>1</v>
      </c>
      <c r="Q1270">
        <v>0</v>
      </c>
      <c r="R1270">
        <v>0</v>
      </c>
      <c r="U1270" t="s">
        <v>1687</v>
      </c>
      <c r="V1270">
        <v>53</v>
      </c>
      <c r="W1270" t="s">
        <v>1726</v>
      </c>
      <c r="X1270" t="s">
        <v>80</v>
      </c>
      <c r="Y1270">
        <v>0</v>
      </c>
      <c r="Z1270">
        <v>61.689</v>
      </c>
      <c r="AB1270" t="s">
        <v>74</v>
      </c>
      <c r="AD1270" t="s">
        <v>57</v>
      </c>
      <c r="AE1270">
        <v>0</v>
      </c>
      <c r="AF1270">
        <v>6</v>
      </c>
      <c r="AG1270">
        <v>1</v>
      </c>
      <c r="AH1270">
        <v>1.5</v>
      </c>
      <c r="AI1270">
        <v>512</v>
      </c>
      <c r="AJ1270">
        <v>512</v>
      </c>
      <c r="AK1270">
        <v>80</v>
      </c>
      <c r="AL1270" t="s">
        <v>196</v>
      </c>
      <c r="AM1270">
        <v>2</v>
      </c>
      <c r="AN1270" t="s">
        <v>996</v>
      </c>
      <c r="AO1270" t="s">
        <v>67</v>
      </c>
      <c r="AP1270" t="s">
        <v>68</v>
      </c>
      <c r="AQ1270">
        <v>15</v>
      </c>
      <c r="AR1270">
        <v>74</v>
      </c>
      <c r="AS1270">
        <v>148</v>
      </c>
      <c r="AT1270">
        <v>4.2</v>
      </c>
      <c r="AU1270">
        <v>7</v>
      </c>
      <c r="AV1270" t="s">
        <v>4641</v>
      </c>
      <c r="AW1270" t="s">
        <v>4642</v>
      </c>
      <c r="AX1270" t="s">
        <v>4643</v>
      </c>
    </row>
    <row r="1271" spans="1:50" x14ac:dyDescent="0.25">
      <c r="A1271" t="s">
        <v>4644</v>
      </c>
      <c r="B1271" t="s">
        <v>1679</v>
      </c>
      <c r="C1271">
        <v>0</v>
      </c>
      <c r="D1271">
        <v>0</v>
      </c>
      <c r="E1271" t="s">
        <v>1703</v>
      </c>
      <c r="H1271">
        <v>0</v>
      </c>
      <c r="N1271">
        <v>1</v>
      </c>
      <c r="Q1271">
        <v>0</v>
      </c>
      <c r="R1271">
        <v>1</v>
      </c>
      <c r="U1271" t="s">
        <v>1687</v>
      </c>
      <c r="V1271">
        <v>33</v>
      </c>
      <c r="W1271" t="s">
        <v>1688</v>
      </c>
      <c r="X1271" t="s">
        <v>80</v>
      </c>
      <c r="Y1271">
        <v>0</v>
      </c>
      <c r="AD1271" t="s">
        <v>57</v>
      </c>
      <c r="AE1271">
        <v>1</v>
      </c>
      <c r="AF1271">
        <v>6</v>
      </c>
      <c r="AG1271">
        <v>1</v>
      </c>
      <c r="AH1271">
        <v>1.5</v>
      </c>
      <c r="AI1271">
        <v>384</v>
      </c>
      <c r="AJ1271">
        <v>384</v>
      </c>
      <c r="AK1271">
        <v>160</v>
      </c>
      <c r="AL1271" t="s">
        <v>75</v>
      </c>
      <c r="AM1271">
        <v>1</v>
      </c>
      <c r="AN1271" t="s">
        <v>1728</v>
      </c>
      <c r="AO1271" t="s">
        <v>59</v>
      </c>
      <c r="AP1271" t="s">
        <v>1729</v>
      </c>
      <c r="AQ1271">
        <v>11</v>
      </c>
      <c r="AR1271">
        <v>53</v>
      </c>
      <c r="AS1271">
        <v>142</v>
      </c>
      <c r="AT1271">
        <v>1.81</v>
      </c>
      <c r="AU1271">
        <v>5.05</v>
      </c>
      <c r="AV1271" t="s">
        <v>1787</v>
      </c>
      <c r="AW1271" t="s">
        <v>4645</v>
      </c>
      <c r="AX1271" t="s">
        <v>4646</v>
      </c>
    </row>
    <row r="1272" spans="1:50" x14ac:dyDescent="0.25">
      <c r="A1272" t="s">
        <v>4647</v>
      </c>
      <c r="B1272" t="s">
        <v>1679</v>
      </c>
      <c r="C1272">
        <v>0</v>
      </c>
      <c r="D1272">
        <v>0</v>
      </c>
      <c r="E1272" t="s">
        <v>1680</v>
      </c>
      <c r="H1272">
        <v>1</v>
      </c>
      <c r="N1272">
        <v>1</v>
      </c>
      <c r="Q1272">
        <v>0</v>
      </c>
      <c r="R1272">
        <v>0</v>
      </c>
      <c r="U1272" t="s">
        <v>1687</v>
      </c>
      <c r="V1272">
        <v>50</v>
      </c>
      <c r="X1272" t="s">
        <v>55</v>
      </c>
      <c r="Y1272">
        <v>0</v>
      </c>
      <c r="Z1272">
        <v>65.770902016500003</v>
      </c>
      <c r="AB1272" t="s">
        <v>74</v>
      </c>
      <c r="AD1272" t="s">
        <v>57</v>
      </c>
      <c r="AE1272">
        <v>0</v>
      </c>
      <c r="AF1272">
        <v>6</v>
      </c>
      <c r="AG1272">
        <v>1</v>
      </c>
      <c r="AH1272">
        <v>1.5</v>
      </c>
      <c r="AI1272">
        <v>512</v>
      </c>
      <c r="AJ1272">
        <v>512</v>
      </c>
      <c r="AK1272">
        <v>80</v>
      </c>
      <c r="AL1272" t="s">
        <v>1010</v>
      </c>
      <c r="AM1272">
        <v>2</v>
      </c>
      <c r="AN1272" t="s">
        <v>1011</v>
      </c>
      <c r="AO1272" t="s">
        <v>59</v>
      </c>
      <c r="AP1272" t="s">
        <v>60</v>
      </c>
      <c r="AQ1272">
        <v>11</v>
      </c>
      <c r="AR1272">
        <v>68</v>
      </c>
      <c r="AS1272">
        <v>183</v>
      </c>
      <c r="AT1272">
        <v>1.67</v>
      </c>
      <c r="AU1272">
        <v>4.51</v>
      </c>
      <c r="AV1272" t="s">
        <v>4648</v>
      </c>
      <c r="AW1272" t="s">
        <v>3983</v>
      </c>
      <c r="AX1272" t="s">
        <v>4649</v>
      </c>
    </row>
    <row r="1273" spans="1:50" x14ac:dyDescent="0.25">
      <c r="A1273" t="s">
        <v>4650</v>
      </c>
      <c r="B1273" t="s">
        <v>1679</v>
      </c>
      <c r="C1273">
        <v>0</v>
      </c>
      <c r="D1273">
        <v>0</v>
      </c>
      <c r="E1273" t="s">
        <v>1725</v>
      </c>
      <c r="H1273">
        <v>0</v>
      </c>
      <c r="N1273">
        <v>1</v>
      </c>
      <c r="Q1273">
        <v>0</v>
      </c>
      <c r="R1273">
        <v>0</v>
      </c>
      <c r="U1273" t="s">
        <v>1687</v>
      </c>
      <c r="V1273">
        <v>37</v>
      </c>
      <c r="W1273" t="s">
        <v>1688</v>
      </c>
      <c r="X1273" t="s">
        <v>80</v>
      </c>
      <c r="Y1273">
        <v>0</v>
      </c>
      <c r="Z1273">
        <v>68</v>
      </c>
      <c r="AA1273">
        <v>1.6</v>
      </c>
      <c r="AB1273" t="s">
        <v>94</v>
      </c>
      <c r="AD1273" t="s">
        <v>57</v>
      </c>
      <c r="AE1273">
        <v>1</v>
      </c>
      <c r="AF1273">
        <v>6</v>
      </c>
      <c r="AG1273">
        <v>1</v>
      </c>
      <c r="AH1273">
        <v>3</v>
      </c>
      <c r="AI1273">
        <v>384</v>
      </c>
      <c r="AJ1273">
        <v>384</v>
      </c>
      <c r="AK1273">
        <v>72</v>
      </c>
      <c r="AL1273" t="s">
        <v>1394</v>
      </c>
      <c r="AM1273">
        <v>2.5</v>
      </c>
      <c r="AN1273" t="s">
        <v>1114</v>
      </c>
      <c r="AO1273" t="s">
        <v>59</v>
      </c>
      <c r="AP1273" t="s">
        <v>1781</v>
      </c>
      <c r="AQ1273">
        <v>11</v>
      </c>
      <c r="AR1273">
        <v>60</v>
      </c>
      <c r="AS1273">
        <v>170</v>
      </c>
      <c r="AT1273">
        <v>1.37</v>
      </c>
      <c r="AU1273">
        <v>4.32</v>
      </c>
      <c r="AV1273" t="s">
        <v>4651</v>
      </c>
      <c r="AW1273" t="s">
        <v>2538</v>
      </c>
      <c r="AX1273" t="s">
        <v>4652</v>
      </c>
    </row>
    <row r="1274" spans="1:50" x14ac:dyDescent="0.25">
      <c r="A1274" t="s">
        <v>4653</v>
      </c>
      <c r="B1274" t="s">
        <v>1679</v>
      </c>
      <c r="C1274">
        <v>0</v>
      </c>
      <c r="D1274">
        <v>1</v>
      </c>
      <c r="E1274" t="s">
        <v>1791</v>
      </c>
      <c r="H1274">
        <v>1</v>
      </c>
      <c r="N1274">
        <v>1</v>
      </c>
      <c r="Q1274">
        <v>1</v>
      </c>
      <c r="R1274">
        <v>0</v>
      </c>
      <c r="U1274" t="s">
        <v>1735</v>
      </c>
      <c r="V1274">
        <v>30</v>
      </c>
      <c r="W1274" t="s">
        <v>1688</v>
      </c>
      <c r="X1274" t="s">
        <v>80</v>
      </c>
      <c r="Y1274">
        <v>0</v>
      </c>
      <c r="AD1274" t="s">
        <v>57</v>
      </c>
      <c r="AE1274">
        <v>0</v>
      </c>
      <c r="AF1274">
        <v>6</v>
      </c>
      <c r="AG1274">
        <v>1</v>
      </c>
      <c r="AH1274">
        <v>1.5</v>
      </c>
      <c r="AI1274">
        <v>512</v>
      </c>
      <c r="AJ1274">
        <v>512</v>
      </c>
      <c r="AK1274">
        <v>80</v>
      </c>
      <c r="AL1274" t="s">
        <v>66</v>
      </c>
      <c r="AM1274">
        <v>2</v>
      </c>
      <c r="AN1274" t="s">
        <v>1681</v>
      </c>
      <c r="AO1274" t="s">
        <v>67</v>
      </c>
      <c r="AP1274" t="s">
        <v>68</v>
      </c>
      <c r="AQ1274">
        <v>15</v>
      </c>
      <c r="AR1274">
        <v>283</v>
      </c>
      <c r="AS1274">
        <v>566</v>
      </c>
      <c r="AT1274">
        <v>2.6960000000000002</v>
      </c>
      <c r="AU1274">
        <v>6.5890000000000004</v>
      </c>
      <c r="AV1274" t="s">
        <v>4654</v>
      </c>
      <c r="AW1274" t="s">
        <v>4454</v>
      </c>
      <c r="AX1274" t="s">
        <v>4655</v>
      </c>
    </row>
    <row r="1275" spans="1:50" x14ac:dyDescent="0.25">
      <c r="A1275" t="s">
        <v>4656</v>
      </c>
      <c r="B1275" t="s">
        <v>1679</v>
      </c>
      <c r="C1275">
        <v>0</v>
      </c>
      <c r="D1275">
        <v>0</v>
      </c>
      <c r="E1275" t="s">
        <v>1839</v>
      </c>
      <c r="H1275">
        <v>1</v>
      </c>
      <c r="N1275">
        <v>0</v>
      </c>
      <c r="Q1275">
        <v>1</v>
      </c>
      <c r="R1275">
        <v>1</v>
      </c>
      <c r="U1275" t="s">
        <v>72</v>
      </c>
      <c r="V1275">
        <v>58</v>
      </c>
      <c r="W1275" t="s">
        <v>79</v>
      </c>
      <c r="X1275" t="s">
        <v>80</v>
      </c>
      <c r="Y1275">
        <v>0</v>
      </c>
      <c r="Z1275">
        <v>80.7</v>
      </c>
      <c r="AB1275" t="s">
        <v>94</v>
      </c>
      <c r="AD1275" t="s">
        <v>57</v>
      </c>
      <c r="AE1275">
        <v>0</v>
      </c>
      <c r="AF1275">
        <v>6</v>
      </c>
      <c r="AG1275">
        <v>1</v>
      </c>
      <c r="AH1275">
        <v>1.5</v>
      </c>
      <c r="AI1275">
        <v>512</v>
      </c>
      <c r="AJ1275">
        <v>512</v>
      </c>
      <c r="AK1275">
        <v>80</v>
      </c>
      <c r="AL1275" t="s">
        <v>81</v>
      </c>
      <c r="AM1275">
        <v>2</v>
      </c>
      <c r="AN1275" t="s">
        <v>1705</v>
      </c>
      <c r="AO1275" t="s">
        <v>67</v>
      </c>
      <c r="AP1275" t="s">
        <v>89</v>
      </c>
      <c r="AQ1275">
        <v>15</v>
      </c>
      <c r="AR1275">
        <v>177</v>
      </c>
      <c r="AS1275">
        <v>354</v>
      </c>
      <c r="AT1275">
        <v>2.548</v>
      </c>
      <c r="AU1275">
        <v>5.2759999999999998</v>
      </c>
      <c r="AV1275" t="s">
        <v>4657</v>
      </c>
      <c r="AW1275" t="s">
        <v>4658</v>
      </c>
      <c r="AX1275" t="s">
        <v>4659</v>
      </c>
    </row>
    <row r="1276" spans="1:50" x14ac:dyDescent="0.25">
      <c r="A1276" t="s">
        <v>4660</v>
      </c>
      <c r="B1276" t="s">
        <v>1679</v>
      </c>
      <c r="C1276">
        <v>1</v>
      </c>
      <c r="D1276">
        <v>1</v>
      </c>
      <c r="E1276" t="s">
        <v>1686</v>
      </c>
      <c r="H1276">
        <v>0</v>
      </c>
      <c r="N1276">
        <v>1</v>
      </c>
      <c r="Q1276">
        <v>0</v>
      </c>
      <c r="R1276">
        <v>0</v>
      </c>
      <c r="U1276" t="s">
        <v>1687</v>
      </c>
      <c r="V1276">
        <v>68</v>
      </c>
      <c r="X1276" t="s">
        <v>80</v>
      </c>
      <c r="Y1276">
        <v>0</v>
      </c>
      <c r="AD1276" t="s">
        <v>57</v>
      </c>
      <c r="AE1276">
        <v>1</v>
      </c>
      <c r="AF1276">
        <v>6</v>
      </c>
      <c r="AG1276">
        <v>1</v>
      </c>
      <c r="AH1276">
        <v>1.5</v>
      </c>
      <c r="AI1276">
        <v>384</v>
      </c>
      <c r="AJ1276">
        <v>384</v>
      </c>
      <c r="AK1276">
        <v>160</v>
      </c>
      <c r="AL1276" t="s">
        <v>1727</v>
      </c>
      <c r="AM1276">
        <v>1</v>
      </c>
      <c r="AN1276" t="s">
        <v>1728</v>
      </c>
      <c r="AO1276" t="s">
        <v>59</v>
      </c>
      <c r="AP1276" t="s">
        <v>1729</v>
      </c>
      <c r="AQ1276">
        <v>11</v>
      </c>
      <c r="AR1276">
        <v>47</v>
      </c>
      <c r="AS1276">
        <v>130</v>
      </c>
      <c r="AT1276">
        <v>1.81</v>
      </c>
      <c r="AU1276">
        <v>5.05</v>
      </c>
      <c r="AV1276" t="s">
        <v>2106</v>
      </c>
      <c r="AW1276" t="s">
        <v>4661</v>
      </c>
      <c r="AX1276" t="s">
        <v>4662</v>
      </c>
    </row>
    <row r="1277" spans="1:50" x14ac:dyDescent="0.25">
      <c r="A1277" t="s">
        <v>4663</v>
      </c>
      <c r="B1277" t="s">
        <v>1679</v>
      </c>
      <c r="C1277">
        <v>0</v>
      </c>
      <c r="D1277">
        <v>0</v>
      </c>
      <c r="E1277" t="s">
        <v>1871</v>
      </c>
      <c r="H1277">
        <v>1</v>
      </c>
      <c r="N1277">
        <v>0</v>
      </c>
      <c r="Q1277">
        <v>1</v>
      </c>
      <c r="R1277">
        <v>1</v>
      </c>
      <c r="U1277" t="s">
        <v>72</v>
      </c>
      <c r="V1277">
        <v>29</v>
      </c>
      <c r="W1277" t="s">
        <v>1688</v>
      </c>
      <c r="X1277" t="s">
        <v>80</v>
      </c>
      <c r="Y1277">
        <v>0</v>
      </c>
      <c r="Z1277">
        <v>75</v>
      </c>
      <c r="AA1277">
        <v>1.68</v>
      </c>
      <c r="AB1277" t="s">
        <v>94</v>
      </c>
      <c r="AD1277" t="s">
        <v>57</v>
      </c>
      <c r="AE1277">
        <v>1</v>
      </c>
      <c r="AF1277">
        <v>6</v>
      </c>
      <c r="AG1277">
        <v>1</v>
      </c>
      <c r="AH1277">
        <v>3</v>
      </c>
      <c r="AI1277">
        <v>384</v>
      </c>
      <c r="AJ1277">
        <v>384</v>
      </c>
      <c r="AK1277">
        <v>72</v>
      </c>
      <c r="AL1277" t="s">
        <v>1394</v>
      </c>
      <c r="AM1277">
        <v>2.5</v>
      </c>
      <c r="AN1277" t="s">
        <v>1114</v>
      </c>
      <c r="AO1277" t="s">
        <v>59</v>
      </c>
      <c r="AP1277" t="s">
        <v>1781</v>
      </c>
      <c r="AQ1277">
        <v>11</v>
      </c>
      <c r="AR1277">
        <v>56</v>
      </c>
      <c r="AS1277">
        <v>152</v>
      </c>
      <c r="AT1277">
        <v>1.37</v>
      </c>
      <c r="AU1277">
        <v>4.32</v>
      </c>
      <c r="AV1277" t="s">
        <v>4664</v>
      </c>
      <c r="AW1277" t="s">
        <v>2538</v>
      </c>
      <c r="AX1277" t="s">
        <v>4665</v>
      </c>
    </row>
    <row r="1278" spans="1:50" x14ac:dyDescent="0.25">
      <c r="A1278" t="s">
        <v>4666</v>
      </c>
      <c r="B1278" t="s">
        <v>1679</v>
      </c>
      <c r="C1278">
        <v>0</v>
      </c>
      <c r="D1278">
        <v>1</v>
      </c>
      <c r="E1278" t="s">
        <v>1740</v>
      </c>
      <c r="H1278">
        <v>0</v>
      </c>
      <c r="N1278">
        <v>1</v>
      </c>
      <c r="Q1278">
        <v>0</v>
      </c>
      <c r="R1278">
        <v>0</v>
      </c>
      <c r="U1278" t="s">
        <v>1687</v>
      </c>
      <c r="V1278">
        <v>43</v>
      </c>
      <c r="W1278" t="s">
        <v>1726</v>
      </c>
      <c r="X1278" t="s">
        <v>55</v>
      </c>
      <c r="Y1278">
        <v>0</v>
      </c>
      <c r="Z1278">
        <v>57.606000000000002</v>
      </c>
      <c r="AB1278" t="s">
        <v>74</v>
      </c>
      <c r="AD1278" t="s">
        <v>57</v>
      </c>
      <c r="AE1278">
        <v>0</v>
      </c>
      <c r="AF1278">
        <v>6</v>
      </c>
      <c r="AG1278">
        <v>1</v>
      </c>
      <c r="AH1278">
        <v>1.5</v>
      </c>
      <c r="AI1278">
        <v>512</v>
      </c>
      <c r="AJ1278">
        <v>512</v>
      </c>
      <c r="AK1278">
        <v>90</v>
      </c>
      <c r="AL1278" t="s">
        <v>66</v>
      </c>
      <c r="AM1278">
        <v>2</v>
      </c>
      <c r="AN1278" t="s">
        <v>996</v>
      </c>
      <c r="AO1278" t="s">
        <v>67</v>
      </c>
      <c r="AP1278" t="s">
        <v>68</v>
      </c>
      <c r="AQ1278">
        <v>15</v>
      </c>
      <c r="AR1278">
        <v>130</v>
      </c>
      <c r="AS1278">
        <v>261</v>
      </c>
      <c r="AT1278">
        <v>4.2</v>
      </c>
      <c r="AU1278">
        <v>7</v>
      </c>
      <c r="AV1278" t="s">
        <v>3340</v>
      </c>
      <c r="AW1278" t="s">
        <v>4375</v>
      </c>
      <c r="AX1278" t="s">
        <v>4667</v>
      </c>
    </row>
    <row r="1279" spans="1:50" x14ac:dyDescent="0.25">
      <c r="A1279" t="s">
        <v>4668</v>
      </c>
      <c r="B1279" t="s">
        <v>1679</v>
      </c>
      <c r="C1279">
        <v>0</v>
      </c>
      <c r="D1279">
        <v>1</v>
      </c>
      <c r="E1279" t="s">
        <v>1725</v>
      </c>
      <c r="H1279">
        <v>0</v>
      </c>
      <c r="N1279">
        <v>0</v>
      </c>
      <c r="Q1279">
        <v>0</v>
      </c>
      <c r="R1279">
        <v>0</v>
      </c>
      <c r="U1279" t="s">
        <v>65</v>
      </c>
      <c r="V1279">
        <v>57</v>
      </c>
      <c r="X1279" t="s">
        <v>80</v>
      </c>
      <c r="Y1279">
        <v>0</v>
      </c>
      <c r="Z1279">
        <v>83.991709837200005</v>
      </c>
      <c r="AB1279" t="s">
        <v>118</v>
      </c>
      <c r="AD1279" t="s">
        <v>57</v>
      </c>
      <c r="AE1279">
        <v>1</v>
      </c>
      <c r="AF1279">
        <v>6</v>
      </c>
      <c r="AG1279">
        <v>1</v>
      </c>
      <c r="AH1279">
        <v>1.5</v>
      </c>
      <c r="AI1279">
        <v>384</v>
      </c>
      <c r="AJ1279">
        <v>384</v>
      </c>
      <c r="AK1279">
        <v>176</v>
      </c>
      <c r="AL1279" t="s">
        <v>1727</v>
      </c>
      <c r="AM1279">
        <v>1.1000000238000001</v>
      </c>
      <c r="AN1279" t="s">
        <v>1720</v>
      </c>
      <c r="AO1279" t="s">
        <v>59</v>
      </c>
      <c r="AP1279" t="s">
        <v>60</v>
      </c>
      <c r="AQ1279">
        <v>11</v>
      </c>
      <c r="AR1279">
        <v>54</v>
      </c>
      <c r="AS1279">
        <v>137</v>
      </c>
      <c r="AT1279">
        <v>1.5</v>
      </c>
      <c r="AU1279">
        <v>4.0999999999999996</v>
      </c>
      <c r="AV1279" t="s">
        <v>4669</v>
      </c>
      <c r="AW1279" t="s">
        <v>2333</v>
      </c>
      <c r="AX1279" t="s">
        <v>4670</v>
      </c>
    </row>
    <row r="1280" spans="1:50" x14ac:dyDescent="0.25">
      <c r="A1280" t="s">
        <v>4671</v>
      </c>
      <c r="B1280" t="s">
        <v>1679</v>
      </c>
      <c r="C1280">
        <v>0</v>
      </c>
      <c r="D1280">
        <v>0</v>
      </c>
      <c r="E1280" t="s">
        <v>1686</v>
      </c>
      <c r="H1280">
        <v>0</v>
      </c>
      <c r="N1280">
        <v>0</v>
      </c>
      <c r="Q1280">
        <v>0</v>
      </c>
      <c r="R1280">
        <v>1</v>
      </c>
      <c r="U1280" t="s">
        <v>65</v>
      </c>
      <c r="V1280">
        <v>36</v>
      </c>
      <c r="W1280" t="s">
        <v>79</v>
      </c>
      <c r="X1280" t="s">
        <v>80</v>
      </c>
      <c r="Y1280">
        <v>0</v>
      </c>
      <c r="Z1280">
        <v>57</v>
      </c>
      <c r="AB1280" t="s">
        <v>74</v>
      </c>
      <c r="AD1280" t="s">
        <v>57</v>
      </c>
      <c r="AE1280">
        <v>0</v>
      </c>
      <c r="AF1280">
        <v>6</v>
      </c>
      <c r="AG1280">
        <v>1</v>
      </c>
      <c r="AH1280">
        <v>1.5</v>
      </c>
      <c r="AI1280">
        <v>512</v>
      </c>
      <c r="AJ1280">
        <v>512</v>
      </c>
      <c r="AK1280">
        <v>160</v>
      </c>
      <c r="AL1280" t="s">
        <v>4672</v>
      </c>
      <c r="AM1280">
        <v>2</v>
      </c>
      <c r="AN1280" t="s">
        <v>1154</v>
      </c>
      <c r="AO1280" t="s">
        <v>1155</v>
      </c>
      <c r="AP1280" t="s">
        <v>1305</v>
      </c>
      <c r="AQ1280">
        <v>11</v>
      </c>
      <c r="AR1280">
        <v>711</v>
      </c>
      <c r="AS1280">
        <v>1236</v>
      </c>
      <c r="AT1280">
        <v>2.657</v>
      </c>
      <c r="AU1280">
        <v>5.1902999999999997</v>
      </c>
      <c r="AV1280" t="s">
        <v>4673</v>
      </c>
      <c r="AW1280" t="s">
        <v>2401</v>
      </c>
      <c r="AX1280" t="s">
        <v>4674</v>
      </c>
    </row>
    <row r="1281" spans="1:50" x14ac:dyDescent="0.25">
      <c r="A1281" t="s">
        <v>4675</v>
      </c>
      <c r="B1281" t="s">
        <v>1679</v>
      </c>
      <c r="C1281">
        <v>0</v>
      </c>
      <c r="D1281">
        <v>1</v>
      </c>
      <c r="E1281" t="s">
        <v>1698</v>
      </c>
      <c r="H1281">
        <v>0</v>
      </c>
      <c r="N1281">
        <v>1</v>
      </c>
      <c r="Q1281">
        <v>0</v>
      </c>
      <c r="R1281">
        <v>0</v>
      </c>
      <c r="U1281" t="s">
        <v>1687</v>
      </c>
      <c r="V1281">
        <v>55</v>
      </c>
      <c r="X1281" t="s">
        <v>55</v>
      </c>
      <c r="Y1281">
        <v>0</v>
      </c>
      <c r="Z1281">
        <v>88.903999999999996</v>
      </c>
      <c r="AB1281" t="s">
        <v>118</v>
      </c>
      <c r="AD1281" t="s">
        <v>57</v>
      </c>
      <c r="AE1281">
        <v>0</v>
      </c>
      <c r="AF1281">
        <v>6</v>
      </c>
      <c r="AG1281">
        <v>1</v>
      </c>
      <c r="AH1281">
        <v>1.5</v>
      </c>
      <c r="AI1281">
        <v>512</v>
      </c>
      <c r="AJ1281">
        <v>512</v>
      </c>
      <c r="AK1281">
        <v>72</v>
      </c>
      <c r="AL1281" t="s">
        <v>119</v>
      </c>
      <c r="AM1281">
        <v>2.2000000000000002</v>
      </c>
      <c r="AN1281" t="s">
        <v>1072</v>
      </c>
      <c r="AO1281" t="s">
        <v>67</v>
      </c>
      <c r="AP1281" t="s">
        <v>68</v>
      </c>
      <c r="AQ1281">
        <v>15</v>
      </c>
      <c r="AR1281">
        <v>184</v>
      </c>
      <c r="AS1281">
        <v>368</v>
      </c>
      <c r="AT1281">
        <v>4.2359999999999998</v>
      </c>
      <c r="AU1281">
        <v>8.6679999999999993</v>
      </c>
      <c r="AV1281" t="s">
        <v>1689</v>
      </c>
      <c r="AW1281" t="s">
        <v>4676</v>
      </c>
      <c r="AX1281" t="s">
        <v>4677</v>
      </c>
    </row>
    <row r="1282" spans="1:50" x14ac:dyDescent="0.25">
      <c r="A1282" t="s">
        <v>4678</v>
      </c>
      <c r="B1282" t="s">
        <v>1679</v>
      </c>
      <c r="C1282">
        <v>0</v>
      </c>
      <c r="D1282">
        <v>0</v>
      </c>
      <c r="E1282" t="s">
        <v>1839</v>
      </c>
      <c r="H1282">
        <v>0</v>
      </c>
      <c r="N1282">
        <v>1</v>
      </c>
      <c r="Q1282">
        <v>1</v>
      </c>
      <c r="R1282">
        <v>0</v>
      </c>
      <c r="U1282" t="s">
        <v>1735</v>
      </c>
      <c r="V1282">
        <v>42</v>
      </c>
      <c r="W1282" t="s">
        <v>1688</v>
      </c>
      <c r="X1282" t="s">
        <v>111</v>
      </c>
      <c r="Y1282">
        <v>0</v>
      </c>
      <c r="Z1282">
        <v>78.924999999999997</v>
      </c>
      <c r="AB1282" t="s">
        <v>94</v>
      </c>
      <c r="AD1282" t="s">
        <v>57</v>
      </c>
      <c r="AE1282">
        <v>0</v>
      </c>
      <c r="AF1282">
        <v>6</v>
      </c>
      <c r="AG1282">
        <v>1</v>
      </c>
      <c r="AH1282">
        <v>3</v>
      </c>
      <c r="AI1282">
        <v>512</v>
      </c>
      <c r="AJ1282">
        <v>512</v>
      </c>
      <c r="AK1282">
        <v>134</v>
      </c>
      <c r="AL1282" t="s">
        <v>88</v>
      </c>
      <c r="AM1282">
        <v>2.4</v>
      </c>
      <c r="AN1282" t="s">
        <v>1786</v>
      </c>
      <c r="AO1282" t="s">
        <v>67</v>
      </c>
      <c r="AP1282" t="s">
        <v>68</v>
      </c>
      <c r="AQ1282">
        <v>15</v>
      </c>
      <c r="AR1282">
        <v>210</v>
      </c>
      <c r="AS1282">
        <v>420</v>
      </c>
      <c r="AT1282">
        <v>2.7519999999999998</v>
      </c>
      <c r="AU1282">
        <v>6.8780000000000001</v>
      </c>
      <c r="AV1282" t="s">
        <v>1787</v>
      </c>
      <c r="AW1282" t="s">
        <v>4679</v>
      </c>
      <c r="AX1282" t="s">
        <v>4680</v>
      </c>
    </row>
    <row r="1283" spans="1:50" x14ac:dyDescent="0.25">
      <c r="A1283" t="s">
        <v>4681</v>
      </c>
      <c r="B1283" t="s">
        <v>1679</v>
      </c>
      <c r="C1283">
        <v>0</v>
      </c>
      <c r="D1283">
        <v>1</v>
      </c>
      <c r="E1283" t="s">
        <v>1839</v>
      </c>
      <c r="H1283">
        <v>1</v>
      </c>
      <c r="N1283">
        <v>0</v>
      </c>
      <c r="Q1283">
        <v>1</v>
      </c>
      <c r="R1283">
        <v>1</v>
      </c>
      <c r="U1283" t="s">
        <v>72</v>
      </c>
      <c r="V1283">
        <v>38</v>
      </c>
      <c r="W1283" t="s">
        <v>1688</v>
      </c>
      <c r="X1283" t="s">
        <v>80</v>
      </c>
      <c r="Y1283">
        <v>0</v>
      </c>
      <c r="AD1283" t="s">
        <v>57</v>
      </c>
      <c r="AE1283">
        <v>0</v>
      </c>
      <c r="AF1283">
        <v>6</v>
      </c>
      <c r="AG1283">
        <v>1</v>
      </c>
      <c r="AH1283">
        <v>1.5</v>
      </c>
      <c r="AI1283">
        <v>512</v>
      </c>
      <c r="AJ1283">
        <v>512</v>
      </c>
      <c r="AK1283">
        <v>72</v>
      </c>
      <c r="AL1283" t="s">
        <v>119</v>
      </c>
      <c r="AM1283">
        <v>2.2000000000000002</v>
      </c>
      <c r="AN1283" t="s">
        <v>1072</v>
      </c>
      <c r="AO1283" t="s">
        <v>67</v>
      </c>
      <c r="AP1283" t="s">
        <v>68</v>
      </c>
      <c r="AQ1283">
        <v>15</v>
      </c>
      <c r="AR1283">
        <v>177</v>
      </c>
      <c r="AS1283">
        <v>355</v>
      </c>
      <c r="AT1283">
        <v>4.2359999999999998</v>
      </c>
      <c r="AU1283">
        <v>8.6679999999999993</v>
      </c>
      <c r="AV1283" t="s">
        <v>4682</v>
      </c>
      <c r="AW1283" t="s">
        <v>4683</v>
      </c>
      <c r="AX1283" t="s">
        <v>4684</v>
      </c>
    </row>
    <row r="1284" spans="1:50" x14ac:dyDescent="0.25">
      <c r="A1284" t="s">
        <v>4685</v>
      </c>
      <c r="B1284" t="s">
        <v>1679</v>
      </c>
      <c r="C1284">
        <v>0</v>
      </c>
      <c r="D1284">
        <v>1</v>
      </c>
      <c r="E1284" t="s">
        <v>1698</v>
      </c>
      <c r="H1284">
        <v>0</v>
      </c>
      <c r="N1284">
        <v>0</v>
      </c>
      <c r="Q1284">
        <v>0</v>
      </c>
      <c r="R1284">
        <v>1</v>
      </c>
      <c r="U1284" t="s">
        <v>65</v>
      </c>
      <c r="V1284">
        <v>41</v>
      </c>
      <c r="W1284" t="s">
        <v>1688</v>
      </c>
      <c r="X1284" t="s">
        <v>80</v>
      </c>
      <c r="Y1284">
        <v>0</v>
      </c>
      <c r="Z1284">
        <v>95.25</v>
      </c>
      <c r="AB1284" t="s">
        <v>118</v>
      </c>
      <c r="AD1284" t="s">
        <v>57</v>
      </c>
      <c r="AE1284">
        <v>1</v>
      </c>
      <c r="AF1284">
        <v>6</v>
      </c>
      <c r="AG1284">
        <v>1</v>
      </c>
      <c r="AH1284">
        <v>1.5</v>
      </c>
      <c r="AI1284">
        <v>256</v>
      </c>
      <c r="AJ1284">
        <v>256</v>
      </c>
      <c r="AK1284">
        <v>248</v>
      </c>
      <c r="AL1284" t="s">
        <v>3348</v>
      </c>
      <c r="AM1284">
        <v>0.80000099999999996</v>
      </c>
      <c r="AN1284" t="s">
        <v>1720</v>
      </c>
      <c r="AO1284" t="s">
        <v>67</v>
      </c>
      <c r="AP1284" t="s">
        <v>89</v>
      </c>
      <c r="AQ1284">
        <v>15</v>
      </c>
      <c r="AR1284">
        <v>165</v>
      </c>
      <c r="AS1284">
        <v>330</v>
      </c>
      <c r="AT1284">
        <v>1.9</v>
      </c>
      <c r="AU1284">
        <v>4.1280000000000001</v>
      </c>
      <c r="AV1284" t="s">
        <v>4686</v>
      </c>
      <c r="AW1284" t="s">
        <v>4687</v>
      </c>
      <c r="AX1284" t="s">
        <v>4688</v>
      </c>
    </row>
    <row r="1285" spans="1:50" x14ac:dyDescent="0.25">
      <c r="A1285" t="s">
        <v>4689</v>
      </c>
      <c r="B1285" t="s">
        <v>1679</v>
      </c>
      <c r="C1285">
        <v>0</v>
      </c>
      <c r="D1285">
        <v>0</v>
      </c>
      <c r="E1285" t="s">
        <v>1780</v>
      </c>
      <c r="H1285">
        <v>1</v>
      </c>
      <c r="N1285">
        <v>0</v>
      </c>
      <c r="Q1285">
        <v>0</v>
      </c>
      <c r="R1285">
        <v>0</v>
      </c>
      <c r="U1285" t="s">
        <v>65</v>
      </c>
      <c r="V1285">
        <v>50</v>
      </c>
      <c r="W1285" t="s">
        <v>1726</v>
      </c>
      <c r="X1285" t="s">
        <v>80</v>
      </c>
      <c r="Y1285">
        <v>0</v>
      </c>
      <c r="Z1285">
        <v>75.559426606299994</v>
      </c>
      <c r="AB1285" t="s">
        <v>94</v>
      </c>
      <c r="AD1285" t="s">
        <v>57</v>
      </c>
      <c r="AE1285">
        <v>1</v>
      </c>
      <c r="AF1285">
        <v>6</v>
      </c>
      <c r="AG1285">
        <v>1</v>
      </c>
      <c r="AH1285">
        <v>1.5</v>
      </c>
      <c r="AI1285">
        <v>256</v>
      </c>
      <c r="AJ1285">
        <v>256</v>
      </c>
      <c r="AK1285">
        <v>160</v>
      </c>
      <c r="AL1285" t="s">
        <v>1950</v>
      </c>
      <c r="AM1285">
        <v>1.2999999523000001</v>
      </c>
      <c r="AN1285" t="s">
        <v>1720</v>
      </c>
      <c r="AO1285" t="s">
        <v>59</v>
      </c>
      <c r="AP1285" t="s">
        <v>60</v>
      </c>
      <c r="AQ1285">
        <v>11</v>
      </c>
      <c r="AR1285">
        <v>194</v>
      </c>
      <c r="AS1285">
        <v>440</v>
      </c>
      <c r="AT1285">
        <v>1.45</v>
      </c>
      <c r="AU1285">
        <v>4.99</v>
      </c>
      <c r="AV1285" t="s">
        <v>4690</v>
      </c>
      <c r="AW1285" t="s">
        <v>4691</v>
      </c>
      <c r="AX1285" t="s">
        <v>4692</v>
      </c>
    </row>
    <row r="1286" spans="1:50" x14ac:dyDescent="0.25">
      <c r="A1286" t="s">
        <v>4693</v>
      </c>
      <c r="B1286" t="s">
        <v>1679</v>
      </c>
      <c r="C1286">
        <v>0</v>
      </c>
      <c r="D1286">
        <v>0</v>
      </c>
      <c r="E1286" t="s">
        <v>1703</v>
      </c>
      <c r="H1286">
        <v>0</v>
      </c>
      <c r="N1286">
        <v>1</v>
      </c>
      <c r="Q1286">
        <v>0</v>
      </c>
      <c r="R1286">
        <v>0</v>
      </c>
      <c r="U1286" t="s">
        <v>1687</v>
      </c>
      <c r="V1286">
        <v>59</v>
      </c>
      <c r="W1286" t="s">
        <v>79</v>
      </c>
      <c r="X1286" t="s">
        <v>80</v>
      </c>
      <c r="Y1286">
        <v>0</v>
      </c>
      <c r="AD1286" t="s">
        <v>57</v>
      </c>
      <c r="AE1286">
        <v>0</v>
      </c>
      <c r="AF1286">
        <v>6</v>
      </c>
      <c r="AG1286">
        <v>1</v>
      </c>
      <c r="AH1286">
        <v>1.5</v>
      </c>
      <c r="AI1286">
        <v>512</v>
      </c>
      <c r="AJ1286">
        <v>512</v>
      </c>
      <c r="AK1286">
        <v>90</v>
      </c>
      <c r="AL1286" t="s">
        <v>119</v>
      </c>
      <c r="AM1286">
        <v>2</v>
      </c>
      <c r="AN1286" t="s">
        <v>1681</v>
      </c>
      <c r="AO1286" t="s">
        <v>67</v>
      </c>
      <c r="AP1286" t="s">
        <v>68</v>
      </c>
      <c r="AQ1286">
        <v>15</v>
      </c>
      <c r="AR1286">
        <v>341</v>
      </c>
      <c r="AS1286">
        <v>682</v>
      </c>
      <c r="AT1286">
        <v>2.56</v>
      </c>
      <c r="AU1286">
        <v>5.2670000000000003</v>
      </c>
      <c r="AV1286" t="s">
        <v>4694</v>
      </c>
      <c r="AW1286" t="s">
        <v>4341</v>
      </c>
      <c r="AX1286" t="s">
        <v>4695</v>
      </c>
    </row>
    <row r="1287" spans="1:50" x14ac:dyDescent="0.25">
      <c r="A1287" t="s">
        <v>4696</v>
      </c>
      <c r="B1287" t="s">
        <v>1679</v>
      </c>
      <c r="C1287">
        <v>0</v>
      </c>
      <c r="D1287">
        <v>1</v>
      </c>
      <c r="E1287" t="s">
        <v>1740</v>
      </c>
      <c r="H1287">
        <v>1</v>
      </c>
      <c r="N1287">
        <v>1</v>
      </c>
      <c r="Q1287">
        <v>0</v>
      </c>
      <c r="R1287">
        <v>1</v>
      </c>
      <c r="U1287" t="s">
        <v>1687</v>
      </c>
      <c r="V1287">
        <v>50</v>
      </c>
      <c r="W1287" t="s">
        <v>1726</v>
      </c>
      <c r="X1287" t="s">
        <v>80</v>
      </c>
      <c r="Y1287">
        <v>0</v>
      </c>
      <c r="Z1287">
        <v>90</v>
      </c>
      <c r="AB1287" t="s">
        <v>118</v>
      </c>
      <c r="AD1287" t="s">
        <v>57</v>
      </c>
      <c r="AE1287">
        <v>0</v>
      </c>
      <c r="AF1287">
        <v>6</v>
      </c>
      <c r="AG1287">
        <v>1</v>
      </c>
      <c r="AH1287">
        <v>1.5</v>
      </c>
      <c r="AI1287">
        <v>400</v>
      </c>
      <c r="AJ1287">
        <v>400</v>
      </c>
      <c r="AK1287">
        <v>64</v>
      </c>
      <c r="AL1287" t="s">
        <v>1924</v>
      </c>
      <c r="AM1287">
        <v>2.5</v>
      </c>
      <c r="AN1287" t="s">
        <v>1531</v>
      </c>
      <c r="AO1287" t="s">
        <v>1155</v>
      </c>
      <c r="AP1287" t="s">
        <v>1767</v>
      </c>
      <c r="AQ1287">
        <v>11</v>
      </c>
      <c r="AR1287">
        <v>78.02</v>
      </c>
      <c r="AS1287">
        <v>135.59</v>
      </c>
      <c r="AT1287">
        <v>4.6040000000000001</v>
      </c>
      <c r="AU1287">
        <v>7.2138</v>
      </c>
      <c r="AV1287" t="s">
        <v>2239</v>
      </c>
      <c r="AW1287" t="s">
        <v>3117</v>
      </c>
      <c r="AX1287" t="s">
        <v>4697</v>
      </c>
    </row>
    <row r="1288" spans="1:50" x14ac:dyDescent="0.25">
      <c r="A1288" t="s">
        <v>4698</v>
      </c>
      <c r="B1288" t="s">
        <v>1679</v>
      </c>
      <c r="C1288">
        <v>0</v>
      </c>
      <c r="D1288">
        <v>0</v>
      </c>
      <c r="E1288" t="s">
        <v>1725</v>
      </c>
      <c r="H1288">
        <v>0</v>
      </c>
      <c r="N1288">
        <v>1</v>
      </c>
      <c r="Q1288">
        <v>0</v>
      </c>
      <c r="R1288">
        <v>1</v>
      </c>
      <c r="U1288" t="s">
        <v>1687</v>
      </c>
      <c r="V1288">
        <v>48</v>
      </c>
      <c r="W1288" t="s">
        <v>1726</v>
      </c>
      <c r="X1288" t="s">
        <v>80</v>
      </c>
      <c r="Y1288">
        <v>0</v>
      </c>
      <c r="Z1288">
        <v>71.668000000000006</v>
      </c>
      <c r="AB1288" t="s">
        <v>94</v>
      </c>
      <c r="AD1288" t="s">
        <v>57</v>
      </c>
      <c r="AE1288">
        <v>0</v>
      </c>
      <c r="AF1288">
        <v>6</v>
      </c>
      <c r="AG1288">
        <v>1</v>
      </c>
      <c r="AH1288">
        <v>1.5</v>
      </c>
      <c r="AI1288">
        <v>512</v>
      </c>
      <c r="AJ1288">
        <v>512</v>
      </c>
      <c r="AK1288">
        <v>80</v>
      </c>
      <c r="AL1288" t="s">
        <v>196</v>
      </c>
      <c r="AM1288">
        <v>2</v>
      </c>
      <c r="AN1288" t="s">
        <v>996</v>
      </c>
      <c r="AO1288" t="s">
        <v>67</v>
      </c>
      <c r="AP1288" t="s">
        <v>68</v>
      </c>
      <c r="AQ1288">
        <v>15</v>
      </c>
      <c r="AR1288">
        <v>87</v>
      </c>
      <c r="AS1288">
        <v>175</v>
      </c>
      <c r="AT1288">
        <v>4.2</v>
      </c>
      <c r="AU1288">
        <v>7</v>
      </c>
      <c r="AV1288" t="s">
        <v>4699</v>
      </c>
      <c r="AW1288" t="s">
        <v>4700</v>
      </c>
      <c r="AX1288" t="s">
        <v>4701</v>
      </c>
    </row>
    <row r="1289" spans="1:50" x14ac:dyDescent="0.25">
      <c r="A1289" t="s">
        <v>4702</v>
      </c>
      <c r="B1289" t="s">
        <v>1679</v>
      </c>
      <c r="C1289">
        <v>0</v>
      </c>
      <c r="D1289">
        <v>1</v>
      </c>
      <c r="E1289" t="s">
        <v>1740</v>
      </c>
      <c r="H1289">
        <v>1</v>
      </c>
      <c r="N1289">
        <v>1</v>
      </c>
      <c r="Q1289">
        <v>1</v>
      </c>
      <c r="R1289">
        <v>0</v>
      </c>
      <c r="U1289" t="s">
        <v>1735</v>
      </c>
      <c r="V1289">
        <v>54</v>
      </c>
      <c r="W1289" t="s">
        <v>79</v>
      </c>
      <c r="X1289" t="s">
        <v>80</v>
      </c>
      <c r="Y1289">
        <v>0</v>
      </c>
      <c r="Z1289">
        <v>68.038864154999999</v>
      </c>
      <c r="AB1289" t="s">
        <v>74</v>
      </c>
      <c r="AD1289" t="s">
        <v>57</v>
      </c>
      <c r="AE1289">
        <v>1</v>
      </c>
      <c r="AF1289">
        <v>6</v>
      </c>
      <c r="AG1289">
        <v>1</v>
      </c>
      <c r="AH1289">
        <v>1.5</v>
      </c>
      <c r="AI1289">
        <v>384</v>
      </c>
      <c r="AJ1289">
        <v>384</v>
      </c>
      <c r="AK1289">
        <v>160</v>
      </c>
      <c r="AL1289" t="s">
        <v>75</v>
      </c>
      <c r="AM1289">
        <v>1</v>
      </c>
      <c r="AN1289" t="s">
        <v>1741</v>
      </c>
      <c r="AO1289" t="s">
        <v>59</v>
      </c>
      <c r="AP1289" t="s">
        <v>60</v>
      </c>
      <c r="AQ1289">
        <v>11</v>
      </c>
      <c r="AR1289">
        <v>87</v>
      </c>
      <c r="AS1289">
        <v>222</v>
      </c>
      <c r="AT1289">
        <v>2.37</v>
      </c>
      <c r="AU1289">
        <v>5.15</v>
      </c>
      <c r="AV1289" t="s">
        <v>3310</v>
      </c>
      <c r="AW1289" t="s">
        <v>3991</v>
      </c>
      <c r="AX1289" t="s">
        <v>4703</v>
      </c>
    </row>
    <row r="1290" spans="1:50" x14ac:dyDescent="0.25">
      <c r="A1290" t="s">
        <v>4704</v>
      </c>
      <c r="B1290" t="s">
        <v>1679</v>
      </c>
      <c r="C1290">
        <v>0</v>
      </c>
      <c r="D1290">
        <v>0</v>
      </c>
      <c r="E1290" t="s">
        <v>1734</v>
      </c>
      <c r="H1290">
        <v>0</v>
      </c>
      <c r="N1290">
        <v>1</v>
      </c>
      <c r="Q1290">
        <v>1</v>
      </c>
      <c r="R1290">
        <v>1</v>
      </c>
      <c r="U1290" t="s">
        <v>1735</v>
      </c>
      <c r="V1290">
        <v>68</v>
      </c>
      <c r="W1290" t="s">
        <v>79</v>
      </c>
      <c r="X1290" t="s">
        <v>80</v>
      </c>
      <c r="Y1290">
        <v>0</v>
      </c>
      <c r="Z1290">
        <v>100</v>
      </c>
      <c r="AB1290" t="s">
        <v>56</v>
      </c>
      <c r="AD1290" t="s">
        <v>57</v>
      </c>
      <c r="AE1290">
        <v>0</v>
      </c>
      <c r="AF1290">
        <v>6</v>
      </c>
      <c r="AG1290">
        <v>1</v>
      </c>
      <c r="AH1290">
        <v>1.5</v>
      </c>
      <c r="AI1290">
        <v>560</v>
      </c>
      <c r="AJ1290">
        <v>560</v>
      </c>
      <c r="AK1290">
        <v>160</v>
      </c>
      <c r="AL1290" t="s">
        <v>4705</v>
      </c>
      <c r="AM1290">
        <v>2</v>
      </c>
      <c r="AN1290" t="s">
        <v>1877</v>
      </c>
      <c r="AO1290" t="s">
        <v>1155</v>
      </c>
      <c r="AP1290" t="s">
        <v>1767</v>
      </c>
      <c r="AQ1290">
        <v>11</v>
      </c>
      <c r="AR1290">
        <v>284</v>
      </c>
      <c r="AS1290">
        <v>494</v>
      </c>
      <c r="AT1290">
        <v>3.5430000000000001</v>
      </c>
      <c r="AU1290">
        <v>7.1872999999999996</v>
      </c>
      <c r="AV1290" t="s">
        <v>2756</v>
      </c>
      <c r="AW1290" t="s">
        <v>4706</v>
      </c>
      <c r="AX1290" t="s">
        <v>4707</v>
      </c>
    </row>
    <row r="1291" spans="1:50" x14ac:dyDescent="0.25">
      <c r="A1291" t="s">
        <v>4708</v>
      </c>
      <c r="B1291" t="s">
        <v>1679</v>
      </c>
      <c r="C1291">
        <v>0</v>
      </c>
      <c r="D1291">
        <v>0</v>
      </c>
      <c r="E1291" t="s">
        <v>1725</v>
      </c>
      <c r="H1291">
        <v>1</v>
      </c>
      <c r="N1291">
        <v>0</v>
      </c>
      <c r="Q1291">
        <v>0</v>
      </c>
      <c r="R1291">
        <v>0</v>
      </c>
      <c r="U1291" t="s">
        <v>65</v>
      </c>
      <c r="V1291">
        <v>33</v>
      </c>
      <c r="W1291" t="s">
        <v>1726</v>
      </c>
      <c r="X1291" t="s">
        <v>80</v>
      </c>
      <c r="Y1291">
        <v>0</v>
      </c>
      <c r="Z1291">
        <v>73.649802485600006</v>
      </c>
      <c r="AB1291" t="s">
        <v>94</v>
      </c>
      <c r="AD1291" t="s">
        <v>57</v>
      </c>
      <c r="AE1291">
        <v>1</v>
      </c>
      <c r="AF1291">
        <v>6</v>
      </c>
      <c r="AG1291">
        <v>1</v>
      </c>
      <c r="AH1291">
        <v>1.5</v>
      </c>
      <c r="AI1291">
        <v>256</v>
      </c>
      <c r="AJ1291">
        <v>256</v>
      </c>
      <c r="AK1291">
        <v>160</v>
      </c>
      <c r="AL1291" t="s">
        <v>446</v>
      </c>
      <c r="AM1291">
        <v>1.2999999523000001</v>
      </c>
      <c r="AN1291" t="s">
        <v>1720</v>
      </c>
      <c r="AO1291" t="s">
        <v>59</v>
      </c>
      <c r="AP1291" t="s">
        <v>60</v>
      </c>
      <c r="AQ1291">
        <v>11</v>
      </c>
      <c r="AR1291">
        <v>242</v>
      </c>
      <c r="AS1291">
        <v>468</v>
      </c>
      <c r="AT1291">
        <v>1.43</v>
      </c>
      <c r="AU1291">
        <v>4.99</v>
      </c>
      <c r="AV1291" t="s">
        <v>4709</v>
      </c>
      <c r="AW1291" t="s">
        <v>4710</v>
      </c>
      <c r="AX1291" t="s">
        <v>4711</v>
      </c>
    </row>
    <row r="1292" spans="1:50" x14ac:dyDescent="0.25">
      <c r="A1292" t="s">
        <v>4712</v>
      </c>
      <c r="B1292" t="s">
        <v>1679</v>
      </c>
      <c r="C1292">
        <v>0</v>
      </c>
      <c r="D1292">
        <v>1</v>
      </c>
      <c r="E1292" t="s">
        <v>1703</v>
      </c>
      <c r="H1292">
        <v>0</v>
      </c>
      <c r="N1292">
        <v>1</v>
      </c>
      <c r="Q1292">
        <v>0</v>
      </c>
      <c r="R1292">
        <v>0</v>
      </c>
      <c r="U1292" t="s">
        <v>1687</v>
      </c>
      <c r="V1292">
        <v>47</v>
      </c>
      <c r="X1292" t="s">
        <v>55</v>
      </c>
      <c r="Y1292">
        <v>0</v>
      </c>
      <c r="Z1292">
        <v>115</v>
      </c>
      <c r="AB1292" t="s">
        <v>269</v>
      </c>
      <c r="AD1292" t="s">
        <v>57</v>
      </c>
      <c r="AE1292">
        <v>0</v>
      </c>
      <c r="AF1292">
        <v>6</v>
      </c>
      <c r="AG1292">
        <v>1</v>
      </c>
      <c r="AH1292">
        <v>1.5</v>
      </c>
      <c r="AI1292">
        <v>432</v>
      </c>
      <c r="AJ1292">
        <v>432</v>
      </c>
      <c r="AK1292">
        <v>64</v>
      </c>
      <c r="AL1292" t="s">
        <v>1766</v>
      </c>
      <c r="AM1292">
        <v>2.5</v>
      </c>
      <c r="AN1292" t="s">
        <v>1531</v>
      </c>
      <c r="AO1292" t="s">
        <v>1155</v>
      </c>
      <c r="AP1292" t="s">
        <v>1767</v>
      </c>
      <c r="AQ1292">
        <v>11</v>
      </c>
      <c r="AR1292">
        <v>74.650000000000006</v>
      </c>
      <c r="AS1292">
        <v>129.78</v>
      </c>
      <c r="AT1292">
        <v>2.59</v>
      </c>
      <c r="AU1292">
        <v>5.1901999999999999</v>
      </c>
      <c r="AV1292" t="s">
        <v>4713</v>
      </c>
      <c r="AW1292" t="s">
        <v>4714</v>
      </c>
      <c r="AX1292" t="s">
        <v>4715</v>
      </c>
    </row>
    <row r="1293" spans="1:50" x14ac:dyDescent="0.25">
      <c r="A1293" t="s">
        <v>4716</v>
      </c>
      <c r="B1293" t="s">
        <v>1679</v>
      </c>
      <c r="C1293">
        <v>0</v>
      </c>
      <c r="D1293">
        <v>0</v>
      </c>
      <c r="E1293" t="s">
        <v>1703</v>
      </c>
      <c r="H1293">
        <v>0</v>
      </c>
      <c r="N1293">
        <v>0</v>
      </c>
      <c r="Q1293">
        <v>0</v>
      </c>
      <c r="R1293">
        <v>1</v>
      </c>
      <c r="U1293" t="s">
        <v>65</v>
      </c>
      <c r="V1293">
        <v>31</v>
      </c>
      <c r="W1293" t="s">
        <v>1688</v>
      </c>
      <c r="X1293" t="s">
        <v>55</v>
      </c>
      <c r="Y1293">
        <v>0</v>
      </c>
      <c r="Z1293">
        <v>92.532855250799997</v>
      </c>
      <c r="AB1293" t="s">
        <v>118</v>
      </c>
      <c r="AD1293" t="s">
        <v>57</v>
      </c>
      <c r="AE1293">
        <v>0</v>
      </c>
      <c r="AF1293">
        <v>6</v>
      </c>
      <c r="AG1293">
        <v>1</v>
      </c>
      <c r="AH1293">
        <v>1.5</v>
      </c>
      <c r="AI1293">
        <v>512</v>
      </c>
      <c r="AJ1293">
        <v>512</v>
      </c>
      <c r="AK1293">
        <v>80</v>
      </c>
      <c r="AL1293" t="s">
        <v>1010</v>
      </c>
      <c r="AM1293">
        <v>2</v>
      </c>
      <c r="AN1293" t="s">
        <v>1011</v>
      </c>
      <c r="AO1293" t="s">
        <v>59</v>
      </c>
      <c r="AP1293" t="s">
        <v>60</v>
      </c>
      <c r="AQ1293">
        <v>11</v>
      </c>
      <c r="AR1293">
        <v>49</v>
      </c>
      <c r="AS1293">
        <v>129</v>
      </c>
      <c r="AT1293">
        <v>1.67</v>
      </c>
      <c r="AU1293">
        <v>4.51</v>
      </c>
      <c r="AV1293" t="s">
        <v>4717</v>
      </c>
      <c r="AW1293" t="s">
        <v>3010</v>
      </c>
      <c r="AX1293" t="s">
        <v>4718</v>
      </c>
    </row>
    <row r="1294" spans="1:50" x14ac:dyDescent="0.25">
      <c r="A1294" t="s">
        <v>4719</v>
      </c>
      <c r="B1294" t="s">
        <v>1679</v>
      </c>
      <c r="C1294">
        <v>0</v>
      </c>
      <c r="D1294">
        <v>0</v>
      </c>
      <c r="E1294" t="s">
        <v>1839</v>
      </c>
      <c r="H1294">
        <v>1</v>
      </c>
      <c r="N1294">
        <v>1</v>
      </c>
      <c r="Q1294">
        <v>1</v>
      </c>
      <c r="R1294">
        <v>1</v>
      </c>
      <c r="U1294" t="s">
        <v>1735</v>
      </c>
      <c r="V1294">
        <v>43</v>
      </c>
      <c r="W1294" t="s">
        <v>1688</v>
      </c>
      <c r="X1294" t="s">
        <v>80</v>
      </c>
      <c r="Y1294">
        <v>0</v>
      </c>
      <c r="Z1294">
        <v>76.203999999999994</v>
      </c>
      <c r="AB1294" t="s">
        <v>94</v>
      </c>
      <c r="AD1294" t="s">
        <v>57</v>
      </c>
      <c r="AE1294">
        <v>0</v>
      </c>
      <c r="AF1294">
        <v>6</v>
      </c>
      <c r="AG1294">
        <v>1</v>
      </c>
      <c r="AH1294">
        <v>1.5</v>
      </c>
      <c r="AI1294">
        <v>512</v>
      </c>
      <c r="AJ1294">
        <v>512</v>
      </c>
      <c r="AK1294">
        <v>66</v>
      </c>
      <c r="AL1294" t="s">
        <v>66</v>
      </c>
      <c r="AM1294">
        <v>2.4</v>
      </c>
      <c r="AN1294" t="s">
        <v>1942</v>
      </c>
      <c r="AO1294" t="s">
        <v>67</v>
      </c>
      <c r="AP1294" t="s">
        <v>68</v>
      </c>
      <c r="AQ1294">
        <v>15</v>
      </c>
      <c r="AR1294">
        <v>349</v>
      </c>
      <c r="AS1294">
        <v>699</v>
      </c>
      <c r="AT1294">
        <v>3.012</v>
      </c>
      <c r="AU1294">
        <v>6.2320000000000002</v>
      </c>
      <c r="AV1294" t="s">
        <v>4720</v>
      </c>
      <c r="AW1294" t="s">
        <v>3073</v>
      </c>
      <c r="AX1294" t="s">
        <v>4721</v>
      </c>
    </row>
    <row r="1295" spans="1:50" x14ac:dyDescent="0.25">
      <c r="A1295" t="s">
        <v>4722</v>
      </c>
      <c r="B1295" t="s">
        <v>1679</v>
      </c>
      <c r="C1295">
        <v>0</v>
      </c>
      <c r="D1295">
        <v>0</v>
      </c>
      <c r="E1295" t="s">
        <v>1693</v>
      </c>
      <c r="H1295">
        <v>0</v>
      </c>
      <c r="N1295">
        <v>1</v>
      </c>
      <c r="Q1295">
        <v>0</v>
      </c>
      <c r="R1295">
        <v>0</v>
      </c>
      <c r="U1295" t="s">
        <v>1687</v>
      </c>
      <c r="V1295">
        <v>46</v>
      </c>
      <c r="X1295" t="s">
        <v>80</v>
      </c>
      <c r="Y1295">
        <v>0</v>
      </c>
      <c r="Z1295">
        <v>72.575000000000003</v>
      </c>
      <c r="AB1295" t="s">
        <v>94</v>
      </c>
      <c r="AD1295" t="s">
        <v>57</v>
      </c>
      <c r="AE1295">
        <v>0</v>
      </c>
      <c r="AF1295">
        <v>6</v>
      </c>
      <c r="AG1295">
        <v>1</v>
      </c>
      <c r="AH1295">
        <v>3</v>
      </c>
      <c r="AI1295">
        <v>512</v>
      </c>
      <c r="AJ1295">
        <v>512</v>
      </c>
      <c r="AK1295">
        <v>134</v>
      </c>
      <c r="AL1295" t="s">
        <v>119</v>
      </c>
      <c r="AM1295">
        <v>2.4</v>
      </c>
      <c r="AN1295" t="s">
        <v>1786</v>
      </c>
      <c r="AO1295" t="s">
        <v>67</v>
      </c>
      <c r="AP1295" t="s">
        <v>68</v>
      </c>
      <c r="AQ1295">
        <v>15</v>
      </c>
      <c r="AR1295">
        <v>262</v>
      </c>
      <c r="AS1295">
        <v>524</v>
      </c>
      <c r="AT1295">
        <v>2.8</v>
      </c>
      <c r="AU1295">
        <v>7.3129999999999997</v>
      </c>
      <c r="AV1295" t="s">
        <v>2027</v>
      </c>
      <c r="AW1295" t="s">
        <v>4337</v>
      </c>
      <c r="AX1295" t="s">
        <v>4723</v>
      </c>
    </row>
    <row r="1296" spans="1:50" x14ac:dyDescent="0.25">
      <c r="A1296" t="s">
        <v>4724</v>
      </c>
      <c r="B1296" t="s">
        <v>1679</v>
      </c>
      <c r="C1296">
        <v>0</v>
      </c>
      <c r="D1296">
        <v>0</v>
      </c>
      <c r="E1296" t="s">
        <v>1703</v>
      </c>
      <c r="H1296">
        <v>0</v>
      </c>
      <c r="N1296">
        <v>1</v>
      </c>
      <c r="Q1296">
        <v>0</v>
      </c>
      <c r="R1296">
        <v>0</v>
      </c>
      <c r="U1296" t="s">
        <v>1687</v>
      </c>
      <c r="V1296">
        <v>32</v>
      </c>
      <c r="W1296" t="s">
        <v>1726</v>
      </c>
      <c r="X1296" t="s">
        <v>111</v>
      </c>
      <c r="Y1296">
        <v>1</v>
      </c>
      <c r="Z1296">
        <v>54.430999999999997</v>
      </c>
      <c r="AB1296" t="s">
        <v>74</v>
      </c>
      <c r="AD1296" t="s">
        <v>57</v>
      </c>
      <c r="AE1296">
        <v>0</v>
      </c>
      <c r="AF1296">
        <v>6</v>
      </c>
      <c r="AG1296">
        <v>1</v>
      </c>
      <c r="AH1296">
        <v>1.5</v>
      </c>
      <c r="AI1296">
        <v>512</v>
      </c>
      <c r="AJ1296">
        <v>512</v>
      </c>
      <c r="AK1296">
        <v>80</v>
      </c>
      <c r="AL1296" t="s">
        <v>113</v>
      </c>
      <c r="AM1296">
        <v>2</v>
      </c>
      <c r="AN1296" t="s">
        <v>996</v>
      </c>
      <c r="AO1296" t="s">
        <v>67</v>
      </c>
      <c r="AP1296" t="s">
        <v>68</v>
      </c>
      <c r="AQ1296">
        <v>15</v>
      </c>
      <c r="AR1296">
        <v>108</v>
      </c>
      <c r="AS1296">
        <v>217</v>
      </c>
      <c r="AT1296">
        <v>4.2</v>
      </c>
      <c r="AU1296">
        <v>7</v>
      </c>
      <c r="AV1296" t="s">
        <v>4725</v>
      </c>
      <c r="AW1296" t="s">
        <v>4726</v>
      </c>
      <c r="AX1296" t="s">
        <v>4727</v>
      </c>
    </row>
    <row r="1297" spans="1:50" x14ac:dyDescent="0.25">
      <c r="A1297" t="s">
        <v>4728</v>
      </c>
      <c r="B1297" t="s">
        <v>1679</v>
      </c>
      <c r="C1297">
        <v>0</v>
      </c>
      <c r="D1297">
        <v>0</v>
      </c>
      <c r="E1297" t="s">
        <v>1725</v>
      </c>
      <c r="H1297">
        <v>1</v>
      </c>
      <c r="N1297">
        <v>1</v>
      </c>
      <c r="Q1297">
        <v>0</v>
      </c>
      <c r="R1297">
        <v>1</v>
      </c>
      <c r="U1297" t="s">
        <v>1687</v>
      </c>
      <c r="V1297">
        <v>34</v>
      </c>
      <c r="W1297" t="s">
        <v>1688</v>
      </c>
      <c r="X1297" t="s">
        <v>55</v>
      </c>
      <c r="Y1297">
        <v>0</v>
      </c>
      <c r="AD1297" t="s">
        <v>57</v>
      </c>
      <c r="AE1297">
        <v>0</v>
      </c>
      <c r="AF1297">
        <v>6</v>
      </c>
      <c r="AG1297">
        <v>1</v>
      </c>
      <c r="AH1297">
        <v>1.5</v>
      </c>
      <c r="AI1297">
        <v>512</v>
      </c>
      <c r="AJ1297">
        <v>512</v>
      </c>
      <c r="AK1297">
        <v>72</v>
      </c>
      <c r="AL1297" t="s">
        <v>119</v>
      </c>
      <c r="AM1297">
        <v>2.2000000000000002</v>
      </c>
      <c r="AN1297" t="s">
        <v>1072</v>
      </c>
      <c r="AO1297" t="s">
        <v>67</v>
      </c>
      <c r="AP1297" t="s">
        <v>68</v>
      </c>
      <c r="AQ1297">
        <v>15</v>
      </c>
      <c r="AR1297">
        <v>224</v>
      </c>
      <c r="AS1297">
        <v>448</v>
      </c>
      <c r="AT1297">
        <v>4.2359999999999998</v>
      </c>
      <c r="AU1297">
        <v>8.6679999999999993</v>
      </c>
      <c r="AV1297" t="s">
        <v>2423</v>
      </c>
      <c r="AW1297" t="s">
        <v>3569</v>
      </c>
      <c r="AX1297" t="s">
        <v>4729</v>
      </c>
    </row>
    <row r="1298" spans="1:50" x14ac:dyDescent="0.25">
      <c r="A1298" t="s">
        <v>4730</v>
      </c>
      <c r="B1298" t="s">
        <v>1679</v>
      </c>
      <c r="C1298">
        <v>0</v>
      </c>
      <c r="D1298">
        <v>0</v>
      </c>
      <c r="E1298" t="s">
        <v>1686</v>
      </c>
      <c r="H1298">
        <v>0</v>
      </c>
      <c r="N1298">
        <v>0</v>
      </c>
      <c r="Q1298">
        <v>0</v>
      </c>
      <c r="R1298">
        <v>1</v>
      </c>
      <c r="U1298" t="s">
        <v>65</v>
      </c>
      <c r="V1298">
        <v>44</v>
      </c>
      <c r="W1298" t="s">
        <v>1688</v>
      </c>
      <c r="X1298" t="s">
        <v>80</v>
      </c>
      <c r="Y1298">
        <v>0</v>
      </c>
      <c r="AD1298" t="s">
        <v>57</v>
      </c>
      <c r="AE1298">
        <v>1</v>
      </c>
      <c r="AF1298">
        <v>6</v>
      </c>
      <c r="AG1298">
        <v>1</v>
      </c>
      <c r="AH1298">
        <v>1.5</v>
      </c>
      <c r="AI1298">
        <v>384</v>
      </c>
      <c r="AJ1298">
        <v>384</v>
      </c>
      <c r="AK1298">
        <v>160</v>
      </c>
      <c r="AL1298" t="s">
        <v>1800</v>
      </c>
      <c r="AM1298">
        <v>1</v>
      </c>
      <c r="AN1298" t="s">
        <v>1728</v>
      </c>
      <c r="AO1298" t="s">
        <v>59</v>
      </c>
      <c r="AP1298" t="s">
        <v>1729</v>
      </c>
      <c r="AQ1298">
        <v>11</v>
      </c>
      <c r="AR1298">
        <v>49</v>
      </c>
      <c r="AS1298">
        <v>132</v>
      </c>
      <c r="AT1298">
        <v>1.81</v>
      </c>
      <c r="AU1298">
        <v>5.05</v>
      </c>
      <c r="AV1298" t="s">
        <v>4552</v>
      </c>
      <c r="AW1298" t="s">
        <v>4731</v>
      </c>
      <c r="AX1298" t="s">
        <v>4732</v>
      </c>
    </row>
    <row r="1299" spans="1:50" x14ac:dyDescent="0.25">
      <c r="A1299" t="s">
        <v>4733</v>
      </c>
      <c r="B1299" t="s">
        <v>1679</v>
      </c>
      <c r="C1299">
        <v>0</v>
      </c>
      <c r="D1299">
        <v>0</v>
      </c>
      <c r="E1299" t="s">
        <v>1703</v>
      </c>
      <c r="H1299">
        <v>0</v>
      </c>
      <c r="N1299">
        <v>0</v>
      </c>
      <c r="Q1299">
        <v>0</v>
      </c>
      <c r="R1299">
        <v>1</v>
      </c>
      <c r="U1299" t="s">
        <v>65</v>
      </c>
      <c r="V1299">
        <v>51</v>
      </c>
      <c r="W1299" t="s">
        <v>1688</v>
      </c>
      <c r="X1299" t="s">
        <v>55</v>
      </c>
      <c r="Y1299">
        <v>0</v>
      </c>
      <c r="Z1299">
        <v>61.234999999999999</v>
      </c>
      <c r="AB1299" t="s">
        <v>74</v>
      </c>
      <c r="AD1299" t="s">
        <v>57</v>
      </c>
      <c r="AE1299">
        <v>0</v>
      </c>
      <c r="AF1299">
        <v>6</v>
      </c>
      <c r="AG1299">
        <v>1</v>
      </c>
      <c r="AH1299">
        <v>1.5</v>
      </c>
      <c r="AI1299">
        <v>512</v>
      </c>
      <c r="AJ1299">
        <v>512</v>
      </c>
      <c r="AK1299">
        <v>72</v>
      </c>
      <c r="AL1299" t="s">
        <v>119</v>
      </c>
      <c r="AM1299">
        <v>2.2000000000000002</v>
      </c>
      <c r="AN1299" t="s">
        <v>1072</v>
      </c>
      <c r="AO1299" t="s">
        <v>67</v>
      </c>
      <c r="AP1299" t="s">
        <v>68</v>
      </c>
      <c r="AQ1299">
        <v>15</v>
      </c>
      <c r="AR1299">
        <v>205</v>
      </c>
      <c r="AS1299">
        <v>411</v>
      </c>
      <c r="AT1299">
        <v>4.2359999999999998</v>
      </c>
      <c r="AU1299">
        <v>8.6679999999999993</v>
      </c>
      <c r="AV1299" t="s">
        <v>2921</v>
      </c>
      <c r="AW1299" t="s">
        <v>4734</v>
      </c>
      <c r="AX1299" t="s">
        <v>4735</v>
      </c>
    </row>
    <row r="1300" spans="1:50" x14ac:dyDescent="0.25">
      <c r="A1300" t="s">
        <v>4736</v>
      </c>
      <c r="B1300" t="s">
        <v>1679</v>
      </c>
      <c r="C1300">
        <v>0</v>
      </c>
      <c r="D1300">
        <v>0</v>
      </c>
      <c r="E1300" t="s">
        <v>1698</v>
      </c>
      <c r="H1300">
        <v>1</v>
      </c>
      <c r="N1300">
        <v>1</v>
      </c>
      <c r="Q1300">
        <v>0</v>
      </c>
      <c r="R1300">
        <v>0</v>
      </c>
      <c r="U1300" t="s">
        <v>1687</v>
      </c>
      <c r="V1300">
        <v>54</v>
      </c>
      <c r="W1300" t="s">
        <v>79</v>
      </c>
      <c r="X1300" t="s">
        <v>55</v>
      </c>
      <c r="Y1300">
        <v>0</v>
      </c>
      <c r="Z1300">
        <v>83.007000000000005</v>
      </c>
      <c r="AB1300" t="s">
        <v>118</v>
      </c>
      <c r="AD1300" t="s">
        <v>57</v>
      </c>
      <c r="AE1300">
        <v>0</v>
      </c>
      <c r="AF1300">
        <v>6</v>
      </c>
      <c r="AG1300">
        <v>1</v>
      </c>
      <c r="AH1300">
        <v>1.5</v>
      </c>
      <c r="AI1300">
        <v>512</v>
      </c>
      <c r="AJ1300">
        <v>512</v>
      </c>
      <c r="AK1300">
        <v>72</v>
      </c>
      <c r="AL1300" t="s">
        <v>119</v>
      </c>
      <c r="AM1300">
        <v>2.2000000000000002</v>
      </c>
      <c r="AN1300" t="s">
        <v>1072</v>
      </c>
      <c r="AO1300" t="s">
        <v>67</v>
      </c>
      <c r="AP1300" t="s">
        <v>68</v>
      </c>
      <c r="AQ1300">
        <v>15</v>
      </c>
      <c r="AR1300">
        <v>194</v>
      </c>
      <c r="AS1300">
        <v>388</v>
      </c>
      <c r="AT1300">
        <v>4.2359999999999998</v>
      </c>
      <c r="AU1300">
        <v>8.6679999999999993</v>
      </c>
      <c r="AV1300" t="s">
        <v>1809</v>
      </c>
      <c r="AW1300" t="s">
        <v>4737</v>
      </c>
      <c r="AX1300" t="s">
        <v>4738</v>
      </c>
    </row>
    <row r="1301" spans="1:50" x14ac:dyDescent="0.25">
      <c r="A1301" t="s">
        <v>4739</v>
      </c>
      <c r="B1301" t="s">
        <v>1679</v>
      </c>
      <c r="C1301">
        <v>0</v>
      </c>
      <c r="D1301">
        <v>1</v>
      </c>
      <c r="E1301" t="s">
        <v>1725</v>
      </c>
      <c r="H1301">
        <v>0</v>
      </c>
      <c r="N1301">
        <v>0</v>
      </c>
      <c r="Q1301">
        <v>0</v>
      </c>
      <c r="R1301">
        <v>1</v>
      </c>
      <c r="U1301" t="s">
        <v>65</v>
      </c>
      <c r="V1301">
        <v>57</v>
      </c>
      <c r="W1301" t="s">
        <v>79</v>
      </c>
      <c r="X1301" t="s">
        <v>80</v>
      </c>
      <c r="Y1301">
        <v>0</v>
      </c>
      <c r="Z1301">
        <v>98.43</v>
      </c>
      <c r="AB1301" t="s">
        <v>56</v>
      </c>
      <c r="AD1301" t="s">
        <v>57</v>
      </c>
      <c r="AE1301">
        <v>0</v>
      </c>
      <c r="AF1301">
        <v>6</v>
      </c>
      <c r="AG1301">
        <v>1</v>
      </c>
      <c r="AH1301">
        <v>1.5</v>
      </c>
      <c r="AI1301">
        <v>512</v>
      </c>
      <c r="AJ1301">
        <v>512</v>
      </c>
      <c r="AK1301">
        <v>80</v>
      </c>
      <c r="AL1301" t="s">
        <v>119</v>
      </c>
      <c r="AM1301">
        <v>2</v>
      </c>
      <c r="AN1301" t="s">
        <v>996</v>
      </c>
      <c r="AO1301" t="s">
        <v>67</v>
      </c>
      <c r="AP1301" t="s">
        <v>68</v>
      </c>
      <c r="AQ1301">
        <v>15</v>
      </c>
      <c r="AR1301">
        <v>129</v>
      </c>
      <c r="AS1301">
        <v>258</v>
      </c>
      <c r="AT1301">
        <v>4.2</v>
      </c>
      <c r="AU1301">
        <v>7</v>
      </c>
      <c r="AV1301" t="s">
        <v>4740</v>
      </c>
      <c r="AW1301" t="s">
        <v>2333</v>
      </c>
      <c r="AX1301" t="s">
        <v>4741</v>
      </c>
    </row>
    <row r="1302" spans="1:50" x14ac:dyDescent="0.25">
      <c r="A1302" t="s">
        <v>4742</v>
      </c>
      <c r="B1302" t="s">
        <v>1679</v>
      </c>
      <c r="C1302">
        <v>0</v>
      </c>
      <c r="D1302">
        <v>0</v>
      </c>
      <c r="E1302" t="s">
        <v>1698</v>
      </c>
      <c r="H1302">
        <v>1</v>
      </c>
      <c r="N1302">
        <v>0</v>
      </c>
      <c r="Q1302">
        <v>0</v>
      </c>
      <c r="R1302">
        <v>1</v>
      </c>
      <c r="U1302" t="s">
        <v>65</v>
      </c>
      <c r="V1302">
        <v>32</v>
      </c>
      <c r="W1302" t="s">
        <v>1688</v>
      </c>
      <c r="X1302" t="s">
        <v>80</v>
      </c>
      <c r="Y1302">
        <v>0</v>
      </c>
      <c r="Z1302">
        <v>57.61</v>
      </c>
      <c r="AB1302" t="s">
        <v>74</v>
      </c>
      <c r="AD1302" t="s">
        <v>57</v>
      </c>
      <c r="AE1302">
        <v>0</v>
      </c>
      <c r="AF1302">
        <v>6</v>
      </c>
      <c r="AG1302">
        <v>1</v>
      </c>
      <c r="AH1302">
        <v>1.5</v>
      </c>
      <c r="AI1302">
        <v>512</v>
      </c>
      <c r="AJ1302">
        <v>512</v>
      </c>
      <c r="AK1302">
        <v>80</v>
      </c>
      <c r="AL1302" t="s">
        <v>497</v>
      </c>
      <c r="AM1302">
        <v>2</v>
      </c>
      <c r="AN1302" t="s">
        <v>996</v>
      </c>
      <c r="AO1302" t="s">
        <v>67</v>
      </c>
      <c r="AP1302" t="s">
        <v>68</v>
      </c>
      <c r="AQ1302">
        <v>15</v>
      </c>
      <c r="AR1302">
        <v>39</v>
      </c>
      <c r="AS1302">
        <v>79</v>
      </c>
      <c r="AT1302">
        <v>4.2</v>
      </c>
      <c r="AU1302">
        <v>7.0960000000000001</v>
      </c>
      <c r="AV1302" t="s">
        <v>4743</v>
      </c>
      <c r="AW1302" t="s">
        <v>4744</v>
      </c>
      <c r="AX1302" t="s">
        <v>4745</v>
      </c>
    </row>
    <row r="1303" spans="1:50" x14ac:dyDescent="0.25">
      <c r="A1303" t="s">
        <v>4746</v>
      </c>
      <c r="B1303" t="s">
        <v>1679</v>
      </c>
      <c r="C1303">
        <v>0</v>
      </c>
      <c r="D1303">
        <v>0</v>
      </c>
      <c r="E1303" t="s">
        <v>1740</v>
      </c>
      <c r="H1303">
        <v>0</v>
      </c>
      <c r="N1303">
        <v>0</v>
      </c>
      <c r="Q1303">
        <v>0</v>
      </c>
      <c r="R1303">
        <v>1</v>
      </c>
      <c r="U1303" t="s">
        <v>65</v>
      </c>
      <c r="V1303">
        <v>33</v>
      </c>
      <c r="W1303" t="s">
        <v>1726</v>
      </c>
      <c r="X1303" t="s">
        <v>80</v>
      </c>
      <c r="Y1303">
        <v>0</v>
      </c>
      <c r="Z1303">
        <v>116.55057429750001</v>
      </c>
      <c r="AB1303" t="s">
        <v>269</v>
      </c>
      <c r="AD1303" t="s">
        <v>57</v>
      </c>
      <c r="AE1303">
        <v>1</v>
      </c>
      <c r="AF1303">
        <v>6</v>
      </c>
      <c r="AG1303">
        <v>1</v>
      </c>
      <c r="AH1303">
        <v>1.5</v>
      </c>
      <c r="AI1303">
        <v>256</v>
      </c>
      <c r="AJ1303">
        <v>256</v>
      </c>
      <c r="AK1303">
        <v>160</v>
      </c>
      <c r="AL1303" t="s">
        <v>3765</v>
      </c>
      <c r="AM1303">
        <v>1.2000000476999999</v>
      </c>
      <c r="AN1303" t="s">
        <v>1720</v>
      </c>
      <c r="AO1303" t="s">
        <v>59</v>
      </c>
      <c r="AP1303" t="s">
        <v>60</v>
      </c>
      <c r="AQ1303">
        <v>11</v>
      </c>
      <c r="AR1303">
        <v>323</v>
      </c>
      <c r="AS1303">
        <v>694</v>
      </c>
      <c r="AT1303">
        <v>1.39</v>
      </c>
      <c r="AU1303">
        <v>4.99</v>
      </c>
      <c r="AV1303" t="s">
        <v>4747</v>
      </c>
      <c r="AW1303" t="s">
        <v>4748</v>
      </c>
      <c r="AX1303" t="s">
        <v>4749</v>
      </c>
    </row>
    <row r="1304" spans="1:50" x14ac:dyDescent="0.25">
      <c r="A1304" t="s">
        <v>4750</v>
      </c>
      <c r="B1304" t="s">
        <v>1679</v>
      </c>
      <c r="C1304">
        <v>0</v>
      </c>
      <c r="D1304">
        <v>1</v>
      </c>
      <c r="E1304" t="s">
        <v>1740</v>
      </c>
      <c r="H1304">
        <v>0</v>
      </c>
      <c r="N1304">
        <v>1</v>
      </c>
      <c r="Q1304">
        <v>1</v>
      </c>
      <c r="R1304">
        <v>0</v>
      </c>
      <c r="U1304" t="s">
        <v>1735</v>
      </c>
      <c r="V1304">
        <v>50</v>
      </c>
      <c r="X1304" t="s">
        <v>80</v>
      </c>
      <c r="Y1304">
        <v>0</v>
      </c>
      <c r="Z1304">
        <v>90.718485540000003</v>
      </c>
      <c r="AB1304" t="s">
        <v>118</v>
      </c>
      <c r="AD1304" t="s">
        <v>57</v>
      </c>
      <c r="AE1304">
        <v>0</v>
      </c>
      <c r="AF1304">
        <v>6</v>
      </c>
      <c r="AG1304">
        <v>1</v>
      </c>
      <c r="AH1304">
        <v>1.5</v>
      </c>
      <c r="AI1304">
        <v>384</v>
      </c>
      <c r="AJ1304">
        <v>384</v>
      </c>
      <c r="AK1304">
        <v>134</v>
      </c>
      <c r="AL1304" t="s">
        <v>1411</v>
      </c>
      <c r="AM1304">
        <v>1.2000000476999999</v>
      </c>
      <c r="AN1304" t="s">
        <v>2146</v>
      </c>
      <c r="AO1304" t="s">
        <v>59</v>
      </c>
      <c r="AP1304" t="s">
        <v>2147</v>
      </c>
      <c r="AQ1304">
        <v>11</v>
      </c>
      <c r="AR1304">
        <v>39</v>
      </c>
      <c r="AS1304">
        <v>105</v>
      </c>
      <c r="AT1304">
        <v>1.55</v>
      </c>
      <c r="AU1304">
        <v>4.4000000000000004</v>
      </c>
      <c r="AV1304" t="s">
        <v>4751</v>
      </c>
      <c r="AW1304" t="s">
        <v>4752</v>
      </c>
      <c r="AX1304" t="s">
        <v>4753</v>
      </c>
    </row>
    <row r="1305" spans="1:50" x14ac:dyDescent="0.25">
      <c r="A1305" t="s">
        <v>4754</v>
      </c>
      <c r="B1305" t="s">
        <v>1679</v>
      </c>
      <c r="C1305">
        <v>0</v>
      </c>
      <c r="D1305">
        <v>0</v>
      </c>
      <c r="E1305" t="s">
        <v>1725</v>
      </c>
      <c r="H1305">
        <v>0</v>
      </c>
      <c r="N1305">
        <v>1</v>
      </c>
      <c r="Q1305">
        <v>0</v>
      </c>
      <c r="R1305">
        <v>1</v>
      </c>
      <c r="U1305" t="s">
        <v>1687</v>
      </c>
      <c r="V1305">
        <v>36</v>
      </c>
      <c r="W1305" t="s">
        <v>1688</v>
      </c>
      <c r="X1305" t="s">
        <v>80</v>
      </c>
      <c r="Y1305">
        <v>0</v>
      </c>
      <c r="Z1305">
        <v>79.831999999999994</v>
      </c>
      <c r="AB1305" t="s">
        <v>94</v>
      </c>
      <c r="AD1305" t="s">
        <v>57</v>
      </c>
      <c r="AE1305">
        <v>0</v>
      </c>
      <c r="AF1305">
        <v>6</v>
      </c>
      <c r="AG1305">
        <v>1</v>
      </c>
      <c r="AH1305">
        <v>1.5</v>
      </c>
      <c r="AI1305">
        <v>512</v>
      </c>
      <c r="AJ1305">
        <v>512</v>
      </c>
      <c r="AK1305">
        <v>66</v>
      </c>
      <c r="AL1305" t="s">
        <v>196</v>
      </c>
      <c r="AM1305">
        <v>2.4</v>
      </c>
      <c r="AN1305" t="s">
        <v>1942</v>
      </c>
      <c r="AO1305" t="s">
        <v>67</v>
      </c>
      <c r="AP1305" t="s">
        <v>68</v>
      </c>
      <c r="AQ1305">
        <v>15</v>
      </c>
      <c r="AR1305">
        <v>412</v>
      </c>
      <c r="AS1305">
        <v>825</v>
      </c>
      <c r="AT1305">
        <v>2.98</v>
      </c>
      <c r="AU1305">
        <v>6.2</v>
      </c>
      <c r="AV1305" t="s">
        <v>2190</v>
      </c>
      <c r="AW1305" t="s">
        <v>4755</v>
      </c>
      <c r="AX1305" t="s">
        <v>4756</v>
      </c>
    </row>
    <row r="1306" spans="1:50" x14ac:dyDescent="0.25">
      <c r="A1306" t="s">
        <v>4757</v>
      </c>
      <c r="B1306" t="s">
        <v>1679</v>
      </c>
      <c r="C1306">
        <v>0</v>
      </c>
      <c r="D1306">
        <v>0</v>
      </c>
      <c r="E1306" t="s">
        <v>1680</v>
      </c>
      <c r="H1306">
        <v>0</v>
      </c>
      <c r="N1306">
        <v>1</v>
      </c>
      <c r="Q1306">
        <v>0</v>
      </c>
      <c r="R1306">
        <v>0</v>
      </c>
      <c r="U1306" t="s">
        <v>1687</v>
      </c>
      <c r="V1306">
        <v>63</v>
      </c>
      <c r="X1306" t="s">
        <v>80</v>
      </c>
      <c r="Y1306">
        <v>0</v>
      </c>
      <c r="Z1306">
        <v>86.89</v>
      </c>
      <c r="AB1306" t="s">
        <v>118</v>
      </c>
      <c r="AD1306" t="s">
        <v>57</v>
      </c>
      <c r="AE1306">
        <v>1</v>
      </c>
      <c r="AF1306">
        <v>6</v>
      </c>
      <c r="AG1306">
        <v>1</v>
      </c>
      <c r="AH1306">
        <v>1.5</v>
      </c>
      <c r="AI1306">
        <v>384</v>
      </c>
      <c r="AJ1306">
        <v>384</v>
      </c>
      <c r="AK1306">
        <v>176</v>
      </c>
      <c r="AL1306" t="s">
        <v>1394</v>
      </c>
      <c r="AM1306">
        <v>1.1000000238000001</v>
      </c>
      <c r="AN1306" t="s">
        <v>1720</v>
      </c>
      <c r="AO1306" t="s">
        <v>59</v>
      </c>
      <c r="AP1306" t="s">
        <v>60</v>
      </c>
      <c r="AQ1306">
        <v>11</v>
      </c>
      <c r="AR1306">
        <v>188</v>
      </c>
      <c r="AS1306">
        <v>328</v>
      </c>
      <c r="AT1306">
        <v>1.51</v>
      </c>
      <c r="AU1306">
        <v>4.12</v>
      </c>
      <c r="AV1306" t="s">
        <v>4758</v>
      </c>
      <c r="AW1306" t="s">
        <v>4181</v>
      </c>
      <c r="AX1306" t="s">
        <v>4759</v>
      </c>
    </row>
    <row r="1307" spans="1:50" x14ac:dyDescent="0.25">
      <c r="A1307" t="s">
        <v>4760</v>
      </c>
      <c r="B1307" t="s">
        <v>1679</v>
      </c>
      <c r="C1307">
        <v>0</v>
      </c>
      <c r="D1307">
        <v>0</v>
      </c>
      <c r="E1307" t="s">
        <v>1791</v>
      </c>
      <c r="H1307">
        <v>0</v>
      </c>
      <c r="N1307">
        <v>1</v>
      </c>
      <c r="Q1307">
        <v>1</v>
      </c>
      <c r="R1307">
        <v>0</v>
      </c>
      <c r="U1307" t="s">
        <v>1735</v>
      </c>
      <c r="V1307">
        <v>46</v>
      </c>
      <c r="X1307" t="s">
        <v>80</v>
      </c>
      <c r="Y1307">
        <v>0</v>
      </c>
      <c r="Z1307">
        <v>53.524000000000001</v>
      </c>
      <c r="AB1307" t="s">
        <v>74</v>
      </c>
      <c r="AD1307" t="s">
        <v>57</v>
      </c>
      <c r="AE1307">
        <v>0</v>
      </c>
      <c r="AF1307">
        <v>6</v>
      </c>
      <c r="AG1307">
        <v>1</v>
      </c>
      <c r="AH1307">
        <v>1.5</v>
      </c>
      <c r="AI1307">
        <v>512</v>
      </c>
      <c r="AJ1307">
        <v>512</v>
      </c>
      <c r="AK1307">
        <v>80</v>
      </c>
      <c r="AL1307" t="s">
        <v>113</v>
      </c>
      <c r="AM1307">
        <v>2</v>
      </c>
      <c r="AN1307" t="s">
        <v>996</v>
      </c>
      <c r="AO1307" t="s">
        <v>67</v>
      </c>
      <c r="AP1307" t="s">
        <v>68</v>
      </c>
      <c r="AQ1307">
        <v>15</v>
      </c>
      <c r="AR1307">
        <v>165</v>
      </c>
      <c r="AS1307">
        <v>331</v>
      </c>
      <c r="AT1307">
        <v>4.2</v>
      </c>
      <c r="AU1307">
        <v>7</v>
      </c>
      <c r="AV1307" t="s">
        <v>4761</v>
      </c>
      <c r="AW1307" t="s">
        <v>2712</v>
      </c>
      <c r="AX1307" t="s">
        <v>4762</v>
      </c>
    </row>
    <row r="1308" spans="1:50" x14ac:dyDescent="0.25">
      <c r="A1308" t="s">
        <v>4763</v>
      </c>
      <c r="B1308" t="s">
        <v>1679</v>
      </c>
      <c r="C1308">
        <v>0</v>
      </c>
      <c r="D1308">
        <v>1</v>
      </c>
      <c r="E1308" t="s">
        <v>1698</v>
      </c>
      <c r="H1308">
        <v>0</v>
      </c>
      <c r="N1308">
        <v>1</v>
      </c>
      <c r="Q1308">
        <v>0</v>
      </c>
      <c r="R1308">
        <v>1</v>
      </c>
      <c r="U1308" t="s">
        <v>1687</v>
      </c>
      <c r="V1308">
        <v>47</v>
      </c>
      <c r="W1308" t="s">
        <v>1688</v>
      </c>
      <c r="X1308" t="s">
        <v>80</v>
      </c>
      <c r="Y1308">
        <v>1</v>
      </c>
      <c r="Z1308">
        <v>89.811000000000007</v>
      </c>
      <c r="AB1308" t="s">
        <v>118</v>
      </c>
      <c r="AD1308" t="s">
        <v>57</v>
      </c>
      <c r="AE1308">
        <v>0</v>
      </c>
      <c r="AF1308">
        <v>6</v>
      </c>
      <c r="AG1308">
        <v>1</v>
      </c>
      <c r="AH1308">
        <v>1.5</v>
      </c>
      <c r="AI1308">
        <v>512</v>
      </c>
      <c r="AJ1308">
        <v>512</v>
      </c>
      <c r="AK1308">
        <v>66</v>
      </c>
      <c r="AL1308" t="s">
        <v>113</v>
      </c>
      <c r="AM1308">
        <v>2.4</v>
      </c>
      <c r="AN1308" t="s">
        <v>1942</v>
      </c>
      <c r="AO1308" t="s">
        <v>67</v>
      </c>
      <c r="AP1308" t="s">
        <v>68</v>
      </c>
      <c r="AQ1308">
        <v>15</v>
      </c>
      <c r="AR1308">
        <v>284</v>
      </c>
      <c r="AS1308">
        <v>569</v>
      </c>
      <c r="AT1308">
        <v>3</v>
      </c>
      <c r="AU1308">
        <v>6.24</v>
      </c>
      <c r="AV1308" t="s">
        <v>4764</v>
      </c>
      <c r="AW1308" t="s">
        <v>4765</v>
      </c>
      <c r="AX1308" t="s">
        <v>4766</v>
      </c>
    </row>
    <row r="1309" spans="1:50" x14ac:dyDescent="0.25">
      <c r="A1309" t="s">
        <v>4767</v>
      </c>
      <c r="B1309" t="s">
        <v>1679</v>
      </c>
      <c r="C1309">
        <v>0</v>
      </c>
      <c r="D1309">
        <v>0</v>
      </c>
      <c r="E1309" t="s">
        <v>1791</v>
      </c>
      <c r="H1309">
        <v>1</v>
      </c>
      <c r="N1309">
        <v>1</v>
      </c>
      <c r="Q1309">
        <v>1</v>
      </c>
      <c r="R1309">
        <v>0</v>
      </c>
      <c r="U1309" t="s">
        <v>1735</v>
      </c>
      <c r="V1309">
        <v>53</v>
      </c>
      <c r="W1309" t="s">
        <v>79</v>
      </c>
      <c r="X1309" t="s">
        <v>80</v>
      </c>
      <c r="Y1309">
        <v>0</v>
      </c>
      <c r="Z1309">
        <v>77.110712708999998</v>
      </c>
      <c r="AB1309" t="s">
        <v>94</v>
      </c>
      <c r="AD1309" t="s">
        <v>57</v>
      </c>
      <c r="AE1309">
        <v>1</v>
      </c>
      <c r="AF1309">
        <v>6</v>
      </c>
      <c r="AG1309">
        <v>0</v>
      </c>
      <c r="AH1309">
        <v>1.5</v>
      </c>
      <c r="AI1309">
        <v>384</v>
      </c>
      <c r="AJ1309">
        <v>384</v>
      </c>
      <c r="AK1309">
        <v>144</v>
      </c>
      <c r="AL1309" t="s">
        <v>4768</v>
      </c>
      <c r="AM1309">
        <v>1.2000000476999999</v>
      </c>
      <c r="AN1309" t="s">
        <v>2146</v>
      </c>
      <c r="AO1309" t="s">
        <v>59</v>
      </c>
      <c r="AP1309" t="s">
        <v>2147</v>
      </c>
      <c r="AQ1309">
        <v>11</v>
      </c>
      <c r="AR1309">
        <v>34</v>
      </c>
      <c r="AS1309">
        <v>91</v>
      </c>
      <c r="AT1309">
        <v>1.61</v>
      </c>
      <c r="AU1309">
        <v>4.57</v>
      </c>
      <c r="AV1309" t="s">
        <v>4769</v>
      </c>
      <c r="AW1309" t="s">
        <v>2329</v>
      </c>
      <c r="AX1309" t="s">
        <v>4770</v>
      </c>
    </row>
    <row r="1310" spans="1:50" x14ac:dyDescent="0.25">
      <c r="A1310" t="s">
        <v>4771</v>
      </c>
      <c r="B1310" t="s">
        <v>1679</v>
      </c>
      <c r="C1310">
        <v>0</v>
      </c>
      <c r="D1310">
        <v>1</v>
      </c>
      <c r="E1310" t="s">
        <v>1686</v>
      </c>
      <c r="H1310">
        <v>0</v>
      </c>
      <c r="N1310">
        <v>1</v>
      </c>
      <c r="Q1310">
        <v>0</v>
      </c>
      <c r="R1310">
        <v>1</v>
      </c>
      <c r="U1310" t="s">
        <v>1687</v>
      </c>
      <c r="V1310">
        <v>47</v>
      </c>
      <c r="W1310" t="s">
        <v>1688</v>
      </c>
      <c r="X1310" t="s">
        <v>80</v>
      </c>
      <c r="Y1310">
        <v>0</v>
      </c>
      <c r="Z1310">
        <v>61.234999999999999</v>
      </c>
      <c r="AB1310" t="s">
        <v>74</v>
      </c>
      <c r="AD1310" t="s">
        <v>57</v>
      </c>
      <c r="AE1310">
        <v>0</v>
      </c>
      <c r="AF1310">
        <v>6</v>
      </c>
      <c r="AG1310">
        <v>1</v>
      </c>
      <c r="AH1310">
        <v>1.5</v>
      </c>
      <c r="AI1310">
        <v>512</v>
      </c>
      <c r="AJ1310">
        <v>512</v>
      </c>
      <c r="AK1310">
        <v>72</v>
      </c>
      <c r="AL1310" t="s">
        <v>119</v>
      </c>
      <c r="AM1310">
        <v>2.2000000000000002</v>
      </c>
      <c r="AN1310" t="s">
        <v>1072</v>
      </c>
      <c r="AO1310" t="s">
        <v>67</v>
      </c>
      <c r="AP1310" t="s">
        <v>68</v>
      </c>
      <c r="AQ1310">
        <v>15</v>
      </c>
      <c r="AR1310">
        <v>265</v>
      </c>
      <c r="AS1310">
        <v>530</v>
      </c>
      <c r="AT1310">
        <v>4.2359999999999998</v>
      </c>
      <c r="AU1310">
        <v>8.6679999999999993</v>
      </c>
      <c r="AV1310" t="s">
        <v>4772</v>
      </c>
      <c r="AW1310" t="s">
        <v>2457</v>
      </c>
      <c r="AX1310" t="s">
        <v>4773</v>
      </c>
    </row>
    <row r="1311" spans="1:50" x14ac:dyDescent="0.25">
      <c r="A1311" t="s">
        <v>4774</v>
      </c>
      <c r="B1311" t="s">
        <v>1679</v>
      </c>
      <c r="C1311">
        <v>0</v>
      </c>
      <c r="D1311">
        <v>0</v>
      </c>
      <c r="E1311" t="s">
        <v>1725</v>
      </c>
      <c r="H1311">
        <v>1</v>
      </c>
      <c r="N1311">
        <v>0</v>
      </c>
      <c r="Q1311">
        <v>0</v>
      </c>
      <c r="R1311">
        <v>1</v>
      </c>
      <c r="U1311" t="s">
        <v>65</v>
      </c>
      <c r="V1311">
        <v>49</v>
      </c>
      <c r="W1311" t="s">
        <v>1688</v>
      </c>
      <c r="X1311" t="s">
        <v>80</v>
      </c>
      <c r="Y1311">
        <v>0</v>
      </c>
      <c r="Z1311">
        <v>78.017897564400002</v>
      </c>
      <c r="AB1311" t="s">
        <v>94</v>
      </c>
      <c r="AD1311" t="s">
        <v>57</v>
      </c>
      <c r="AE1311">
        <v>0</v>
      </c>
      <c r="AF1311">
        <v>6</v>
      </c>
      <c r="AG1311">
        <v>1</v>
      </c>
      <c r="AH1311">
        <v>3</v>
      </c>
      <c r="AI1311">
        <v>512</v>
      </c>
      <c r="AJ1311">
        <v>512</v>
      </c>
      <c r="AK1311">
        <v>134</v>
      </c>
      <c r="AL1311" t="s">
        <v>196</v>
      </c>
      <c r="AM1311">
        <v>1.2000000476999999</v>
      </c>
      <c r="AN1311" t="s">
        <v>1741</v>
      </c>
      <c r="AO1311" t="s">
        <v>59</v>
      </c>
      <c r="AP1311" t="s">
        <v>124</v>
      </c>
      <c r="AQ1311">
        <v>11</v>
      </c>
      <c r="AR1311">
        <v>63</v>
      </c>
      <c r="AS1311">
        <v>172</v>
      </c>
      <c r="AT1311">
        <v>1.69</v>
      </c>
      <c r="AU1311">
        <v>4.5999999999999996</v>
      </c>
      <c r="AV1311" t="s">
        <v>1959</v>
      </c>
      <c r="AW1311" t="s">
        <v>4775</v>
      </c>
      <c r="AX1311" t="s">
        <v>4776</v>
      </c>
    </row>
    <row r="1312" spans="1:50" x14ac:dyDescent="0.25">
      <c r="A1312" t="s">
        <v>4777</v>
      </c>
      <c r="B1312" t="s">
        <v>1679</v>
      </c>
      <c r="C1312">
        <v>0</v>
      </c>
      <c r="D1312">
        <v>1</v>
      </c>
      <c r="E1312" t="s">
        <v>1693</v>
      </c>
      <c r="H1312">
        <v>0</v>
      </c>
      <c r="N1312">
        <v>1</v>
      </c>
      <c r="Q1312">
        <v>0</v>
      </c>
      <c r="R1312">
        <v>1</v>
      </c>
      <c r="U1312" t="s">
        <v>1687</v>
      </c>
      <c r="V1312">
        <v>31</v>
      </c>
      <c r="W1312" t="s">
        <v>1688</v>
      </c>
      <c r="X1312" t="s">
        <v>80</v>
      </c>
      <c r="Y1312">
        <v>0</v>
      </c>
      <c r="Z1312">
        <v>57</v>
      </c>
      <c r="AB1312" t="s">
        <v>74</v>
      </c>
      <c r="AD1312" t="s">
        <v>57</v>
      </c>
      <c r="AE1312">
        <v>0</v>
      </c>
      <c r="AF1312">
        <v>6</v>
      </c>
      <c r="AG1312">
        <v>1</v>
      </c>
      <c r="AH1312">
        <v>1.5</v>
      </c>
      <c r="AI1312">
        <v>400</v>
      </c>
      <c r="AJ1312">
        <v>400</v>
      </c>
      <c r="AK1312">
        <v>64</v>
      </c>
      <c r="AL1312" t="s">
        <v>1924</v>
      </c>
      <c r="AM1312">
        <v>2.5</v>
      </c>
      <c r="AN1312" t="s">
        <v>1531</v>
      </c>
      <c r="AO1312" t="s">
        <v>1155</v>
      </c>
      <c r="AP1312" t="s">
        <v>1767</v>
      </c>
      <c r="AQ1312">
        <v>11</v>
      </c>
      <c r="AR1312">
        <v>54.99</v>
      </c>
      <c r="AS1312">
        <v>95.59</v>
      </c>
      <c r="AT1312">
        <v>2.5979999999999999</v>
      </c>
      <c r="AU1312">
        <v>5.2080000000000002</v>
      </c>
      <c r="AV1312" t="s">
        <v>4778</v>
      </c>
      <c r="AW1312" t="s">
        <v>2734</v>
      </c>
      <c r="AX1312" t="s">
        <v>4779</v>
      </c>
    </row>
    <row r="1313" spans="1:50" x14ac:dyDescent="0.25">
      <c r="A1313" t="s">
        <v>4780</v>
      </c>
      <c r="B1313" t="s">
        <v>1679</v>
      </c>
      <c r="C1313">
        <v>0</v>
      </c>
      <c r="D1313">
        <v>0</v>
      </c>
      <c r="E1313" t="s">
        <v>1871</v>
      </c>
      <c r="H1313">
        <v>0</v>
      </c>
      <c r="N1313">
        <v>0</v>
      </c>
      <c r="Q1313">
        <v>1</v>
      </c>
      <c r="R1313">
        <v>0</v>
      </c>
      <c r="U1313" t="s">
        <v>72</v>
      </c>
      <c r="V1313">
        <v>60</v>
      </c>
      <c r="W1313" t="s">
        <v>79</v>
      </c>
      <c r="X1313" t="s">
        <v>80</v>
      </c>
      <c r="Y1313">
        <v>1</v>
      </c>
      <c r="Z1313">
        <v>80.739000000000004</v>
      </c>
      <c r="AB1313" t="s">
        <v>94</v>
      </c>
      <c r="AD1313" t="s">
        <v>57</v>
      </c>
      <c r="AE1313">
        <v>0</v>
      </c>
      <c r="AF1313">
        <v>6</v>
      </c>
      <c r="AG1313">
        <v>1</v>
      </c>
      <c r="AH1313">
        <v>1.5</v>
      </c>
      <c r="AI1313">
        <v>512</v>
      </c>
      <c r="AJ1313">
        <v>512</v>
      </c>
      <c r="AK1313">
        <v>66</v>
      </c>
      <c r="AL1313" t="s">
        <v>153</v>
      </c>
      <c r="AM1313">
        <v>2.4</v>
      </c>
      <c r="AN1313" t="s">
        <v>1942</v>
      </c>
      <c r="AO1313" t="s">
        <v>67</v>
      </c>
      <c r="AP1313" t="s">
        <v>68</v>
      </c>
      <c r="AQ1313">
        <v>15</v>
      </c>
      <c r="AR1313">
        <v>276</v>
      </c>
      <c r="AS1313">
        <v>552</v>
      </c>
      <c r="AT1313">
        <v>2.972</v>
      </c>
      <c r="AU1313">
        <v>6.1920000000000002</v>
      </c>
      <c r="AV1313" t="s">
        <v>4781</v>
      </c>
      <c r="AW1313" t="s">
        <v>1908</v>
      </c>
      <c r="AX1313" t="s">
        <v>4782</v>
      </c>
    </row>
    <row r="1314" spans="1:50" x14ac:dyDescent="0.25">
      <c r="A1314" t="s">
        <v>4783</v>
      </c>
      <c r="B1314" t="s">
        <v>1679</v>
      </c>
      <c r="C1314">
        <v>0</v>
      </c>
      <c r="D1314">
        <v>0</v>
      </c>
      <c r="E1314" t="s">
        <v>1734</v>
      </c>
      <c r="H1314">
        <v>1</v>
      </c>
      <c r="N1314">
        <v>0</v>
      </c>
      <c r="Q1314">
        <v>1</v>
      </c>
      <c r="R1314">
        <v>0</v>
      </c>
      <c r="U1314" t="s">
        <v>72</v>
      </c>
      <c r="V1314">
        <v>55</v>
      </c>
      <c r="X1314" t="s">
        <v>80</v>
      </c>
      <c r="Y1314">
        <v>0</v>
      </c>
      <c r="Z1314">
        <v>81.646636986000004</v>
      </c>
      <c r="AB1314" t="s">
        <v>94</v>
      </c>
      <c r="AD1314" t="s">
        <v>57</v>
      </c>
      <c r="AE1314">
        <v>1</v>
      </c>
      <c r="AF1314">
        <v>6</v>
      </c>
      <c r="AG1314">
        <v>1</v>
      </c>
      <c r="AH1314">
        <v>1.5</v>
      </c>
      <c r="AI1314">
        <v>384</v>
      </c>
      <c r="AJ1314">
        <v>384</v>
      </c>
      <c r="AK1314">
        <v>160</v>
      </c>
      <c r="AL1314" t="s">
        <v>1034</v>
      </c>
      <c r="AM1314">
        <v>1</v>
      </c>
      <c r="AN1314" t="s">
        <v>1741</v>
      </c>
      <c r="AO1314" t="s">
        <v>59</v>
      </c>
      <c r="AP1314" t="s">
        <v>60</v>
      </c>
      <c r="AQ1314">
        <v>11</v>
      </c>
      <c r="AR1314">
        <v>62</v>
      </c>
      <c r="AS1314">
        <v>161</v>
      </c>
      <c r="AT1314">
        <v>2.31</v>
      </c>
      <c r="AU1314">
        <v>5.15</v>
      </c>
      <c r="AV1314" t="s">
        <v>4784</v>
      </c>
      <c r="AW1314" t="s">
        <v>2897</v>
      </c>
      <c r="AX1314" t="s">
        <v>4785</v>
      </c>
    </row>
    <row r="1315" spans="1:50" x14ac:dyDescent="0.25">
      <c r="A1315" t="s">
        <v>4786</v>
      </c>
      <c r="B1315" t="s">
        <v>1679</v>
      </c>
      <c r="C1315">
        <v>0</v>
      </c>
      <c r="D1315">
        <v>0</v>
      </c>
      <c r="E1315" t="s">
        <v>1839</v>
      </c>
      <c r="H1315">
        <v>0</v>
      </c>
      <c r="N1315">
        <v>1</v>
      </c>
      <c r="Q1315">
        <v>1</v>
      </c>
      <c r="R1315">
        <v>0</v>
      </c>
      <c r="U1315" t="s">
        <v>1735</v>
      </c>
      <c r="V1315">
        <v>41</v>
      </c>
      <c r="W1315" t="s">
        <v>1688</v>
      </c>
      <c r="X1315" t="s">
        <v>80</v>
      </c>
      <c r="Y1315">
        <v>0</v>
      </c>
      <c r="AD1315" t="s">
        <v>57</v>
      </c>
      <c r="AE1315">
        <v>1</v>
      </c>
      <c r="AF1315">
        <v>6</v>
      </c>
      <c r="AG1315">
        <v>1</v>
      </c>
      <c r="AH1315">
        <v>1.5</v>
      </c>
      <c r="AI1315">
        <v>384</v>
      </c>
      <c r="AJ1315">
        <v>384</v>
      </c>
      <c r="AK1315">
        <v>160</v>
      </c>
      <c r="AL1315" t="s">
        <v>1835</v>
      </c>
      <c r="AM1315">
        <v>1</v>
      </c>
      <c r="AN1315" t="s">
        <v>1728</v>
      </c>
      <c r="AO1315" t="s">
        <v>59</v>
      </c>
      <c r="AP1315" t="s">
        <v>1729</v>
      </c>
      <c r="AQ1315">
        <v>11</v>
      </c>
      <c r="AR1315">
        <v>50</v>
      </c>
      <c r="AS1315">
        <v>138</v>
      </c>
      <c r="AT1315">
        <v>1.81</v>
      </c>
      <c r="AU1315">
        <v>5.05</v>
      </c>
      <c r="AV1315" t="s">
        <v>2106</v>
      </c>
      <c r="AW1315" t="s">
        <v>1806</v>
      </c>
      <c r="AX1315" t="s">
        <v>4787</v>
      </c>
    </row>
    <row r="1316" spans="1:50" x14ac:dyDescent="0.25">
      <c r="A1316" t="s">
        <v>4788</v>
      </c>
      <c r="B1316" t="s">
        <v>1679</v>
      </c>
      <c r="C1316">
        <v>0</v>
      </c>
      <c r="D1316">
        <v>1</v>
      </c>
      <c r="E1316" t="s">
        <v>1703</v>
      </c>
      <c r="H1316">
        <v>0</v>
      </c>
      <c r="N1316">
        <v>1</v>
      </c>
      <c r="Q1316">
        <v>0</v>
      </c>
      <c r="R1316">
        <v>0</v>
      </c>
      <c r="U1316" t="s">
        <v>1687</v>
      </c>
      <c r="V1316">
        <v>38</v>
      </c>
      <c r="W1316" t="s">
        <v>1688</v>
      </c>
      <c r="X1316" t="s">
        <v>80</v>
      </c>
      <c r="Y1316">
        <v>0</v>
      </c>
      <c r="Z1316">
        <v>51.256</v>
      </c>
      <c r="AB1316" t="s">
        <v>74</v>
      </c>
      <c r="AD1316" t="s">
        <v>57</v>
      </c>
      <c r="AE1316">
        <v>0</v>
      </c>
      <c r="AF1316">
        <v>6</v>
      </c>
      <c r="AG1316">
        <v>1</v>
      </c>
      <c r="AH1316">
        <v>1.5</v>
      </c>
      <c r="AI1316">
        <v>512</v>
      </c>
      <c r="AJ1316">
        <v>512</v>
      </c>
      <c r="AK1316">
        <v>80</v>
      </c>
      <c r="AL1316" t="s">
        <v>196</v>
      </c>
      <c r="AM1316">
        <v>2</v>
      </c>
      <c r="AN1316" t="s">
        <v>996</v>
      </c>
      <c r="AO1316" t="s">
        <v>67</v>
      </c>
      <c r="AP1316" t="s">
        <v>68</v>
      </c>
      <c r="AQ1316">
        <v>15</v>
      </c>
      <c r="AR1316">
        <v>218</v>
      </c>
      <c r="AS1316">
        <v>436</v>
      </c>
      <c r="AT1316">
        <v>4.2</v>
      </c>
      <c r="AU1316">
        <v>7</v>
      </c>
      <c r="AV1316" t="s">
        <v>4789</v>
      </c>
      <c r="AW1316" t="s">
        <v>2007</v>
      </c>
      <c r="AX1316" t="s">
        <v>4790</v>
      </c>
    </row>
    <row r="1317" spans="1:50" x14ac:dyDescent="0.25">
      <c r="A1317" t="s">
        <v>4791</v>
      </c>
      <c r="B1317" t="s">
        <v>1679</v>
      </c>
      <c r="C1317">
        <v>0</v>
      </c>
      <c r="D1317">
        <v>1</v>
      </c>
      <c r="E1317" t="s">
        <v>1680</v>
      </c>
      <c r="H1317">
        <v>0</v>
      </c>
      <c r="N1317">
        <v>1</v>
      </c>
      <c r="Q1317">
        <v>0</v>
      </c>
      <c r="R1317">
        <v>0</v>
      </c>
      <c r="U1317" t="s">
        <v>1687</v>
      </c>
      <c r="V1317">
        <v>60</v>
      </c>
      <c r="X1317" t="s">
        <v>80</v>
      </c>
      <c r="Y1317">
        <v>0</v>
      </c>
      <c r="AD1317" t="s">
        <v>57</v>
      </c>
      <c r="AE1317">
        <v>0</v>
      </c>
      <c r="AF1317">
        <v>6</v>
      </c>
      <c r="AG1317">
        <v>1</v>
      </c>
      <c r="AH1317">
        <v>1.5</v>
      </c>
      <c r="AI1317">
        <v>512</v>
      </c>
      <c r="AJ1317">
        <v>512</v>
      </c>
      <c r="AK1317">
        <v>72</v>
      </c>
      <c r="AL1317" t="s">
        <v>119</v>
      </c>
      <c r="AM1317">
        <v>2.2000000000000002</v>
      </c>
      <c r="AN1317" t="s">
        <v>1072</v>
      </c>
      <c r="AO1317" t="s">
        <v>67</v>
      </c>
      <c r="AP1317" t="s">
        <v>68</v>
      </c>
      <c r="AQ1317">
        <v>15</v>
      </c>
      <c r="AR1317">
        <v>285</v>
      </c>
      <c r="AS1317">
        <v>570</v>
      </c>
      <c r="AT1317">
        <v>4.2359999999999998</v>
      </c>
      <c r="AU1317">
        <v>8.6679999999999993</v>
      </c>
      <c r="AV1317" t="s">
        <v>4792</v>
      </c>
      <c r="AW1317" t="s">
        <v>4793</v>
      </c>
      <c r="AX1317" t="s">
        <v>4794</v>
      </c>
    </row>
    <row r="1318" spans="1:50" x14ac:dyDescent="0.25">
      <c r="A1318" t="s">
        <v>4795</v>
      </c>
      <c r="B1318" t="s">
        <v>1679</v>
      </c>
      <c r="C1318">
        <v>0</v>
      </c>
      <c r="D1318">
        <v>0</v>
      </c>
      <c r="E1318" t="s">
        <v>1740</v>
      </c>
      <c r="H1318">
        <v>1</v>
      </c>
      <c r="N1318">
        <v>0</v>
      </c>
      <c r="Q1318">
        <v>1</v>
      </c>
      <c r="R1318">
        <v>0</v>
      </c>
      <c r="U1318" t="s">
        <v>72</v>
      </c>
      <c r="V1318">
        <v>60</v>
      </c>
      <c r="X1318" t="s">
        <v>80</v>
      </c>
      <c r="Y1318">
        <v>0</v>
      </c>
      <c r="Z1318">
        <v>59.420999999999999</v>
      </c>
      <c r="AB1318" t="s">
        <v>74</v>
      </c>
      <c r="AD1318" t="s">
        <v>57</v>
      </c>
      <c r="AE1318">
        <v>0</v>
      </c>
      <c r="AF1318">
        <v>6</v>
      </c>
      <c r="AG1318">
        <v>1</v>
      </c>
      <c r="AH1318">
        <v>1.5</v>
      </c>
      <c r="AI1318">
        <v>512</v>
      </c>
      <c r="AJ1318">
        <v>512</v>
      </c>
      <c r="AK1318">
        <v>72</v>
      </c>
      <c r="AL1318" t="s">
        <v>119</v>
      </c>
      <c r="AM1318">
        <v>2.2000000000000002</v>
      </c>
      <c r="AN1318" t="s">
        <v>1902</v>
      </c>
      <c r="AO1318" t="s">
        <v>67</v>
      </c>
      <c r="AP1318" t="s">
        <v>68</v>
      </c>
      <c r="AQ1318">
        <v>15</v>
      </c>
      <c r="AR1318">
        <v>258</v>
      </c>
      <c r="AS1318">
        <v>516</v>
      </c>
      <c r="AT1318">
        <v>3.1720000000000002</v>
      </c>
      <c r="AU1318">
        <v>6.548</v>
      </c>
      <c r="AV1318" t="s">
        <v>4796</v>
      </c>
      <c r="AW1318" t="s">
        <v>4797</v>
      </c>
      <c r="AX1318" t="s">
        <v>4798</v>
      </c>
    </row>
    <row r="1319" spans="1:50" x14ac:dyDescent="0.25">
      <c r="A1319" t="s">
        <v>4799</v>
      </c>
      <c r="B1319" t="s">
        <v>1679</v>
      </c>
      <c r="C1319">
        <v>0</v>
      </c>
      <c r="D1319">
        <v>0</v>
      </c>
      <c r="E1319" t="s">
        <v>1698</v>
      </c>
      <c r="H1319">
        <v>0</v>
      </c>
      <c r="N1319">
        <v>1</v>
      </c>
      <c r="Q1319">
        <v>0</v>
      </c>
      <c r="R1319">
        <v>0</v>
      </c>
      <c r="U1319" t="s">
        <v>1687</v>
      </c>
      <c r="V1319">
        <v>60</v>
      </c>
      <c r="W1319" t="s">
        <v>79</v>
      </c>
      <c r="X1319" t="s">
        <v>80</v>
      </c>
      <c r="Y1319">
        <v>0</v>
      </c>
      <c r="Z1319">
        <v>54</v>
      </c>
      <c r="AB1319" t="s">
        <v>74</v>
      </c>
      <c r="AD1319" t="s">
        <v>57</v>
      </c>
      <c r="AE1319">
        <v>0</v>
      </c>
      <c r="AF1319">
        <v>6</v>
      </c>
      <c r="AG1319">
        <v>1</v>
      </c>
      <c r="AH1319">
        <v>1.5</v>
      </c>
      <c r="AI1319">
        <v>512</v>
      </c>
      <c r="AJ1319">
        <v>512</v>
      </c>
      <c r="AK1319">
        <v>160</v>
      </c>
      <c r="AL1319" t="s">
        <v>1876</v>
      </c>
      <c r="AM1319">
        <v>2</v>
      </c>
      <c r="AN1319" t="s">
        <v>1877</v>
      </c>
      <c r="AO1319" t="s">
        <v>1155</v>
      </c>
      <c r="AP1319" t="s">
        <v>1767</v>
      </c>
      <c r="AQ1319">
        <v>11</v>
      </c>
      <c r="AR1319">
        <v>286</v>
      </c>
      <c r="AS1319">
        <v>497</v>
      </c>
      <c r="AT1319">
        <v>3.5790000000000002</v>
      </c>
      <c r="AU1319">
        <v>7.2565999999999997</v>
      </c>
      <c r="AV1319" t="s">
        <v>4800</v>
      </c>
      <c r="AW1319" t="s">
        <v>4801</v>
      </c>
      <c r="AX1319" t="s">
        <v>4802</v>
      </c>
    </row>
    <row r="1320" spans="1:50" x14ac:dyDescent="0.25">
      <c r="A1320" t="s">
        <v>4803</v>
      </c>
      <c r="B1320" t="s">
        <v>1679</v>
      </c>
      <c r="C1320">
        <v>0</v>
      </c>
      <c r="D1320">
        <v>0</v>
      </c>
      <c r="E1320" t="s">
        <v>1680</v>
      </c>
      <c r="H1320">
        <v>0</v>
      </c>
      <c r="N1320">
        <v>0</v>
      </c>
      <c r="Q1320">
        <v>0</v>
      </c>
      <c r="R1320">
        <v>1</v>
      </c>
      <c r="U1320" t="s">
        <v>65</v>
      </c>
      <c r="V1320">
        <v>42</v>
      </c>
      <c r="W1320" t="s">
        <v>1688</v>
      </c>
      <c r="X1320" t="s">
        <v>111</v>
      </c>
      <c r="Y1320">
        <v>0</v>
      </c>
      <c r="Z1320">
        <v>63</v>
      </c>
      <c r="AB1320" t="s">
        <v>74</v>
      </c>
      <c r="AD1320" t="s">
        <v>57</v>
      </c>
      <c r="AE1320">
        <v>0</v>
      </c>
      <c r="AF1320">
        <v>6</v>
      </c>
      <c r="AG1320">
        <v>1</v>
      </c>
      <c r="AH1320">
        <v>3</v>
      </c>
      <c r="AI1320">
        <v>480</v>
      </c>
      <c r="AJ1320">
        <v>480</v>
      </c>
      <c r="AK1320">
        <v>160</v>
      </c>
      <c r="AL1320" t="s">
        <v>2584</v>
      </c>
      <c r="AM1320">
        <v>2</v>
      </c>
      <c r="AN1320" t="s">
        <v>1419</v>
      </c>
      <c r="AO1320" t="s">
        <v>1155</v>
      </c>
      <c r="AP1320" t="s">
        <v>1767</v>
      </c>
      <c r="AQ1320">
        <v>11</v>
      </c>
      <c r="AR1320">
        <v>1313</v>
      </c>
      <c r="AS1320">
        <v>2282</v>
      </c>
      <c r="AT1320">
        <v>1.7190000000000001</v>
      </c>
      <c r="AU1320">
        <v>4</v>
      </c>
      <c r="AV1320" t="s">
        <v>4804</v>
      </c>
      <c r="AW1320" t="s">
        <v>4128</v>
      </c>
      <c r="AX1320" t="s">
        <v>4805</v>
      </c>
    </row>
    <row r="1321" spans="1:50" x14ac:dyDescent="0.25">
      <c r="A1321" t="s">
        <v>4806</v>
      </c>
      <c r="B1321" t="s">
        <v>1679</v>
      </c>
      <c r="C1321">
        <v>1</v>
      </c>
      <c r="D1321">
        <v>1</v>
      </c>
      <c r="E1321" t="s">
        <v>1740</v>
      </c>
      <c r="H1321">
        <v>0</v>
      </c>
      <c r="N1321">
        <v>0</v>
      </c>
      <c r="Q1321">
        <v>0</v>
      </c>
      <c r="R1321">
        <v>1</v>
      </c>
      <c r="U1321" t="s">
        <v>65</v>
      </c>
      <c r="V1321">
        <v>39</v>
      </c>
      <c r="W1321" t="s">
        <v>1726</v>
      </c>
      <c r="X1321" t="s">
        <v>80</v>
      </c>
      <c r="Y1321">
        <v>0</v>
      </c>
      <c r="Z1321">
        <v>108.862182648</v>
      </c>
      <c r="AB1321" t="s">
        <v>56</v>
      </c>
      <c r="AD1321" t="s">
        <v>57</v>
      </c>
      <c r="AE1321">
        <v>1</v>
      </c>
      <c r="AF1321">
        <v>6</v>
      </c>
      <c r="AG1321">
        <v>1</v>
      </c>
      <c r="AH1321">
        <v>1.5</v>
      </c>
      <c r="AI1321">
        <v>384</v>
      </c>
      <c r="AJ1321">
        <v>384</v>
      </c>
      <c r="AK1321">
        <v>160</v>
      </c>
      <c r="AL1321" t="s">
        <v>1800</v>
      </c>
      <c r="AM1321">
        <v>1</v>
      </c>
      <c r="AN1321" t="s">
        <v>1728</v>
      </c>
      <c r="AO1321" t="s">
        <v>59</v>
      </c>
      <c r="AP1321" t="s">
        <v>1729</v>
      </c>
      <c r="AQ1321">
        <v>11</v>
      </c>
      <c r="AR1321">
        <v>56</v>
      </c>
      <c r="AS1321">
        <v>151</v>
      </c>
      <c r="AT1321">
        <v>1.81</v>
      </c>
      <c r="AU1321">
        <v>4.82</v>
      </c>
      <c r="AV1321" t="s">
        <v>4807</v>
      </c>
      <c r="AW1321" t="s">
        <v>4808</v>
      </c>
      <c r="AX1321" t="s">
        <v>4809</v>
      </c>
    </row>
    <row r="1322" spans="1:50" x14ac:dyDescent="0.25">
      <c r="A1322" t="s">
        <v>4810</v>
      </c>
      <c r="B1322" t="s">
        <v>1679</v>
      </c>
      <c r="C1322">
        <v>0</v>
      </c>
      <c r="D1322">
        <v>0</v>
      </c>
      <c r="E1322" t="s">
        <v>1686</v>
      </c>
      <c r="H1322">
        <v>0</v>
      </c>
      <c r="N1322">
        <v>0</v>
      </c>
      <c r="Q1322">
        <v>0</v>
      </c>
      <c r="R1322">
        <v>1</v>
      </c>
      <c r="U1322" t="s">
        <v>65</v>
      </c>
      <c r="V1322">
        <v>45</v>
      </c>
      <c r="W1322" t="s">
        <v>1688</v>
      </c>
      <c r="X1322" t="s">
        <v>111</v>
      </c>
      <c r="Y1322">
        <v>0</v>
      </c>
      <c r="Z1322">
        <v>60.32</v>
      </c>
      <c r="AB1322" t="s">
        <v>74</v>
      </c>
      <c r="AD1322" t="s">
        <v>57</v>
      </c>
      <c r="AE1322">
        <v>1</v>
      </c>
      <c r="AF1322">
        <v>6</v>
      </c>
      <c r="AG1322">
        <v>1</v>
      </c>
      <c r="AH1322">
        <v>1.5</v>
      </c>
      <c r="AI1322">
        <v>384</v>
      </c>
      <c r="AJ1322">
        <v>384</v>
      </c>
      <c r="AK1322">
        <v>160</v>
      </c>
      <c r="AL1322" t="s">
        <v>75</v>
      </c>
      <c r="AM1322">
        <v>1.2999999523000001</v>
      </c>
      <c r="AN1322" t="s">
        <v>1720</v>
      </c>
      <c r="AO1322" t="s">
        <v>59</v>
      </c>
      <c r="AP1322" t="s">
        <v>60</v>
      </c>
      <c r="AQ1322">
        <v>11</v>
      </c>
      <c r="AR1322">
        <v>213</v>
      </c>
      <c r="AS1322">
        <v>322</v>
      </c>
      <c r="AT1322">
        <v>1.56</v>
      </c>
      <c r="AU1322">
        <v>4.99</v>
      </c>
      <c r="AV1322" t="s">
        <v>4811</v>
      </c>
      <c r="AW1322" t="s">
        <v>2061</v>
      </c>
      <c r="AX1322" t="s">
        <v>4812</v>
      </c>
    </row>
    <row r="1323" spans="1:50" x14ac:dyDescent="0.25">
      <c r="A1323" t="s">
        <v>4813</v>
      </c>
      <c r="B1323" t="s">
        <v>1679</v>
      </c>
      <c r="C1323">
        <v>0</v>
      </c>
      <c r="D1323">
        <v>0</v>
      </c>
      <c r="E1323" t="s">
        <v>1703</v>
      </c>
      <c r="H1323">
        <v>0</v>
      </c>
      <c r="N1323">
        <v>0</v>
      </c>
      <c r="Q1323">
        <v>0</v>
      </c>
      <c r="R1323">
        <v>0</v>
      </c>
      <c r="U1323" t="s">
        <v>65</v>
      </c>
      <c r="V1323">
        <v>33</v>
      </c>
      <c r="W1323" t="s">
        <v>1688</v>
      </c>
      <c r="X1323" t="s">
        <v>80</v>
      </c>
      <c r="Y1323">
        <v>0</v>
      </c>
      <c r="Z1323">
        <v>60</v>
      </c>
      <c r="AB1323" t="s">
        <v>74</v>
      </c>
      <c r="AD1323" t="s">
        <v>57</v>
      </c>
      <c r="AE1323">
        <v>0</v>
      </c>
      <c r="AF1323">
        <v>6</v>
      </c>
      <c r="AG1323">
        <v>1</v>
      </c>
      <c r="AH1323">
        <v>3</v>
      </c>
      <c r="AI1323">
        <v>480</v>
      </c>
      <c r="AJ1323">
        <v>480</v>
      </c>
      <c r="AK1323">
        <v>160</v>
      </c>
      <c r="AL1323" t="s">
        <v>2584</v>
      </c>
      <c r="AM1323">
        <v>2</v>
      </c>
      <c r="AN1323" t="s">
        <v>1419</v>
      </c>
      <c r="AO1323" t="s">
        <v>1155</v>
      </c>
      <c r="AP1323" t="s">
        <v>1767</v>
      </c>
      <c r="AQ1323">
        <v>11</v>
      </c>
      <c r="AR1323">
        <v>639</v>
      </c>
      <c r="AS1323">
        <v>1110</v>
      </c>
      <c r="AT1323">
        <v>1.7190000000000001</v>
      </c>
      <c r="AU1323">
        <v>4</v>
      </c>
      <c r="AV1323" t="s">
        <v>4814</v>
      </c>
      <c r="AW1323" t="s">
        <v>4506</v>
      </c>
      <c r="AX1323" t="s">
        <v>4815</v>
      </c>
    </row>
    <row r="1324" spans="1:50" x14ac:dyDescent="0.25">
      <c r="A1324" t="s">
        <v>4816</v>
      </c>
      <c r="B1324" t="s">
        <v>1679</v>
      </c>
      <c r="C1324">
        <v>0</v>
      </c>
      <c r="D1324">
        <v>0</v>
      </c>
      <c r="E1324" t="s">
        <v>1680</v>
      </c>
      <c r="H1324">
        <v>1</v>
      </c>
      <c r="N1324">
        <v>0</v>
      </c>
      <c r="Q1324">
        <v>0</v>
      </c>
      <c r="R1324">
        <v>1</v>
      </c>
      <c r="U1324" t="s">
        <v>65</v>
      </c>
      <c r="V1324">
        <v>56</v>
      </c>
      <c r="X1324" t="s">
        <v>80</v>
      </c>
      <c r="Y1324">
        <v>0</v>
      </c>
      <c r="AD1324" t="s">
        <v>57</v>
      </c>
      <c r="AE1324">
        <v>1</v>
      </c>
      <c r="AF1324">
        <v>6</v>
      </c>
      <c r="AG1324">
        <v>1</v>
      </c>
      <c r="AH1324">
        <v>1.5</v>
      </c>
      <c r="AI1324">
        <v>384</v>
      </c>
      <c r="AJ1324">
        <v>384</v>
      </c>
      <c r="AK1324">
        <v>160</v>
      </c>
      <c r="AL1324" t="s">
        <v>1394</v>
      </c>
      <c r="AM1324">
        <v>1</v>
      </c>
      <c r="AN1324" t="s">
        <v>1728</v>
      </c>
      <c r="AO1324" t="s">
        <v>59</v>
      </c>
      <c r="AP1324" t="s">
        <v>1729</v>
      </c>
      <c r="AQ1324">
        <v>11</v>
      </c>
      <c r="AR1324">
        <v>46</v>
      </c>
      <c r="AS1324">
        <v>128</v>
      </c>
      <c r="AT1324">
        <v>1.81</v>
      </c>
      <c r="AU1324">
        <v>5.05</v>
      </c>
      <c r="AV1324" t="s">
        <v>4552</v>
      </c>
      <c r="AW1324" t="s">
        <v>4817</v>
      </c>
      <c r="AX1324" t="s">
        <v>4818</v>
      </c>
    </row>
    <row r="1325" spans="1:50" x14ac:dyDescent="0.25">
      <c r="A1325" t="s">
        <v>4819</v>
      </c>
      <c r="B1325" t="s">
        <v>1679</v>
      </c>
      <c r="C1325">
        <v>0</v>
      </c>
      <c r="D1325">
        <v>1</v>
      </c>
      <c r="E1325" t="s">
        <v>1725</v>
      </c>
      <c r="H1325">
        <v>0</v>
      </c>
      <c r="N1325">
        <v>1</v>
      </c>
      <c r="Q1325">
        <v>0</v>
      </c>
      <c r="R1325">
        <v>0</v>
      </c>
      <c r="U1325" t="s">
        <v>1687</v>
      </c>
      <c r="V1325">
        <v>47</v>
      </c>
      <c r="W1325" t="s">
        <v>1688</v>
      </c>
      <c r="X1325" t="s">
        <v>80</v>
      </c>
      <c r="Y1325">
        <v>0</v>
      </c>
      <c r="Z1325">
        <v>88.450999999999993</v>
      </c>
      <c r="AB1325" t="s">
        <v>118</v>
      </c>
      <c r="AD1325" t="s">
        <v>57</v>
      </c>
      <c r="AE1325">
        <v>0</v>
      </c>
      <c r="AF1325">
        <v>6</v>
      </c>
      <c r="AG1325">
        <v>1</v>
      </c>
      <c r="AH1325">
        <v>1.5</v>
      </c>
      <c r="AI1325">
        <v>512</v>
      </c>
      <c r="AJ1325">
        <v>512</v>
      </c>
      <c r="AK1325">
        <v>80</v>
      </c>
      <c r="AL1325" t="s">
        <v>88</v>
      </c>
      <c r="AM1325">
        <v>2</v>
      </c>
      <c r="AN1325" t="s">
        <v>996</v>
      </c>
      <c r="AO1325" t="s">
        <v>67</v>
      </c>
      <c r="AP1325" t="s">
        <v>68</v>
      </c>
      <c r="AQ1325">
        <v>15</v>
      </c>
      <c r="AR1325">
        <v>91</v>
      </c>
      <c r="AS1325">
        <v>182</v>
      </c>
      <c r="AT1325">
        <v>4.2</v>
      </c>
      <c r="AU1325">
        <v>7</v>
      </c>
      <c r="AV1325" t="s">
        <v>4820</v>
      </c>
      <c r="AW1325" t="s">
        <v>3365</v>
      </c>
      <c r="AX1325" t="s">
        <v>4821</v>
      </c>
    </row>
    <row r="1326" spans="1:50" x14ac:dyDescent="0.25">
      <c r="A1326" t="s">
        <v>4822</v>
      </c>
      <c r="B1326" t="s">
        <v>1679</v>
      </c>
      <c r="C1326">
        <v>0</v>
      </c>
      <c r="D1326">
        <v>1</v>
      </c>
      <c r="E1326" t="s">
        <v>1780</v>
      </c>
      <c r="H1326">
        <v>0</v>
      </c>
      <c r="N1326">
        <v>1</v>
      </c>
      <c r="Q1326">
        <v>0</v>
      </c>
      <c r="R1326">
        <v>1</v>
      </c>
      <c r="U1326" t="s">
        <v>1687</v>
      </c>
      <c r="V1326">
        <v>27</v>
      </c>
      <c r="W1326" t="s">
        <v>1726</v>
      </c>
      <c r="X1326" t="s">
        <v>80</v>
      </c>
      <c r="Y1326">
        <v>0</v>
      </c>
      <c r="Z1326">
        <v>70.307000000000002</v>
      </c>
      <c r="AB1326" t="s">
        <v>94</v>
      </c>
      <c r="AD1326" t="s">
        <v>57</v>
      </c>
      <c r="AE1326">
        <v>0</v>
      </c>
      <c r="AF1326">
        <v>6</v>
      </c>
      <c r="AG1326">
        <v>1</v>
      </c>
      <c r="AH1326">
        <v>1.5</v>
      </c>
      <c r="AI1326">
        <v>512</v>
      </c>
      <c r="AJ1326">
        <v>512</v>
      </c>
      <c r="AK1326">
        <v>72</v>
      </c>
      <c r="AL1326" t="s">
        <v>119</v>
      </c>
      <c r="AM1326">
        <v>2.2000000000000002</v>
      </c>
      <c r="AN1326" t="s">
        <v>1902</v>
      </c>
      <c r="AO1326" t="s">
        <v>67</v>
      </c>
      <c r="AP1326" t="s">
        <v>68</v>
      </c>
      <c r="AQ1326">
        <v>15</v>
      </c>
      <c r="AR1326">
        <v>245</v>
      </c>
      <c r="AS1326">
        <v>491</v>
      </c>
      <c r="AT1326">
        <v>3.1720000000000002</v>
      </c>
      <c r="AU1326">
        <v>6.548</v>
      </c>
      <c r="AV1326" t="s">
        <v>4823</v>
      </c>
      <c r="AW1326" t="s">
        <v>4824</v>
      </c>
      <c r="AX1326" t="s">
        <v>4825</v>
      </c>
    </row>
    <row r="1327" spans="1:50" x14ac:dyDescent="0.25">
      <c r="A1327" t="s">
        <v>4826</v>
      </c>
      <c r="B1327" t="s">
        <v>1679</v>
      </c>
      <c r="C1327">
        <v>0</v>
      </c>
      <c r="D1327">
        <v>0</v>
      </c>
      <c r="E1327" t="s">
        <v>1740</v>
      </c>
      <c r="H1327">
        <v>0</v>
      </c>
      <c r="N1327">
        <v>0</v>
      </c>
      <c r="Q1327">
        <v>0</v>
      </c>
      <c r="R1327">
        <v>1</v>
      </c>
      <c r="U1327" t="s">
        <v>65</v>
      </c>
      <c r="V1327">
        <v>57</v>
      </c>
      <c r="W1327" t="s">
        <v>79</v>
      </c>
      <c r="X1327" t="s">
        <v>80</v>
      </c>
      <c r="Y1327">
        <v>0</v>
      </c>
      <c r="AD1327" t="s">
        <v>57</v>
      </c>
      <c r="AE1327">
        <v>1</v>
      </c>
      <c r="AF1327">
        <v>6</v>
      </c>
      <c r="AG1327">
        <v>1</v>
      </c>
      <c r="AH1327">
        <v>1.5</v>
      </c>
      <c r="AI1327">
        <v>384</v>
      </c>
      <c r="AJ1327">
        <v>384</v>
      </c>
      <c r="AK1327">
        <v>144</v>
      </c>
      <c r="AL1327" t="s">
        <v>1394</v>
      </c>
      <c r="AM1327">
        <v>1.2000000476999999</v>
      </c>
      <c r="AN1327" t="s">
        <v>2146</v>
      </c>
      <c r="AO1327" t="s">
        <v>59</v>
      </c>
      <c r="AP1327" t="s">
        <v>2147</v>
      </c>
      <c r="AQ1327">
        <v>11</v>
      </c>
      <c r="AR1327">
        <v>25</v>
      </c>
      <c r="AS1327">
        <v>64</v>
      </c>
      <c r="AT1327">
        <v>1.62</v>
      </c>
      <c r="AU1327">
        <v>4.59</v>
      </c>
      <c r="AV1327" t="s">
        <v>4827</v>
      </c>
      <c r="AW1327" t="s">
        <v>4828</v>
      </c>
      <c r="AX1327" t="s">
        <v>4829</v>
      </c>
    </row>
    <row r="1328" spans="1:50" x14ac:dyDescent="0.25">
      <c r="A1328" t="s">
        <v>4830</v>
      </c>
      <c r="B1328" t="s">
        <v>1679</v>
      </c>
      <c r="C1328">
        <v>0</v>
      </c>
      <c r="D1328">
        <v>0</v>
      </c>
      <c r="E1328" t="s">
        <v>1680</v>
      </c>
      <c r="H1328">
        <v>0</v>
      </c>
      <c r="N1328">
        <v>1</v>
      </c>
      <c r="Q1328">
        <v>0</v>
      </c>
      <c r="R1328">
        <v>0</v>
      </c>
      <c r="U1328" t="s">
        <v>1687</v>
      </c>
      <c r="V1328">
        <v>66</v>
      </c>
      <c r="W1328" t="s">
        <v>79</v>
      </c>
      <c r="X1328" t="s">
        <v>80</v>
      </c>
      <c r="Y1328">
        <v>0</v>
      </c>
      <c r="Z1328">
        <v>63.503</v>
      </c>
      <c r="AB1328" t="s">
        <v>74</v>
      </c>
      <c r="AD1328" t="s">
        <v>57</v>
      </c>
      <c r="AE1328">
        <v>0</v>
      </c>
      <c r="AF1328">
        <v>6</v>
      </c>
      <c r="AG1328">
        <v>1</v>
      </c>
      <c r="AH1328">
        <v>1.5</v>
      </c>
      <c r="AI1328">
        <v>512</v>
      </c>
      <c r="AJ1328">
        <v>512</v>
      </c>
      <c r="AK1328">
        <v>80</v>
      </c>
      <c r="AL1328" t="s">
        <v>153</v>
      </c>
      <c r="AM1328">
        <v>2</v>
      </c>
      <c r="AN1328" t="s">
        <v>996</v>
      </c>
      <c r="AO1328" t="s">
        <v>67</v>
      </c>
      <c r="AP1328" t="s">
        <v>68</v>
      </c>
      <c r="AQ1328">
        <v>15</v>
      </c>
      <c r="AR1328">
        <v>111</v>
      </c>
      <c r="AS1328">
        <v>223</v>
      </c>
      <c r="AT1328">
        <v>4.2</v>
      </c>
      <c r="AU1328">
        <v>7</v>
      </c>
      <c r="AV1328" t="s">
        <v>4831</v>
      </c>
      <c r="AW1328" t="s">
        <v>4832</v>
      </c>
      <c r="AX1328" t="s">
        <v>4833</v>
      </c>
    </row>
    <row r="1329" spans="1:50" x14ac:dyDescent="0.25">
      <c r="A1329" t="s">
        <v>4834</v>
      </c>
      <c r="B1329" t="s">
        <v>1679</v>
      </c>
      <c r="C1329">
        <v>0</v>
      </c>
      <c r="D1329">
        <v>1</v>
      </c>
      <c r="E1329" t="s">
        <v>1686</v>
      </c>
      <c r="H1329">
        <v>0</v>
      </c>
      <c r="N1329">
        <v>1</v>
      </c>
      <c r="Q1329">
        <v>0</v>
      </c>
      <c r="R1329">
        <v>0</v>
      </c>
      <c r="U1329" t="s">
        <v>1687</v>
      </c>
      <c r="V1329">
        <v>49</v>
      </c>
      <c r="X1329" t="s">
        <v>80</v>
      </c>
      <c r="Y1329">
        <v>0</v>
      </c>
      <c r="Z1329">
        <v>96.162000000000006</v>
      </c>
      <c r="AB1329" t="s">
        <v>56</v>
      </c>
      <c r="AD1329" t="s">
        <v>57</v>
      </c>
      <c r="AE1329">
        <v>0</v>
      </c>
      <c r="AF1329">
        <v>6</v>
      </c>
      <c r="AG1329">
        <v>1</v>
      </c>
      <c r="AH1329">
        <v>3</v>
      </c>
      <c r="AI1329">
        <v>512</v>
      </c>
      <c r="AJ1329">
        <v>512</v>
      </c>
      <c r="AK1329">
        <v>80</v>
      </c>
      <c r="AL1329" t="s">
        <v>66</v>
      </c>
      <c r="AM1329">
        <v>2</v>
      </c>
      <c r="AN1329" t="s">
        <v>1915</v>
      </c>
      <c r="AO1329" t="s">
        <v>67</v>
      </c>
      <c r="AP1329" t="s">
        <v>68</v>
      </c>
      <c r="AQ1329">
        <v>15</v>
      </c>
      <c r="AR1329">
        <v>630</v>
      </c>
      <c r="AS1329">
        <v>1261</v>
      </c>
      <c r="AT1329">
        <v>2.1880000000000002</v>
      </c>
      <c r="AU1329">
        <v>5.5</v>
      </c>
      <c r="AV1329" t="s">
        <v>4835</v>
      </c>
      <c r="AW1329" t="s">
        <v>1879</v>
      </c>
      <c r="AX1329" t="s">
        <v>4836</v>
      </c>
    </row>
    <row r="1330" spans="1:50" x14ac:dyDescent="0.25">
      <c r="A1330" t="s">
        <v>4837</v>
      </c>
      <c r="B1330" t="s">
        <v>1679</v>
      </c>
      <c r="C1330">
        <v>1</v>
      </c>
      <c r="D1330">
        <v>1</v>
      </c>
      <c r="E1330" t="s">
        <v>1703</v>
      </c>
      <c r="H1330">
        <v>0</v>
      </c>
      <c r="N1330">
        <v>1</v>
      </c>
      <c r="Q1330">
        <v>0</v>
      </c>
      <c r="R1330">
        <v>0</v>
      </c>
      <c r="U1330" t="s">
        <v>1687</v>
      </c>
      <c r="V1330">
        <v>47</v>
      </c>
      <c r="W1330" t="s">
        <v>1726</v>
      </c>
      <c r="X1330" t="s">
        <v>80</v>
      </c>
      <c r="Y1330">
        <v>0</v>
      </c>
      <c r="Z1330">
        <v>110.20028030970001</v>
      </c>
      <c r="AB1330" t="s">
        <v>269</v>
      </c>
      <c r="AD1330" t="s">
        <v>57</v>
      </c>
      <c r="AE1330">
        <v>1</v>
      </c>
      <c r="AF1330">
        <v>6</v>
      </c>
      <c r="AG1330">
        <v>1</v>
      </c>
      <c r="AH1330">
        <v>1.5</v>
      </c>
      <c r="AI1330">
        <v>256</v>
      </c>
      <c r="AJ1330">
        <v>256</v>
      </c>
      <c r="AK1330">
        <v>160</v>
      </c>
      <c r="AL1330" t="s">
        <v>3765</v>
      </c>
      <c r="AM1330">
        <v>1.2999999523000001</v>
      </c>
      <c r="AN1330" t="s">
        <v>1720</v>
      </c>
      <c r="AO1330" t="s">
        <v>59</v>
      </c>
      <c r="AP1330" t="s">
        <v>60</v>
      </c>
      <c r="AQ1330">
        <v>11</v>
      </c>
      <c r="AR1330">
        <v>251</v>
      </c>
      <c r="AS1330">
        <v>424</v>
      </c>
      <c r="AT1330">
        <v>1.39</v>
      </c>
      <c r="AU1330">
        <v>4.99</v>
      </c>
      <c r="AV1330" t="s">
        <v>4838</v>
      </c>
      <c r="AW1330" t="s">
        <v>4839</v>
      </c>
      <c r="AX1330" t="s">
        <v>4840</v>
      </c>
    </row>
    <row r="1331" spans="1:50" x14ac:dyDescent="0.25">
      <c r="A1331" t="s">
        <v>4841</v>
      </c>
      <c r="B1331" t="s">
        <v>1679</v>
      </c>
      <c r="C1331">
        <v>0</v>
      </c>
      <c r="D1331">
        <v>0</v>
      </c>
      <c r="E1331" t="s">
        <v>1703</v>
      </c>
      <c r="H1331">
        <v>0</v>
      </c>
      <c r="N1331">
        <v>0</v>
      </c>
      <c r="Q1331">
        <v>0</v>
      </c>
      <c r="R1331">
        <v>1</v>
      </c>
      <c r="U1331" t="s">
        <v>65</v>
      </c>
      <c r="V1331">
        <v>41</v>
      </c>
      <c r="W1331" t="s">
        <v>1688</v>
      </c>
      <c r="X1331" t="s">
        <v>80</v>
      </c>
      <c r="Y1331">
        <v>0</v>
      </c>
      <c r="AD1331" t="s">
        <v>57</v>
      </c>
      <c r="AE1331">
        <v>0</v>
      </c>
      <c r="AF1331">
        <v>6</v>
      </c>
      <c r="AG1331">
        <v>1</v>
      </c>
      <c r="AH1331">
        <v>1.5</v>
      </c>
      <c r="AI1331">
        <v>512</v>
      </c>
      <c r="AJ1331">
        <v>512</v>
      </c>
      <c r="AK1331">
        <v>80</v>
      </c>
      <c r="AL1331" t="s">
        <v>66</v>
      </c>
      <c r="AM1331">
        <v>2</v>
      </c>
      <c r="AN1331" t="s">
        <v>1681</v>
      </c>
      <c r="AO1331" t="s">
        <v>67</v>
      </c>
      <c r="AP1331" t="s">
        <v>68</v>
      </c>
      <c r="AQ1331">
        <v>15</v>
      </c>
      <c r="AR1331">
        <v>383</v>
      </c>
      <c r="AS1331">
        <v>766</v>
      </c>
      <c r="AT1331">
        <v>2.6960000000000002</v>
      </c>
      <c r="AU1331">
        <v>6.6050000000000004</v>
      </c>
      <c r="AV1331" t="s">
        <v>4842</v>
      </c>
      <c r="AW1331" t="s">
        <v>4843</v>
      </c>
      <c r="AX1331" t="s">
        <v>4844</v>
      </c>
    </row>
    <row r="1332" spans="1:50" x14ac:dyDescent="0.25">
      <c r="A1332" t="s">
        <v>4845</v>
      </c>
      <c r="B1332" t="s">
        <v>1679</v>
      </c>
      <c r="C1332">
        <v>0</v>
      </c>
      <c r="D1332">
        <v>0</v>
      </c>
      <c r="E1332" t="s">
        <v>1693</v>
      </c>
      <c r="H1332">
        <v>1</v>
      </c>
      <c r="N1332">
        <v>0</v>
      </c>
      <c r="Q1332">
        <v>0</v>
      </c>
      <c r="R1332">
        <v>1</v>
      </c>
      <c r="U1332" t="s">
        <v>65</v>
      </c>
      <c r="V1332">
        <v>39</v>
      </c>
      <c r="X1332" t="s">
        <v>80</v>
      </c>
      <c r="Y1332">
        <v>0</v>
      </c>
      <c r="Z1332">
        <v>71.667603576600001</v>
      </c>
      <c r="AA1332">
        <v>1.6256032533</v>
      </c>
      <c r="AB1332" t="s">
        <v>94</v>
      </c>
      <c r="AD1332" t="s">
        <v>57</v>
      </c>
      <c r="AE1332">
        <v>0</v>
      </c>
      <c r="AF1332">
        <v>6</v>
      </c>
      <c r="AG1332">
        <v>1</v>
      </c>
      <c r="AH1332">
        <v>3</v>
      </c>
      <c r="AI1332">
        <v>512</v>
      </c>
      <c r="AJ1332">
        <v>512</v>
      </c>
      <c r="AK1332">
        <v>160</v>
      </c>
      <c r="AL1332" t="s">
        <v>196</v>
      </c>
      <c r="AM1332">
        <v>1</v>
      </c>
      <c r="AN1332" t="s">
        <v>1741</v>
      </c>
      <c r="AO1332" t="s">
        <v>59</v>
      </c>
      <c r="AP1332" t="s">
        <v>124</v>
      </c>
      <c r="AQ1332">
        <v>11</v>
      </c>
      <c r="AR1332">
        <v>38</v>
      </c>
      <c r="AS1332">
        <v>102</v>
      </c>
      <c r="AT1332">
        <v>1.69</v>
      </c>
      <c r="AU1332">
        <v>4.5999999999999996</v>
      </c>
      <c r="AV1332" t="s">
        <v>3154</v>
      </c>
      <c r="AW1332" t="s">
        <v>3983</v>
      </c>
      <c r="AX1332" t="s">
        <v>4846</v>
      </c>
    </row>
    <row r="1333" spans="1:50" x14ac:dyDescent="0.25">
      <c r="A1333" t="s">
        <v>4847</v>
      </c>
      <c r="B1333" t="s">
        <v>1679</v>
      </c>
      <c r="C1333">
        <v>0</v>
      </c>
      <c r="D1333">
        <v>0</v>
      </c>
      <c r="E1333" t="s">
        <v>1791</v>
      </c>
      <c r="H1333">
        <v>0</v>
      </c>
      <c r="N1333">
        <v>0</v>
      </c>
      <c r="Q1333">
        <v>1</v>
      </c>
      <c r="R1333">
        <v>0</v>
      </c>
      <c r="U1333" t="s">
        <v>72</v>
      </c>
      <c r="V1333">
        <v>36</v>
      </c>
      <c r="W1333" t="s">
        <v>1726</v>
      </c>
      <c r="X1333" t="s">
        <v>80</v>
      </c>
      <c r="Y1333">
        <v>0</v>
      </c>
      <c r="AD1333" t="s">
        <v>57</v>
      </c>
      <c r="AE1333">
        <v>0</v>
      </c>
      <c r="AF1333">
        <v>6</v>
      </c>
      <c r="AG1333">
        <v>1</v>
      </c>
      <c r="AH1333">
        <v>3</v>
      </c>
      <c r="AI1333">
        <v>512</v>
      </c>
      <c r="AJ1333">
        <v>512</v>
      </c>
      <c r="AK1333">
        <v>134</v>
      </c>
      <c r="AL1333" t="s">
        <v>88</v>
      </c>
      <c r="AM1333">
        <v>2.4</v>
      </c>
      <c r="AN1333" t="s">
        <v>1786</v>
      </c>
      <c r="AO1333" t="s">
        <v>67</v>
      </c>
      <c r="AP1333" t="s">
        <v>68</v>
      </c>
      <c r="AQ1333">
        <v>15</v>
      </c>
      <c r="AR1333">
        <v>292</v>
      </c>
      <c r="AS1333">
        <v>585</v>
      </c>
      <c r="AT1333">
        <v>2.7559999999999998</v>
      </c>
      <c r="AU1333">
        <v>6.8689999999999998</v>
      </c>
      <c r="AV1333" t="s">
        <v>2269</v>
      </c>
      <c r="AW1333" t="s">
        <v>4848</v>
      </c>
      <c r="AX1333" t="s">
        <v>4849</v>
      </c>
    </row>
    <row r="1334" spans="1:50" x14ac:dyDescent="0.25">
      <c r="A1334" t="s">
        <v>4850</v>
      </c>
      <c r="B1334" t="s">
        <v>1679</v>
      </c>
      <c r="C1334">
        <v>0</v>
      </c>
      <c r="D1334">
        <v>0</v>
      </c>
      <c r="E1334" t="s">
        <v>1725</v>
      </c>
      <c r="H1334">
        <v>0</v>
      </c>
      <c r="N1334">
        <v>1</v>
      </c>
      <c r="Q1334">
        <v>0</v>
      </c>
      <c r="R1334">
        <v>0</v>
      </c>
      <c r="U1334" t="s">
        <v>1687</v>
      </c>
      <c r="V1334">
        <v>46</v>
      </c>
      <c r="W1334" t="s">
        <v>1726</v>
      </c>
      <c r="X1334" t="s">
        <v>80</v>
      </c>
      <c r="Y1334">
        <v>0</v>
      </c>
      <c r="AD1334" t="s">
        <v>57</v>
      </c>
      <c r="AE1334">
        <v>1</v>
      </c>
      <c r="AF1334">
        <v>6</v>
      </c>
      <c r="AG1334">
        <v>1</v>
      </c>
      <c r="AH1334">
        <v>1.5</v>
      </c>
      <c r="AI1334">
        <v>384</v>
      </c>
      <c r="AJ1334">
        <v>384</v>
      </c>
      <c r="AK1334">
        <v>160</v>
      </c>
      <c r="AL1334" t="s">
        <v>75</v>
      </c>
      <c r="AM1334">
        <v>1</v>
      </c>
      <c r="AN1334" t="s">
        <v>1741</v>
      </c>
      <c r="AO1334" t="s">
        <v>59</v>
      </c>
      <c r="AP1334" t="s">
        <v>60</v>
      </c>
      <c r="AQ1334">
        <v>11</v>
      </c>
      <c r="AR1334">
        <v>108</v>
      </c>
      <c r="AS1334">
        <v>281</v>
      </c>
      <c r="AT1334">
        <v>2.37</v>
      </c>
      <c r="AU1334">
        <v>5.15</v>
      </c>
      <c r="AV1334" t="s">
        <v>2348</v>
      </c>
      <c r="AW1334" t="s">
        <v>4366</v>
      </c>
      <c r="AX1334" t="s">
        <v>4851</v>
      </c>
    </row>
    <row r="1335" spans="1:50" x14ac:dyDescent="0.25">
      <c r="A1335" t="s">
        <v>4852</v>
      </c>
      <c r="B1335" t="s">
        <v>1679</v>
      </c>
      <c r="C1335">
        <v>0</v>
      </c>
      <c r="D1335">
        <v>0</v>
      </c>
      <c r="E1335" t="s">
        <v>1839</v>
      </c>
      <c r="H1335">
        <v>1</v>
      </c>
      <c r="N1335">
        <v>0</v>
      </c>
      <c r="Q1335">
        <v>1</v>
      </c>
      <c r="R1335">
        <v>1</v>
      </c>
      <c r="U1335" t="s">
        <v>72</v>
      </c>
      <c r="V1335">
        <v>64</v>
      </c>
      <c r="W1335" t="s">
        <v>79</v>
      </c>
      <c r="X1335" t="s">
        <v>80</v>
      </c>
      <c r="Y1335">
        <v>0</v>
      </c>
      <c r="Z1335">
        <v>65</v>
      </c>
      <c r="AA1335">
        <v>1.68</v>
      </c>
      <c r="AB1335" t="s">
        <v>74</v>
      </c>
      <c r="AD1335" t="s">
        <v>57</v>
      </c>
      <c r="AE1335">
        <v>0</v>
      </c>
      <c r="AF1335">
        <v>6</v>
      </c>
      <c r="AG1335">
        <v>1</v>
      </c>
      <c r="AH1335">
        <v>3</v>
      </c>
      <c r="AI1335">
        <v>416</v>
      </c>
      <c r="AJ1335">
        <v>416</v>
      </c>
      <c r="AK1335">
        <v>64</v>
      </c>
      <c r="AL1335" t="s">
        <v>2564</v>
      </c>
      <c r="AM1335">
        <v>2.5</v>
      </c>
      <c r="AN1335" t="s">
        <v>1114</v>
      </c>
      <c r="AO1335" t="s">
        <v>59</v>
      </c>
      <c r="AP1335" t="s">
        <v>1781</v>
      </c>
      <c r="AQ1335">
        <v>11</v>
      </c>
      <c r="AR1335">
        <v>52</v>
      </c>
      <c r="AS1335">
        <v>148</v>
      </c>
      <c r="AT1335">
        <v>1.52</v>
      </c>
      <c r="AU1335">
        <v>4.74</v>
      </c>
      <c r="AV1335" t="s">
        <v>4853</v>
      </c>
      <c r="AW1335" t="s">
        <v>4854</v>
      </c>
      <c r="AX1335" t="s">
        <v>4855</v>
      </c>
    </row>
    <row r="1336" spans="1:50" x14ac:dyDescent="0.25">
      <c r="A1336" t="s">
        <v>4856</v>
      </c>
      <c r="B1336" t="s">
        <v>1679</v>
      </c>
      <c r="C1336">
        <v>0</v>
      </c>
      <c r="D1336">
        <v>0</v>
      </c>
      <c r="E1336" t="s">
        <v>1680</v>
      </c>
      <c r="H1336">
        <v>0</v>
      </c>
      <c r="N1336">
        <v>0</v>
      </c>
      <c r="Q1336">
        <v>0</v>
      </c>
      <c r="R1336">
        <v>0</v>
      </c>
      <c r="U1336" t="s">
        <v>65</v>
      </c>
      <c r="V1336">
        <v>39</v>
      </c>
      <c r="W1336" t="s">
        <v>1688</v>
      </c>
      <c r="X1336" t="s">
        <v>55</v>
      </c>
      <c r="Y1336">
        <v>0</v>
      </c>
      <c r="Z1336">
        <v>115.666</v>
      </c>
      <c r="AB1336" t="s">
        <v>269</v>
      </c>
      <c r="AD1336" t="s">
        <v>57</v>
      </c>
      <c r="AE1336">
        <v>0</v>
      </c>
      <c r="AF1336">
        <v>6</v>
      </c>
      <c r="AG1336">
        <v>1</v>
      </c>
      <c r="AH1336">
        <v>1.5</v>
      </c>
      <c r="AI1336">
        <v>512</v>
      </c>
      <c r="AJ1336">
        <v>512</v>
      </c>
      <c r="AK1336">
        <v>72</v>
      </c>
      <c r="AL1336" t="s">
        <v>119</v>
      </c>
      <c r="AM1336">
        <v>2.2000000000000002</v>
      </c>
      <c r="AN1336" t="s">
        <v>1072</v>
      </c>
      <c r="AO1336" t="s">
        <v>67</v>
      </c>
      <c r="AP1336" t="s">
        <v>68</v>
      </c>
      <c r="AQ1336">
        <v>15</v>
      </c>
      <c r="AR1336">
        <v>244</v>
      </c>
      <c r="AS1336">
        <v>489</v>
      </c>
      <c r="AT1336">
        <v>4.2359999999999998</v>
      </c>
      <c r="AU1336">
        <v>8.6679999999999993</v>
      </c>
      <c r="AV1336" t="s">
        <v>4857</v>
      </c>
      <c r="AW1336" t="s">
        <v>4858</v>
      </c>
      <c r="AX1336" t="s">
        <v>4859</v>
      </c>
    </row>
    <row r="1337" spans="1:50" x14ac:dyDescent="0.25">
      <c r="A1337" t="s">
        <v>4860</v>
      </c>
      <c r="B1337" t="s">
        <v>1679</v>
      </c>
      <c r="C1337">
        <v>0</v>
      </c>
      <c r="D1337">
        <v>1</v>
      </c>
      <c r="E1337" t="s">
        <v>1703</v>
      </c>
      <c r="H1337">
        <v>1</v>
      </c>
      <c r="N1337">
        <v>0</v>
      </c>
      <c r="Q1337">
        <v>0</v>
      </c>
      <c r="R1337">
        <v>0</v>
      </c>
      <c r="U1337" t="s">
        <v>65</v>
      </c>
      <c r="V1337">
        <v>55</v>
      </c>
      <c r="W1337" t="s">
        <v>79</v>
      </c>
      <c r="X1337" t="s">
        <v>111</v>
      </c>
      <c r="Y1337">
        <v>0</v>
      </c>
      <c r="AD1337" t="s">
        <v>57</v>
      </c>
      <c r="AE1337">
        <v>0</v>
      </c>
      <c r="AF1337">
        <v>6</v>
      </c>
      <c r="AG1337">
        <v>1</v>
      </c>
      <c r="AH1337">
        <v>3</v>
      </c>
      <c r="AI1337">
        <v>512</v>
      </c>
      <c r="AJ1337">
        <v>512</v>
      </c>
      <c r="AK1337">
        <v>134</v>
      </c>
      <c r="AL1337" t="s">
        <v>119</v>
      </c>
      <c r="AM1337">
        <v>2.4</v>
      </c>
      <c r="AN1337" t="s">
        <v>1786</v>
      </c>
      <c r="AO1337" t="s">
        <v>67</v>
      </c>
      <c r="AP1337" t="s">
        <v>68</v>
      </c>
      <c r="AQ1337">
        <v>15</v>
      </c>
      <c r="AR1337">
        <v>259</v>
      </c>
      <c r="AS1337">
        <v>518</v>
      </c>
      <c r="AT1337">
        <v>2.8</v>
      </c>
      <c r="AU1337">
        <v>7.3040000000000003</v>
      </c>
      <c r="AV1337" t="s">
        <v>4250</v>
      </c>
      <c r="AW1337" t="s">
        <v>3852</v>
      </c>
      <c r="AX1337" t="s">
        <v>4861</v>
      </c>
    </row>
    <row r="1338" spans="1:50" x14ac:dyDescent="0.25">
      <c r="A1338" t="s">
        <v>4862</v>
      </c>
      <c r="B1338" t="s">
        <v>1679</v>
      </c>
      <c r="C1338">
        <v>0</v>
      </c>
      <c r="D1338">
        <v>0</v>
      </c>
      <c r="E1338" t="s">
        <v>1740</v>
      </c>
      <c r="H1338">
        <v>0</v>
      </c>
      <c r="N1338">
        <v>0</v>
      </c>
      <c r="Q1338">
        <v>1</v>
      </c>
      <c r="R1338">
        <v>0</v>
      </c>
      <c r="U1338" t="s">
        <v>72</v>
      </c>
      <c r="V1338">
        <v>37</v>
      </c>
      <c r="W1338" t="s">
        <v>1726</v>
      </c>
      <c r="X1338" t="s">
        <v>80</v>
      </c>
      <c r="Y1338">
        <v>0</v>
      </c>
      <c r="AD1338" t="s">
        <v>57</v>
      </c>
      <c r="AE1338">
        <v>0</v>
      </c>
      <c r="AF1338">
        <v>6</v>
      </c>
      <c r="AG1338">
        <v>1</v>
      </c>
      <c r="AH1338">
        <v>3</v>
      </c>
      <c r="AI1338">
        <v>512</v>
      </c>
      <c r="AJ1338">
        <v>512</v>
      </c>
      <c r="AK1338">
        <v>134</v>
      </c>
      <c r="AL1338" t="s">
        <v>350</v>
      </c>
      <c r="AM1338">
        <v>2.4</v>
      </c>
      <c r="AN1338" t="s">
        <v>1786</v>
      </c>
      <c r="AO1338" t="s">
        <v>67</v>
      </c>
      <c r="AP1338" t="s">
        <v>68</v>
      </c>
      <c r="AQ1338">
        <v>15</v>
      </c>
      <c r="AR1338">
        <v>326</v>
      </c>
      <c r="AS1338">
        <v>652</v>
      </c>
      <c r="AT1338">
        <v>2.7160000000000002</v>
      </c>
      <c r="AU1338">
        <v>6.5229999999999997</v>
      </c>
      <c r="AV1338" t="s">
        <v>1817</v>
      </c>
      <c r="AW1338" t="s">
        <v>4863</v>
      </c>
      <c r="AX1338" t="s">
        <v>4864</v>
      </c>
    </row>
    <row r="1339" spans="1:50" x14ac:dyDescent="0.25">
      <c r="A1339" t="s">
        <v>4865</v>
      </c>
      <c r="B1339" t="s">
        <v>1679</v>
      </c>
      <c r="C1339">
        <v>0</v>
      </c>
      <c r="D1339">
        <v>1</v>
      </c>
      <c r="E1339" t="s">
        <v>1698</v>
      </c>
      <c r="H1339">
        <v>1</v>
      </c>
      <c r="N1339">
        <v>0</v>
      </c>
      <c r="Q1339">
        <v>0</v>
      </c>
      <c r="R1339">
        <v>1</v>
      </c>
      <c r="U1339" t="s">
        <v>65</v>
      </c>
      <c r="V1339">
        <v>59</v>
      </c>
      <c r="W1339" t="s">
        <v>79</v>
      </c>
      <c r="X1339" t="s">
        <v>80</v>
      </c>
      <c r="Y1339">
        <v>0</v>
      </c>
      <c r="Z1339">
        <v>81.650000000000006</v>
      </c>
      <c r="AB1339" t="s">
        <v>94</v>
      </c>
      <c r="AD1339" t="s">
        <v>57</v>
      </c>
      <c r="AE1339">
        <v>1</v>
      </c>
      <c r="AF1339">
        <v>6</v>
      </c>
      <c r="AG1339">
        <v>1</v>
      </c>
      <c r="AH1339">
        <v>1.5</v>
      </c>
      <c r="AI1339">
        <v>256</v>
      </c>
      <c r="AJ1339">
        <v>256</v>
      </c>
      <c r="AK1339">
        <v>252</v>
      </c>
      <c r="AL1339" t="s">
        <v>3348</v>
      </c>
      <c r="AM1339">
        <v>0.80000099999999996</v>
      </c>
      <c r="AN1339" t="s">
        <v>1720</v>
      </c>
      <c r="AO1339" t="s">
        <v>67</v>
      </c>
      <c r="AP1339" t="s">
        <v>89</v>
      </c>
      <c r="AQ1339">
        <v>15</v>
      </c>
      <c r="AR1339">
        <v>238</v>
      </c>
      <c r="AS1339">
        <v>477</v>
      </c>
      <c r="AT1339">
        <v>1.9</v>
      </c>
      <c r="AU1339">
        <v>4.1280000000000001</v>
      </c>
      <c r="AV1339" t="s">
        <v>4866</v>
      </c>
      <c r="AW1339" t="s">
        <v>4867</v>
      </c>
      <c r="AX1339" t="s">
        <v>4868</v>
      </c>
    </row>
    <row r="1340" spans="1:50" x14ac:dyDescent="0.25">
      <c r="A1340" t="s">
        <v>4869</v>
      </c>
      <c r="B1340" t="s">
        <v>1679</v>
      </c>
      <c r="C1340">
        <v>0</v>
      </c>
      <c r="D1340">
        <v>0</v>
      </c>
      <c r="E1340" t="s">
        <v>1686</v>
      </c>
      <c r="H1340">
        <v>1</v>
      </c>
      <c r="N1340">
        <v>0</v>
      </c>
      <c r="Q1340">
        <v>0</v>
      </c>
      <c r="R1340">
        <v>1</v>
      </c>
      <c r="U1340" t="s">
        <v>65</v>
      </c>
      <c r="V1340">
        <v>37</v>
      </c>
      <c r="W1340" t="s">
        <v>1688</v>
      </c>
      <c r="X1340" t="s">
        <v>80</v>
      </c>
      <c r="Y1340">
        <v>0</v>
      </c>
      <c r="Z1340">
        <v>68.039000000000001</v>
      </c>
      <c r="AB1340" t="s">
        <v>74</v>
      </c>
      <c r="AD1340" t="s">
        <v>57</v>
      </c>
      <c r="AE1340">
        <v>0</v>
      </c>
      <c r="AF1340">
        <v>6</v>
      </c>
      <c r="AG1340">
        <v>1</v>
      </c>
      <c r="AH1340">
        <v>1.5</v>
      </c>
      <c r="AI1340">
        <v>512</v>
      </c>
      <c r="AJ1340">
        <v>512</v>
      </c>
      <c r="AK1340">
        <v>66</v>
      </c>
      <c r="AL1340" t="s">
        <v>2022</v>
      </c>
      <c r="AM1340">
        <v>2.4</v>
      </c>
      <c r="AN1340" t="s">
        <v>1942</v>
      </c>
      <c r="AO1340" t="s">
        <v>67</v>
      </c>
      <c r="AP1340" t="s">
        <v>68</v>
      </c>
      <c r="AQ1340">
        <v>15</v>
      </c>
      <c r="AR1340">
        <v>447</v>
      </c>
      <c r="AS1340">
        <v>895</v>
      </c>
      <c r="AT1340">
        <v>3.0840000000000001</v>
      </c>
      <c r="AU1340">
        <v>6.3559999999999999</v>
      </c>
      <c r="AV1340" t="s">
        <v>4870</v>
      </c>
      <c r="AW1340" t="s">
        <v>4871</v>
      </c>
      <c r="AX1340" t="s">
        <v>4872</v>
      </c>
    </row>
    <row r="1341" spans="1:50" x14ac:dyDescent="0.25">
      <c r="A1341" t="s">
        <v>4873</v>
      </c>
      <c r="B1341" t="s">
        <v>1679</v>
      </c>
      <c r="C1341">
        <v>0</v>
      </c>
      <c r="D1341">
        <v>0</v>
      </c>
      <c r="E1341" t="s">
        <v>1725</v>
      </c>
      <c r="H1341">
        <v>1</v>
      </c>
      <c r="N1341">
        <v>0</v>
      </c>
      <c r="Q1341">
        <v>0</v>
      </c>
      <c r="R1341">
        <v>1</v>
      </c>
      <c r="U1341" t="s">
        <v>65</v>
      </c>
      <c r="V1341">
        <v>57</v>
      </c>
      <c r="W1341" t="s">
        <v>79</v>
      </c>
      <c r="X1341" t="s">
        <v>55</v>
      </c>
      <c r="Y1341">
        <v>0</v>
      </c>
      <c r="Z1341">
        <v>92.533000000000001</v>
      </c>
      <c r="AB1341" t="s">
        <v>118</v>
      </c>
      <c r="AD1341" t="s">
        <v>57</v>
      </c>
      <c r="AE1341">
        <v>0</v>
      </c>
      <c r="AF1341">
        <v>6</v>
      </c>
      <c r="AG1341">
        <v>1</v>
      </c>
      <c r="AH1341">
        <v>3</v>
      </c>
      <c r="AI1341">
        <v>512</v>
      </c>
      <c r="AJ1341">
        <v>512</v>
      </c>
      <c r="AK1341">
        <v>90</v>
      </c>
      <c r="AL1341" t="s">
        <v>350</v>
      </c>
      <c r="AM1341">
        <v>2</v>
      </c>
      <c r="AN1341" t="s">
        <v>1915</v>
      </c>
      <c r="AO1341" t="s">
        <v>67</v>
      </c>
      <c r="AP1341" t="s">
        <v>68</v>
      </c>
      <c r="AQ1341">
        <v>15</v>
      </c>
      <c r="AR1341">
        <v>261</v>
      </c>
      <c r="AS1341">
        <v>523</v>
      </c>
      <c r="AT1341">
        <v>2.1</v>
      </c>
      <c r="AU1341">
        <v>4.3040000000000003</v>
      </c>
      <c r="AV1341" t="s">
        <v>4874</v>
      </c>
      <c r="AW1341" t="s">
        <v>3691</v>
      </c>
      <c r="AX1341" t="s">
        <v>4875</v>
      </c>
    </row>
    <row r="1342" spans="1:50" x14ac:dyDescent="0.25">
      <c r="A1342" t="s">
        <v>4876</v>
      </c>
      <c r="B1342" t="s">
        <v>1679</v>
      </c>
      <c r="C1342">
        <v>0</v>
      </c>
      <c r="D1342">
        <v>0</v>
      </c>
      <c r="E1342" t="s">
        <v>1780</v>
      </c>
      <c r="H1342">
        <v>0</v>
      </c>
      <c r="N1342">
        <v>1</v>
      </c>
      <c r="Q1342">
        <v>0</v>
      </c>
      <c r="R1342">
        <v>1</v>
      </c>
      <c r="U1342" t="s">
        <v>1687</v>
      </c>
      <c r="V1342">
        <v>49</v>
      </c>
      <c r="W1342" t="s">
        <v>79</v>
      </c>
      <c r="X1342" t="s">
        <v>111</v>
      </c>
      <c r="Y1342">
        <v>0</v>
      </c>
      <c r="Z1342">
        <v>84.822000000000003</v>
      </c>
      <c r="AB1342" t="s">
        <v>118</v>
      </c>
      <c r="AD1342" t="s">
        <v>57</v>
      </c>
      <c r="AE1342">
        <v>0</v>
      </c>
      <c r="AF1342">
        <v>6</v>
      </c>
      <c r="AG1342">
        <v>1</v>
      </c>
      <c r="AH1342">
        <v>1.5</v>
      </c>
      <c r="AI1342">
        <v>512</v>
      </c>
      <c r="AJ1342">
        <v>512</v>
      </c>
      <c r="AK1342">
        <v>80</v>
      </c>
      <c r="AL1342" t="s">
        <v>196</v>
      </c>
      <c r="AM1342">
        <v>2</v>
      </c>
      <c r="AN1342" t="s">
        <v>996</v>
      </c>
      <c r="AO1342" t="s">
        <v>67</v>
      </c>
      <c r="AP1342" t="s">
        <v>114</v>
      </c>
      <c r="AQ1342">
        <v>15</v>
      </c>
      <c r="AR1342">
        <v>153</v>
      </c>
      <c r="AS1342">
        <v>307</v>
      </c>
      <c r="AT1342">
        <v>2.6440000000000001</v>
      </c>
      <c r="AU1342">
        <v>5.8810000000000002</v>
      </c>
      <c r="AV1342" t="s">
        <v>4877</v>
      </c>
      <c r="AW1342" t="s">
        <v>4878</v>
      </c>
      <c r="AX1342" t="s">
        <v>4879</v>
      </c>
    </row>
    <row r="1343" spans="1:50" x14ac:dyDescent="0.25">
      <c r="A1343" t="s">
        <v>4880</v>
      </c>
      <c r="B1343" t="s">
        <v>1679</v>
      </c>
      <c r="C1343">
        <v>0</v>
      </c>
      <c r="D1343">
        <v>1</v>
      </c>
      <c r="E1343" t="s">
        <v>1734</v>
      </c>
      <c r="H1343">
        <v>0</v>
      </c>
      <c r="N1343">
        <v>1</v>
      </c>
      <c r="Q1343">
        <v>1</v>
      </c>
      <c r="R1343">
        <v>0</v>
      </c>
      <c r="U1343" t="s">
        <v>1735</v>
      </c>
      <c r="V1343">
        <v>59</v>
      </c>
      <c r="X1343" t="s">
        <v>80</v>
      </c>
      <c r="Y1343">
        <v>0</v>
      </c>
      <c r="Z1343">
        <v>86.182561262999997</v>
      </c>
      <c r="AB1343" t="s">
        <v>118</v>
      </c>
      <c r="AD1343" t="s">
        <v>57</v>
      </c>
      <c r="AE1343">
        <v>1</v>
      </c>
      <c r="AF1343">
        <v>6</v>
      </c>
      <c r="AG1343">
        <v>1</v>
      </c>
      <c r="AH1343">
        <v>1.5</v>
      </c>
      <c r="AI1343">
        <v>384</v>
      </c>
      <c r="AJ1343">
        <v>384</v>
      </c>
      <c r="AK1343">
        <v>160</v>
      </c>
      <c r="AL1343" t="s">
        <v>1034</v>
      </c>
      <c r="AM1343">
        <v>1</v>
      </c>
      <c r="AN1343" t="s">
        <v>1741</v>
      </c>
      <c r="AO1343" t="s">
        <v>59</v>
      </c>
      <c r="AP1343" t="s">
        <v>60</v>
      </c>
      <c r="AQ1343">
        <v>11</v>
      </c>
      <c r="AR1343">
        <v>97</v>
      </c>
      <c r="AS1343">
        <v>274</v>
      </c>
      <c r="AT1343">
        <v>2.31</v>
      </c>
      <c r="AU1343">
        <v>5.15</v>
      </c>
      <c r="AV1343" t="s">
        <v>4881</v>
      </c>
      <c r="AW1343" t="s">
        <v>4882</v>
      </c>
      <c r="AX1343" t="s">
        <v>4883</v>
      </c>
    </row>
    <row r="1344" spans="1:50" x14ac:dyDescent="0.25">
      <c r="A1344" t="s">
        <v>4884</v>
      </c>
      <c r="B1344" t="s">
        <v>1679</v>
      </c>
      <c r="C1344">
        <v>0</v>
      </c>
      <c r="D1344">
        <v>0</v>
      </c>
      <c r="E1344" t="s">
        <v>1871</v>
      </c>
      <c r="H1344">
        <v>1</v>
      </c>
      <c r="N1344">
        <v>1</v>
      </c>
      <c r="Q1344">
        <v>1</v>
      </c>
      <c r="R1344">
        <v>0</v>
      </c>
      <c r="U1344" t="s">
        <v>1735</v>
      </c>
      <c r="V1344">
        <v>43</v>
      </c>
      <c r="W1344" t="s">
        <v>1688</v>
      </c>
      <c r="X1344" t="s">
        <v>80</v>
      </c>
      <c r="Y1344">
        <v>0</v>
      </c>
      <c r="Z1344">
        <v>79.379000000000005</v>
      </c>
      <c r="AB1344" t="s">
        <v>94</v>
      </c>
      <c r="AD1344" t="s">
        <v>57</v>
      </c>
      <c r="AE1344">
        <v>0</v>
      </c>
      <c r="AF1344">
        <v>6</v>
      </c>
      <c r="AG1344">
        <v>1</v>
      </c>
      <c r="AH1344">
        <v>1.5</v>
      </c>
      <c r="AI1344">
        <v>512</v>
      </c>
      <c r="AJ1344">
        <v>512</v>
      </c>
      <c r="AK1344">
        <v>72</v>
      </c>
      <c r="AL1344" t="s">
        <v>119</v>
      </c>
      <c r="AM1344">
        <v>2.2000000000000002</v>
      </c>
      <c r="AN1344" t="s">
        <v>1072</v>
      </c>
      <c r="AO1344" t="s">
        <v>67</v>
      </c>
      <c r="AP1344" t="s">
        <v>68</v>
      </c>
      <c r="AQ1344">
        <v>15</v>
      </c>
      <c r="AR1344">
        <v>256</v>
      </c>
      <c r="AS1344">
        <v>512</v>
      </c>
      <c r="AT1344">
        <v>4.2359999999999998</v>
      </c>
      <c r="AU1344">
        <v>8.6679999999999993</v>
      </c>
      <c r="AV1344" t="s">
        <v>4885</v>
      </c>
      <c r="AW1344" t="s">
        <v>4886</v>
      </c>
      <c r="AX1344" t="s">
        <v>4887</v>
      </c>
    </row>
    <row r="1345" spans="1:50" x14ac:dyDescent="0.25">
      <c r="A1345" t="s">
        <v>4888</v>
      </c>
      <c r="B1345" t="s">
        <v>1679</v>
      </c>
      <c r="C1345">
        <v>0</v>
      </c>
      <c r="D1345">
        <v>0</v>
      </c>
      <c r="E1345" t="s">
        <v>1703</v>
      </c>
      <c r="H1345">
        <v>0</v>
      </c>
      <c r="N1345">
        <v>1</v>
      </c>
      <c r="Q1345">
        <v>0</v>
      </c>
      <c r="R1345">
        <v>0</v>
      </c>
      <c r="U1345" t="s">
        <v>1687</v>
      </c>
      <c r="V1345">
        <v>48</v>
      </c>
      <c r="W1345" t="s">
        <v>1688</v>
      </c>
      <c r="X1345" t="s">
        <v>80</v>
      </c>
      <c r="Y1345">
        <v>0</v>
      </c>
      <c r="AD1345" t="s">
        <v>57</v>
      </c>
      <c r="AE1345">
        <v>1</v>
      </c>
      <c r="AF1345">
        <v>6</v>
      </c>
      <c r="AG1345">
        <v>1</v>
      </c>
      <c r="AH1345">
        <v>1.5</v>
      </c>
      <c r="AI1345">
        <v>384</v>
      </c>
      <c r="AJ1345">
        <v>384</v>
      </c>
      <c r="AK1345">
        <v>160</v>
      </c>
      <c r="AL1345" t="s">
        <v>1800</v>
      </c>
      <c r="AM1345">
        <v>1</v>
      </c>
      <c r="AN1345" t="s">
        <v>1728</v>
      </c>
      <c r="AO1345" t="s">
        <v>59</v>
      </c>
      <c r="AP1345" t="s">
        <v>1729</v>
      </c>
      <c r="AQ1345">
        <v>11</v>
      </c>
      <c r="AR1345">
        <v>50</v>
      </c>
      <c r="AS1345">
        <v>135</v>
      </c>
      <c r="AT1345">
        <v>1.81</v>
      </c>
      <c r="AU1345">
        <v>5.05</v>
      </c>
      <c r="AV1345" t="s">
        <v>4552</v>
      </c>
      <c r="AW1345" t="s">
        <v>4886</v>
      </c>
      <c r="AX1345" t="s">
        <v>4889</v>
      </c>
    </row>
    <row r="1346" spans="1:50" x14ac:dyDescent="0.25">
      <c r="A1346" t="s">
        <v>4890</v>
      </c>
      <c r="B1346" t="s">
        <v>1679</v>
      </c>
      <c r="C1346">
        <v>0</v>
      </c>
      <c r="D1346">
        <v>1</v>
      </c>
      <c r="E1346" t="s">
        <v>1839</v>
      </c>
      <c r="H1346">
        <v>0</v>
      </c>
      <c r="N1346">
        <v>1</v>
      </c>
      <c r="Q1346">
        <v>1</v>
      </c>
      <c r="R1346">
        <v>0</v>
      </c>
      <c r="U1346" t="s">
        <v>1735</v>
      </c>
      <c r="V1346">
        <v>41</v>
      </c>
      <c r="W1346" t="s">
        <v>1688</v>
      </c>
      <c r="X1346" t="s">
        <v>80</v>
      </c>
      <c r="Y1346">
        <v>0</v>
      </c>
      <c r="Z1346">
        <v>75.75</v>
      </c>
      <c r="AB1346" t="s">
        <v>94</v>
      </c>
      <c r="AD1346" t="s">
        <v>57</v>
      </c>
      <c r="AE1346">
        <v>0</v>
      </c>
      <c r="AF1346">
        <v>6</v>
      </c>
      <c r="AG1346">
        <v>1</v>
      </c>
      <c r="AH1346">
        <v>1.5</v>
      </c>
      <c r="AI1346">
        <v>512</v>
      </c>
      <c r="AJ1346">
        <v>512</v>
      </c>
      <c r="AK1346">
        <v>90</v>
      </c>
      <c r="AL1346" t="s">
        <v>81</v>
      </c>
      <c r="AM1346">
        <v>2</v>
      </c>
      <c r="AN1346" t="s">
        <v>996</v>
      </c>
      <c r="AO1346" t="s">
        <v>67</v>
      </c>
      <c r="AP1346" t="s">
        <v>68</v>
      </c>
      <c r="AQ1346">
        <v>15</v>
      </c>
      <c r="AR1346">
        <v>120</v>
      </c>
      <c r="AS1346">
        <v>241</v>
      </c>
      <c r="AT1346">
        <v>4.2</v>
      </c>
      <c r="AU1346">
        <v>7</v>
      </c>
      <c r="AV1346" t="s">
        <v>4891</v>
      </c>
      <c r="AW1346" t="s">
        <v>4509</v>
      </c>
      <c r="AX1346" t="s">
        <v>4892</v>
      </c>
    </row>
    <row r="1347" spans="1:50" x14ac:dyDescent="0.25">
      <c r="A1347" t="s">
        <v>4893</v>
      </c>
      <c r="B1347" t="s">
        <v>1679</v>
      </c>
      <c r="C1347">
        <v>0</v>
      </c>
      <c r="D1347">
        <v>0</v>
      </c>
      <c r="E1347" t="s">
        <v>1698</v>
      </c>
      <c r="H1347">
        <v>0</v>
      </c>
      <c r="N1347">
        <v>1</v>
      </c>
      <c r="Q1347">
        <v>0</v>
      </c>
      <c r="R1347">
        <v>0</v>
      </c>
      <c r="U1347" t="s">
        <v>1687</v>
      </c>
      <c r="V1347">
        <v>63</v>
      </c>
      <c r="W1347" t="s">
        <v>79</v>
      </c>
      <c r="X1347" t="s">
        <v>111</v>
      </c>
      <c r="Y1347">
        <v>0</v>
      </c>
      <c r="Z1347">
        <v>51.71</v>
      </c>
      <c r="AB1347" t="s">
        <v>74</v>
      </c>
      <c r="AD1347" t="s">
        <v>57</v>
      </c>
      <c r="AE1347">
        <v>1</v>
      </c>
      <c r="AF1347">
        <v>6</v>
      </c>
      <c r="AG1347">
        <v>1</v>
      </c>
      <c r="AH1347">
        <v>1.5</v>
      </c>
      <c r="AI1347">
        <v>256</v>
      </c>
      <c r="AJ1347">
        <v>256</v>
      </c>
      <c r="AK1347">
        <v>248</v>
      </c>
      <c r="AL1347" t="s">
        <v>446</v>
      </c>
      <c r="AM1347">
        <v>0.80000099999999996</v>
      </c>
      <c r="AN1347" t="s">
        <v>1720</v>
      </c>
      <c r="AO1347" t="s">
        <v>67</v>
      </c>
      <c r="AP1347" t="s">
        <v>89</v>
      </c>
      <c r="AQ1347">
        <v>15</v>
      </c>
      <c r="AR1347">
        <v>417</v>
      </c>
      <c r="AS1347">
        <v>834</v>
      </c>
      <c r="AT1347">
        <v>1.9319999999999999</v>
      </c>
      <c r="AU1347">
        <v>4.16</v>
      </c>
      <c r="AV1347" t="s">
        <v>4894</v>
      </c>
      <c r="AW1347" t="s">
        <v>4895</v>
      </c>
      <c r="AX1347" t="s">
        <v>4896</v>
      </c>
    </row>
    <row r="1348" spans="1:50" x14ac:dyDescent="0.25">
      <c r="A1348" t="s">
        <v>4897</v>
      </c>
      <c r="B1348" t="s">
        <v>1679</v>
      </c>
      <c r="C1348">
        <v>0</v>
      </c>
      <c r="D1348">
        <v>1</v>
      </c>
      <c r="E1348" t="s">
        <v>1680</v>
      </c>
      <c r="H1348">
        <v>0</v>
      </c>
      <c r="N1348">
        <v>1</v>
      </c>
      <c r="Q1348">
        <v>0</v>
      </c>
      <c r="R1348">
        <v>0</v>
      </c>
      <c r="U1348" t="s">
        <v>1687</v>
      </c>
      <c r="V1348">
        <v>54</v>
      </c>
      <c r="X1348" t="s">
        <v>80</v>
      </c>
      <c r="Y1348">
        <v>0</v>
      </c>
      <c r="Z1348">
        <v>79.379000000000005</v>
      </c>
      <c r="AB1348" t="s">
        <v>94</v>
      </c>
      <c r="AD1348" t="s">
        <v>57</v>
      </c>
      <c r="AE1348">
        <v>0</v>
      </c>
      <c r="AF1348">
        <v>6</v>
      </c>
      <c r="AG1348">
        <v>1</v>
      </c>
      <c r="AH1348">
        <v>1.5</v>
      </c>
      <c r="AI1348">
        <v>512</v>
      </c>
      <c r="AJ1348">
        <v>512</v>
      </c>
      <c r="AK1348">
        <v>66</v>
      </c>
      <c r="AL1348" t="s">
        <v>774</v>
      </c>
      <c r="AM1348">
        <v>2.4</v>
      </c>
      <c r="AN1348" t="s">
        <v>1942</v>
      </c>
      <c r="AO1348" t="s">
        <v>67</v>
      </c>
      <c r="AP1348" t="s">
        <v>68</v>
      </c>
      <c r="AQ1348">
        <v>15</v>
      </c>
      <c r="AR1348">
        <v>316</v>
      </c>
      <c r="AS1348">
        <v>632</v>
      </c>
      <c r="AT1348">
        <v>3.0760000000000001</v>
      </c>
      <c r="AU1348">
        <v>6.3479999999999999</v>
      </c>
      <c r="AV1348" t="s">
        <v>4898</v>
      </c>
      <c r="AW1348" t="s">
        <v>4899</v>
      </c>
      <c r="AX1348" t="s">
        <v>4900</v>
      </c>
    </row>
    <row r="1349" spans="1:50" x14ac:dyDescent="0.25">
      <c r="A1349" t="s">
        <v>4901</v>
      </c>
      <c r="B1349" t="s">
        <v>1679</v>
      </c>
      <c r="C1349">
        <v>0</v>
      </c>
      <c r="D1349">
        <v>0</v>
      </c>
      <c r="E1349" t="s">
        <v>1703</v>
      </c>
      <c r="H1349">
        <v>1</v>
      </c>
      <c r="N1349">
        <v>1</v>
      </c>
      <c r="Q1349">
        <v>0</v>
      </c>
      <c r="R1349">
        <v>1</v>
      </c>
      <c r="U1349" t="s">
        <v>1687</v>
      </c>
      <c r="V1349">
        <v>45</v>
      </c>
      <c r="W1349" t="s">
        <v>1688</v>
      </c>
      <c r="X1349" t="s">
        <v>80</v>
      </c>
      <c r="Y1349">
        <v>0</v>
      </c>
      <c r="Z1349">
        <v>61.23</v>
      </c>
      <c r="AB1349" t="s">
        <v>74</v>
      </c>
      <c r="AD1349" t="s">
        <v>57</v>
      </c>
      <c r="AE1349">
        <v>0</v>
      </c>
      <c r="AF1349">
        <v>6</v>
      </c>
      <c r="AG1349">
        <v>1</v>
      </c>
      <c r="AH1349">
        <v>1.5</v>
      </c>
      <c r="AI1349">
        <v>512</v>
      </c>
      <c r="AJ1349">
        <v>512</v>
      </c>
      <c r="AK1349">
        <v>80</v>
      </c>
      <c r="AL1349" t="s">
        <v>331</v>
      </c>
      <c r="AM1349">
        <v>2</v>
      </c>
      <c r="AN1349" t="s">
        <v>996</v>
      </c>
      <c r="AO1349" t="s">
        <v>67</v>
      </c>
      <c r="AP1349" t="s">
        <v>68</v>
      </c>
      <c r="AQ1349">
        <v>15</v>
      </c>
      <c r="AR1349">
        <v>38</v>
      </c>
      <c r="AS1349">
        <v>77</v>
      </c>
      <c r="AT1349">
        <v>4.2</v>
      </c>
      <c r="AU1349">
        <v>7.1159999999999997</v>
      </c>
      <c r="AV1349" t="s">
        <v>4902</v>
      </c>
      <c r="AW1349" t="s">
        <v>4903</v>
      </c>
      <c r="AX1349" t="s">
        <v>4904</v>
      </c>
    </row>
    <row r="1350" spans="1:50" x14ac:dyDescent="0.25">
      <c r="A1350" t="s">
        <v>4905</v>
      </c>
      <c r="B1350" t="s">
        <v>1679</v>
      </c>
      <c r="C1350">
        <v>0</v>
      </c>
      <c r="D1350">
        <v>0</v>
      </c>
      <c r="E1350" t="s">
        <v>1703</v>
      </c>
      <c r="H1350">
        <v>1</v>
      </c>
      <c r="N1350">
        <v>0</v>
      </c>
      <c r="Q1350">
        <v>0</v>
      </c>
      <c r="R1350">
        <v>1</v>
      </c>
      <c r="U1350" t="s">
        <v>65</v>
      </c>
      <c r="V1350">
        <v>57</v>
      </c>
      <c r="X1350" t="s">
        <v>55</v>
      </c>
      <c r="Y1350">
        <v>0</v>
      </c>
      <c r="Z1350">
        <v>64.41</v>
      </c>
      <c r="AB1350" t="s">
        <v>74</v>
      </c>
      <c r="AD1350" t="s">
        <v>57</v>
      </c>
      <c r="AE1350">
        <v>0</v>
      </c>
      <c r="AF1350">
        <v>6</v>
      </c>
      <c r="AG1350">
        <v>1</v>
      </c>
      <c r="AH1350">
        <v>1.5</v>
      </c>
      <c r="AI1350">
        <v>512</v>
      </c>
      <c r="AJ1350">
        <v>512</v>
      </c>
      <c r="AK1350">
        <v>72</v>
      </c>
      <c r="AL1350" t="s">
        <v>119</v>
      </c>
      <c r="AM1350">
        <v>2.2000000000000002</v>
      </c>
      <c r="AN1350" t="s">
        <v>1072</v>
      </c>
      <c r="AO1350" t="s">
        <v>67</v>
      </c>
      <c r="AP1350" t="s">
        <v>68</v>
      </c>
      <c r="AQ1350">
        <v>15</v>
      </c>
      <c r="AR1350">
        <v>180</v>
      </c>
      <c r="AS1350">
        <v>360</v>
      </c>
      <c r="AT1350">
        <v>4.28</v>
      </c>
      <c r="AU1350">
        <v>8.7439999999999998</v>
      </c>
      <c r="AV1350" t="s">
        <v>4906</v>
      </c>
      <c r="AW1350" t="s">
        <v>4907</v>
      </c>
      <c r="AX1350" t="s">
        <v>4908</v>
      </c>
    </row>
    <row r="1351" spans="1:50" x14ac:dyDescent="0.25">
      <c r="A1351" t="s">
        <v>4909</v>
      </c>
      <c r="B1351" t="s">
        <v>1679</v>
      </c>
      <c r="C1351">
        <v>0</v>
      </c>
      <c r="D1351">
        <v>1</v>
      </c>
      <c r="E1351" t="s">
        <v>1871</v>
      </c>
      <c r="H1351">
        <v>0</v>
      </c>
      <c r="N1351">
        <v>1</v>
      </c>
      <c r="Q1351">
        <v>1</v>
      </c>
      <c r="R1351">
        <v>0</v>
      </c>
      <c r="U1351" t="s">
        <v>1735</v>
      </c>
      <c r="V1351">
        <v>63</v>
      </c>
      <c r="W1351" t="s">
        <v>79</v>
      </c>
      <c r="X1351" t="s">
        <v>80</v>
      </c>
      <c r="Y1351">
        <v>0</v>
      </c>
      <c r="Z1351">
        <v>99.79</v>
      </c>
      <c r="AB1351" t="s">
        <v>56</v>
      </c>
      <c r="AD1351" t="s">
        <v>57</v>
      </c>
      <c r="AE1351">
        <v>0</v>
      </c>
      <c r="AF1351">
        <v>6</v>
      </c>
      <c r="AG1351">
        <v>1</v>
      </c>
      <c r="AH1351">
        <v>3</v>
      </c>
      <c r="AI1351">
        <v>512</v>
      </c>
      <c r="AJ1351">
        <v>512</v>
      </c>
      <c r="AK1351">
        <v>134</v>
      </c>
      <c r="AL1351" t="s">
        <v>119</v>
      </c>
      <c r="AM1351">
        <v>2.4</v>
      </c>
      <c r="AN1351" t="s">
        <v>1786</v>
      </c>
      <c r="AO1351" t="s">
        <v>67</v>
      </c>
      <c r="AP1351" t="s">
        <v>1845</v>
      </c>
      <c r="AQ1351">
        <v>15</v>
      </c>
      <c r="AR1351">
        <v>388</v>
      </c>
      <c r="AS1351">
        <v>777</v>
      </c>
      <c r="AT1351">
        <v>4.66</v>
      </c>
      <c r="AU1351">
        <v>8.8879999999999999</v>
      </c>
      <c r="AV1351" t="s">
        <v>4910</v>
      </c>
      <c r="AW1351" t="s">
        <v>4911</v>
      </c>
      <c r="AX1351" t="s">
        <v>4912</v>
      </c>
    </row>
    <row r="1352" spans="1:50" x14ac:dyDescent="0.25">
      <c r="A1352" t="s">
        <v>4913</v>
      </c>
      <c r="B1352" t="s">
        <v>1679</v>
      </c>
      <c r="C1352">
        <v>0</v>
      </c>
      <c r="D1352">
        <v>1</v>
      </c>
      <c r="E1352" t="s">
        <v>1703</v>
      </c>
      <c r="H1352">
        <v>0</v>
      </c>
      <c r="N1352">
        <v>1</v>
      </c>
      <c r="Q1352">
        <v>0</v>
      </c>
      <c r="R1352">
        <v>0</v>
      </c>
      <c r="U1352" t="s">
        <v>1687</v>
      </c>
      <c r="V1352">
        <v>42</v>
      </c>
      <c r="W1352" t="s">
        <v>1688</v>
      </c>
      <c r="X1352" t="s">
        <v>111</v>
      </c>
      <c r="Y1352">
        <v>0</v>
      </c>
      <c r="Z1352">
        <v>88.450999999999993</v>
      </c>
      <c r="AB1352" t="s">
        <v>118</v>
      </c>
      <c r="AD1352" t="s">
        <v>57</v>
      </c>
      <c r="AE1352">
        <v>0</v>
      </c>
      <c r="AF1352">
        <v>6</v>
      </c>
      <c r="AG1352">
        <v>1</v>
      </c>
      <c r="AH1352">
        <v>3</v>
      </c>
      <c r="AI1352">
        <v>512</v>
      </c>
      <c r="AJ1352">
        <v>512</v>
      </c>
      <c r="AK1352">
        <v>134</v>
      </c>
      <c r="AL1352" t="s">
        <v>240</v>
      </c>
      <c r="AM1352">
        <v>2.4</v>
      </c>
      <c r="AN1352" t="s">
        <v>1786</v>
      </c>
      <c r="AO1352" t="s">
        <v>67</v>
      </c>
      <c r="AP1352" t="s">
        <v>68</v>
      </c>
      <c r="AQ1352">
        <v>15</v>
      </c>
      <c r="AR1352">
        <v>409</v>
      </c>
      <c r="AS1352">
        <v>819</v>
      </c>
      <c r="AT1352">
        <v>2.7839999999999998</v>
      </c>
      <c r="AU1352">
        <v>7.07</v>
      </c>
      <c r="AV1352" t="s">
        <v>2068</v>
      </c>
      <c r="AW1352" t="s">
        <v>4914</v>
      </c>
      <c r="AX1352" t="s">
        <v>4915</v>
      </c>
    </row>
    <row r="1353" spans="1:50" x14ac:dyDescent="0.25">
      <c r="A1353" t="s">
        <v>4916</v>
      </c>
      <c r="B1353" t="s">
        <v>1679</v>
      </c>
      <c r="C1353">
        <v>0</v>
      </c>
      <c r="D1353">
        <v>1</v>
      </c>
      <c r="E1353" t="s">
        <v>1740</v>
      </c>
      <c r="H1353">
        <v>0</v>
      </c>
      <c r="N1353">
        <v>1</v>
      </c>
      <c r="Q1353">
        <v>1</v>
      </c>
      <c r="R1353">
        <v>0</v>
      </c>
      <c r="U1353" t="s">
        <v>1735</v>
      </c>
      <c r="V1353">
        <v>53</v>
      </c>
      <c r="W1353" t="s">
        <v>1726</v>
      </c>
      <c r="X1353" t="s">
        <v>80</v>
      </c>
      <c r="Y1353">
        <v>0</v>
      </c>
      <c r="Z1353">
        <v>66.677999999999997</v>
      </c>
      <c r="AB1353" t="s">
        <v>74</v>
      </c>
      <c r="AD1353" t="s">
        <v>57</v>
      </c>
      <c r="AE1353">
        <v>0</v>
      </c>
      <c r="AF1353">
        <v>6</v>
      </c>
      <c r="AG1353">
        <v>1</v>
      </c>
      <c r="AH1353">
        <v>1.5</v>
      </c>
      <c r="AI1353">
        <v>512</v>
      </c>
      <c r="AJ1353">
        <v>512</v>
      </c>
      <c r="AK1353">
        <v>64</v>
      </c>
      <c r="AL1353" t="s">
        <v>66</v>
      </c>
      <c r="AM1353">
        <v>2.5</v>
      </c>
      <c r="AN1353" t="s">
        <v>2618</v>
      </c>
      <c r="AO1353" t="s">
        <v>67</v>
      </c>
      <c r="AP1353" t="s">
        <v>68</v>
      </c>
      <c r="AQ1353">
        <v>15</v>
      </c>
      <c r="AR1353">
        <v>134</v>
      </c>
      <c r="AS1353">
        <v>268</v>
      </c>
      <c r="AT1353">
        <v>3.1680000000000001</v>
      </c>
      <c r="AU1353">
        <v>6.452</v>
      </c>
      <c r="AW1353" t="s">
        <v>1788</v>
      </c>
      <c r="AX1353" t="s">
        <v>4917</v>
      </c>
    </row>
    <row r="1354" spans="1:50" x14ac:dyDescent="0.25">
      <c r="A1354" t="s">
        <v>4918</v>
      </c>
      <c r="B1354" t="s">
        <v>1679</v>
      </c>
      <c r="C1354">
        <v>0</v>
      </c>
      <c r="D1354">
        <v>0</v>
      </c>
      <c r="E1354" t="s">
        <v>1780</v>
      </c>
      <c r="H1354">
        <v>1</v>
      </c>
      <c r="N1354">
        <v>0</v>
      </c>
      <c r="Q1354">
        <v>0</v>
      </c>
      <c r="R1354">
        <v>1</v>
      </c>
      <c r="U1354" t="s">
        <v>65</v>
      </c>
      <c r="V1354">
        <v>59</v>
      </c>
      <c r="W1354" t="s">
        <v>79</v>
      </c>
      <c r="X1354" t="s">
        <v>80</v>
      </c>
      <c r="Y1354">
        <v>0</v>
      </c>
      <c r="Z1354">
        <v>72.575000000000003</v>
      </c>
      <c r="AB1354" t="s">
        <v>94</v>
      </c>
      <c r="AD1354" t="s">
        <v>57</v>
      </c>
      <c r="AE1354">
        <v>0</v>
      </c>
      <c r="AF1354">
        <v>6</v>
      </c>
      <c r="AG1354">
        <v>1</v>
      </c>
      <c r="AH1354">
        <v>1.5</v>
      </c>
      <c r="AI1354">
        <v>512</v>
      </c>
      <c r="AJ1354">
        <v>512</v>
      </c>
      <c r="AK1354">
        <v>80</v>
      </c>
      <c r="AL1354" t="s">
        <v>196</v>
      </c>
      <c r="AM1354">
        <v>2</v>
      </c>
      <c r="AN1354" t="s">
        <v>996</v>
      </c>
      <c r="AO1354" t="s">
        <v>67</v>
      </c>
      <c r="AP1354" t="s">
        <v>68</v>
      </c>
      <c r="AQ1354">
        <v>15</v>
      </c>
      <c r="AR1354">
        <v>100</v>
      </c>
      <c r="AS1354">
        <v>200</v>
      </c>
      <c r="AT1354">
        <v>2.6440000000000001</v>
      </c>
      <c r="AU1354">
        <v>6.0250000000000004</v>
      </c>
      <c r="AV1354" t="s">
        <v>4919</v>
      </c>
      <c r="AW1354" t="s">
        <v>4920</v>
      </c>
      <c r="AX1354" t="s">
        <v>4921</v>
      </c>
    </row>
    <row r="1355" spans="1:50" x14ac:dyDescent="0.25">
      <c r="A1355" t="s">
        <v>4922</v>
      </c>
      <c r="B1355" t="s">
        <v>1679</v>
      </c>
      <c r="C1355">
        <v>0</v>
      </c>
      <c r="D1355">
        <v>0</v>
      </c>
      <c r="E1355" t="s">
        <v>1734</v>
      </c>
      <c r="H1355">
        <v>0</v>
      </c>
      <c r="N1355">
        <v>0</v>
      </c>
      <c r="Q1355">
        <v>1</v>
      </c>
      <c r="R1355">
        <v>0</v>
      </c>
      <c r="U1355" t="s">
        <v>72</v>
      </c>
      <c r="V1355">
        <v>69</v>
      </c>
      <c r="X1355" t="s">
        <v>55</v>
      </c>
      <c r="Y1355">
        <v>0</v>
      </c>
      <c r="Z1355">
        <v>125</v>
      </c>
      <c r="AB1355" t="s">
        <v>269</v>
      </c>
      <c r="AD1355" t="s">
        <v>57</v>
      </c>
      <c r="AE1355">
        <v>0</v>
      </c>
      <c r="AF1355">
        <v>6</v>
      </c>
      <c r="AG1355">
        <v>1</v>
      </c>
      <c r="AH1355">
        <v>1.5</v>
      </c>
      <c r="AI1355">
        <v>400</v>
      </c>
      <c r="AJ1355">
        <v>400</v>
      </c>
      <c r="AK1355">
        <v>64</v>
      </c>
      <c r="AL1355" t="s">
        <v>1924</v>
      </c>
      <c r="AM1355">
        <v>2.5</v>
      </c>
      <c r="AN1355" t="s">
        <v>1531</v>
      </c>
      <c r="AO1355" t="s">
        <v>1155</v>
      </c>
      <c r="AP1355" t="s">
        <v>1767</v>
      </c>
      <c r="AQ1355">
        <v>11</v>
      </c>
      <c r="AR1355">
        <v>80.010000000000005</v>
      </c>
      <c r="AS1355">
        <v>139.13999999999999</v>
      </c>
      <c r="AT1355">
        <v>2.5979999999999999</v>
      </c>
      <c r="AU1355">
        <v>5.2080000000000002</v>
      </c>
      <c r="AV1355" t="s">
        <v>4923</v>
      </c>
      <c r="AW1355" t="s">
        <v>3883</v>
      </c>
      <c r="AX1355" t="s">
        <v>4924</v>
      </c>
    </row>
    <row r="1356" spans="1:50" x14ac:dyDescent="0.25">
      <c r="A1356" t="s">
        <v>4925</v>
      </c>
      <c r="B1356" t="s">
        <v>1679</v>
      </c>
      <c r="C1356">
        <v>0</v>
      </c>
      <c r="D1356">
        <v>1</v>
      </c>
      <c r="E1356" t="s">
        <v>1703</v>
      </c>
      <c r="H1356">
        <v>0</v>
      </c>
      <c r="N1356">
        <v>1</v>
      </c>
      <c r="Q1356">
        <v>0</v>
      </c>
      <c r="R1356">
        <v>0</v>
      </c>
      <c r="U1356" t="s">
        <v>1687</v>
      </c>
      <c r="V1356">
        <v>55</v>
      </c>
      <c r="X1356" t="s">
        <v>80</v>
      </c>
      <c r="Y1356">
        <v>0</v>
      </c>
      <c r="Z1356">
        <v>109</v>
      </c>
      <c r="AB1356" t="s">
        <v>269</v>
      </c>
      <c r="AD1356" t="s">
        <v>57</v>
      </c>
      <c r="AE1356">
        <v>0</v>
      </c>
      <c r="AF1356">
        <v>6</v>
      </c>
      <c r="AG1356">
        <v>1</v>
      </c>
      <c r="AH1356">
        <v>3</v>
      </c>
      <c r="AI1356">
        <v>640</v>
      </c>
      <c r="AJ1356">
        <v>640</v>
      </c>
      <c r="AK1356">
        <v>160</v>
      </c>
      <c r="AL1356" t="s">
        <v>4926</v>
      </c>
      <c r="AM1356">
        <v>2</v>
      </c>
      <c r="AN1356" t="s">
        <v>1877</v>
      </c>
      <c r="AO1356" t="s">
        <v>1155</v>
      </c>
      <c r="AP1356" t="s">
        <v>1305</v>
      </c>
      <c r="AQ1356">
        <v>11</v>
      </c>
      <c r="AR1356">
        <v>1656.2</v>
      </c>
      <c r="AS1356">
        <v>5241.04</v>
      </c>
      <c r="AT1356">
        <v>4.6040000000000001</v>
      </c>
      <c r="AU1356">
        <v>7.4</v>
      </c>
      <c r="AW1356" t="s">
        <v>2671</v>
      </c>
      <c r="AX1356" t="s">
        <v>4927</v>
      </c>
    </row>
    <row r="1357" spans="1:50" x14ac:dyDescent="0.25">
      <c r="A1357" t="s">
        <v>4928</v>
      </c>
      <c r="B1357" t="s">
        <v>1679</v>
      </c>
      <c r="C1357">
        <v>0</v>
      </c>
      <c r="D1357">
        <v>0</v>
      </c>
      <c r="E1357" t="s">
        <v>1791</v>
      </c>
      <c r="H1357">
        <v>0</v>
      </c>
      <c r="N1357">
        <v>1</v>
      </c>
      <c r="Q1357">
        <v>1</v>
      </c>
      <c r="R1357">
        <v>1</v>
      </c>
      <c r="U1357" t="s">
        <v>1735</v>
      </c>
      <c r="V1357">
        <v>29</v>
      </c>
      <c r="W1357" t="s">
        <v>1688</v>
      </c>
      <c r="X1357" t="s">
        <v>80</v>
      </c>
      <c r="Y1357">
        <v>0</v>
      </c>
      <c r="Z1357">
        <v>82</v>
      </c>
      <c r="AB1357" t="s">
        <v>118</v>
      </c>
      <c r="AD1357" t="s">
        <v>57</v>
      </c>
      <c r="AE1357">
        <v>0</v>
      </c>
      <c r="AF1357">
        <v>6</v>
      </c>
      <c r="AG1357">
        <v>1</v>
      </c>
      <c r="AH1357">
        <v>1.5</v>
      </c>
      <c r="AI1357">
        <v>512</v>
      </c>
      <c r="AJ1357">
        <v>512</v>
      </c>
      <c r="AK1357">
        <v>160</v>
      </c>
      <c r="AL1357" t="s">
        <v>1010</v>
      </c>
      <c r="AM1357">
        <v>2</v>
      </c>
      <c r="AN1357" t="s">
        <v>1154</v>
      </c>
      <c r="AO1357" t="s">
        <v>1155</v>
      </c>
      <c r="AP1357" t="s">
        <v>1305</v>
      </c>
      <c r="AQ1357">
        <v>11</v>
      </c>
      <c r="AR1357">
        <v>1048</v>
      </c>
      <c r="AS1357">
        <v>1822</v>
      </c>
      <c r="AT1357">
        <v>2.8140000000000001</v>
      </c>
      <c r="AU1357">
        <v>5.4090999999999996</v>
      </c>
      <c r="AV1357" t="s">
        <v>4929</v>
      </c>
      <c r="AW1357" t="s">
        <v>4930</v>
      </c>
      <c r="AX1357" t="s">
        <v>4931</v>
      </c>
    </row>
    <row r="1358" spans="1:50" x14ac:dyDescent="0.25">
      <c r="A1358" t="s">
        <v>4932</v>
      </c>
      <c r="B1358" t="s">
        <v>1679</v>
      </c>
      <c r="C1358">
        <v>0</v>
      </c>
      <c r="D1358">
        <v>0</v>
      </c>
      <c r="E1358" t="s">
        <v>1680</v>
      </c>
      <c r="H1358">
        <v>0</v>
      </c>
      <c r="N1358">
        <v>1</v>
      </c>
      <c r="Q1358">
        <v>0</v>
      </c>
      <c r="R1358">
        <v>0</v>
      </c>
      <c r="U1358" t="s">
        <v>1687</v>
      </c>
      <c r="V1358">
        <v>64</v>
      </c>
      <c r="W1358" t="s">
        <v>79</v>
      </c>
      <c r="X1358" t="s">
        <v>80</v>
      </c>
      <c r="Y1358">
        <v>0</v>
      </c>
      <c r="Z1358">
        <v>73.019309011100006</v>
      </c>
      <c r="AB1358" t="s">
        <v>94</v>
      </c>
      <c r="AD1358" t="s">
        <v>57</v>
      </c>
      <c r="AE1358">
        <v>1</v>
      </c>
      <c r="AF1358">
        <v>6</v>
      </c>
      <c r="AG1358">
        <v>1</v>
      </c>
      <c r="AH1358">
        <v>1.5</v>
      </c>
      <c r="AI1358">
        <v>384</v>
      </c>
      <c r="AJ1358">
        <v>384</v>
      </c>
      <c r="AK1358">
        <v>176</v>
      </c>
      <c r="AL1358" t="s">
        <v>1800</v>
      </c>
      <c r="AM1358">
        <v>1.1000000238000001</v>
      </c>
      <c r="AN1358" t="s">
        <v>1720</v>
      </c>
      <c r="AO1358" t="s">
        <v>59</v>
      </c>
      <c r="AP1358" t="s">
        <v>60</v>
      </c>
      <c r="AQ1358">
        <v>11</v>
      </c>
      <c r="AR1358">
        <v>250</v>
      </c>
      <c r="AS1358">
        <v>580</v>
      </c>
      <c r="AT1358">
        <v>1.52</v>
      </c>
      <c r="AU1358">
        <v>4.1399999999999997</v>
      </c>
      <c r="AV1358" t="s">
        <v>4933</v>
      </c>
      <c r="AW1358" t="s">
        <v>4934</v>
      </c>
      <c r="AX1358" t="s">
        <v>4935</v>
      </c>
    </row>
    <row r="1359" spans="1:50" x14ac:dyDescent="0.25">
      <c r="A1359" t="s">
        <v>4936</v>
      </c>
      <c r="B1359" t="s">
        <v>1679</v>
      </c>
      <c r="C1359">
        <v>0</v>
      </c>
      <c r="D1359">
        <v>1</v>
      </c>
      <c r="E1359" t="s">
        <v>1780</v>
      </c>
      <c r="H1359">
        <v>1</v>
      </c>
      <c r="N1359">
        <v>0</v>
      </c>
      <c r="Q1359">
        <v>0</v>
      </c>
      <c r="R1359">
        <v>1</v>
      </c>
      <c r="U1359" t="s">
        <v>65</v>
      </c>
      <c r="V1359">
        <v>37</v>
      </c>
      <c r="W1359" t="s">
        <v>1726</v>
      </c>
      <c r="X1359" t="s">
        <v>55</v>
      </c>
      <c r="Y1359">
        <v>0</v>
      </c>
      <c r="Z1359">
        <v>81.650000000000006</v>
      </c>
      <c r="AA1359">
        <v>1.6</v>
      </c>
      <c r="AB1359" t="s">
        <v>118</v>
      </c>
      <c r="AD1359" t="s">
        <v>57</v>
      </c>
      <c r="AE1359">
        <v>0</v>
      </c>
      <c r="AF1359">
        <v>6</v>
      </c>
      <c r="AG1359">
        <v>1</v>
      </c>
      <c r="AH1359">
        <v>3</v>
      </c>
      <c r="AI1359">
        <v>384</v>
      </c>
      <c r="AJ1359">
        <v>384</v>
      </c>
      <c r="AK1359">
        <v>64</v>
      </c>
      <c r="AL1359" t="s">
        <v>1394</v>
      </c>
      <c r="AM1359">
        <v>2.5</v>
      </c>
      <c r="AN1359" t="s">
        <v>1114</v>
      </c>
      <c r="AO1359" t="s">
        <v>59</v>
      </c>
      <c r="AP1359" t="s">
        <v>1781</v>
      </c>
      <c r="AQ1359">
        <v>11</v>
      </c>
      <c r="AR1359">
        <v>66</v>
      </c>
      <c r="AS1359">
        <v>176</v>
      </c>
      <c r="AT1359">
        <v>1.37</v>
      </c>
      <c r="AU1359">
        <v>4.32</v>
      </c>
      <c r="AV1359" t="s">
        <v>4937</v>
      </c>
      <c r="AW1359" t="s">
        <v>4642</v>
      </c>
      <c r="AX1359" t="s">
        <v>4938</v>
      </c>
    </row>
    <row r="1360" spans="1:50" x14ac:dyDescent="0.25">
      <c r="A1360" t="s">
        <v>4939</v>
      </c>
      <c r="B1360" t="s">
        <v>1679</v>
      </c>
      <c r="C1360">
        <v>0</v>
      </c>
      <c r="D1360">
        <v>0</v>
      </c>
      <c r="E1360" t="s">
        <v>1686</v>
      </c>
      <c r="H1360">
        <v>0</v>
      </c>
      <c r="N1360">
        <v>0</v>
      </c>
      <c r="Q1360">
        <v>0</v>
      </c>
      <c r="R1360">
        <v>1</v>
      </c>
      <c r="U1360" t="s">
        <v>65</v>
      </c>
      <c r="V1360">
        <v>57</v>
      </c>
      <c r="W1360" t="s">
        <v>79</v>
      </c>
      <c r="X1360" t="s">
        <v>111</v>
      </c>
      <c r="Y1360">
        <v>0</v>
      </c>
      <c r="Z1360">
        <v>58.966999999999999</v>
      </c>
      <c r="AB1360" t="s">
        <v>74</v>
      </c>
      <c r="AD1360" t="s">
        <v>57</v>
      </c>
      <c r="AE1360">
        <v>0</v>
      </c>
      <c r="AF1360">
        <v>6</v>
      </c>
      <c r="AG1360">
        <v>1</v>
      </c>
      <c r="AH1360">
        <v>1.5</v>
      </c>
      <c r="AI1360">
        <v>512</v>
      </c>
      <c r="AJ1360">
        <v>512</v>
      </c>
      <c r="AK1360">
        <v>80</v>
      </c>
      <c r="AL1360" t="s">
        <v>113</v>
      </c>
      <c r="AM1360">
        <v>2</v>
      </c>
      <c r="AN1360" t="s">
        <v>996</v>
      </c>
      <c r="AO1360" t="s">
        <v>67</v>
      </c>
      <c r="AP1360" t="s">
        <v>68</v>
      </c>
      <c r="AQ1360">
        <v>15</v>
      </c>
      <c r="AR1360">
        <v>148</v>
      </c>
      <c r="AS1360">
        <v>297</v>
      </c>
      <c r="AT1360">
        <v>4.2</v>
      </c>
      <c r="AU1360">
        <v>7</v>
      </c>
      <c r="AV1360" t="s">
        <v>2056</v>
      </c>
      <c r="AW1360" t="s">
        <v>4940</v>
      </c>
      <c r="AX1360" t="s">
        <v>4941</v>
      </c>
    </row>
    <row r="1361" spans="1:50" x14ac:dyDescent="0.25">
      <c r="A1361" t="s">
        <v>4942</v>
      </c>
      <c r="B1361" t="s">
        <v>1679</v>
      </c>
      <c r="C1361">
        <v>0</v>
      </c>
      <c r="D1361">
        <v>0</v>
      </c>
      <c r="E1361" t="s">
        <v>1740</v>
      </c>
      <c r="H1361">
        <v>1</v>
      </c>
      <c r="N1361">
        <v>1</v>
      </c>
      <c r="Q1361">
        <v>1</v>
      </c>
      <c r="R1361">
        <v>0</v>
      </c>
      <c r="U1361" t="s">
        <v>1735</v>
      </c>
      <c r="V1361">
        <v>51</v>
      </c>
      <c r="W1361" t="s">
        <v>79</v>
      </c>
      <c r="X1361" t="s">
        <v>111</v>
      </c>
      <c r="Y1361">
        <v>0</v>
      </c>
      <c r="Z1361">
        <v>38.101999999999997</v>
      </c>
      <c r="AB1361" t="s">
        <v>247</v>
      </c>
      <c r="AD1361" t="s">
        <v>57</v>
      </c>
      <c r="AE1361">
        <v>0</v>
      </c>
      <c r="AF1361">
        <v>6</v>
      </c>
      <c r="AG1361">
        <v>1</v>
      </c>
      <c r="AH1361">
        <v>1.5</v>
      </c>
      <c r="AI1361">
        <v>512</v>
      </c>
      <c r="AJ1361">
        <v>512</v>
      </c>
      <c r="AK1361">
        <v>80</v>
      </c>
      <c r="AL1361" t="s">
        <v>497</v>
      </c>
      <c r="AM1361">
        <v>2</v>
      </c>
      <c r="AN1361" t="s">
        <v>996</v>
      </c>
      <c r="AO1361" t="s">
        <v>67</v>
      </c>
      <c r="AP1361" t="s">
        <v>68</v>
      </c>
      <c r="AQ1361">
        <v>15</v>
      </c>
      <c r="AR1361">
        <v>146</v>
      </c>
      <c r="AS1361">
        <v>293</v>
      </c>
      <c r="AT1361">
        <v>4.2</v>
      </c>
      <c r="AU1361">
        <v>7</v>
      </c>
      <c r="AV1361" t="s">
        <v>4943</v>
      </c>
      <c r="AW1361" t="s">
        <v>4944</v>
      </c>
      <c r="AX1361" t="s">
        <v>4945</v>
      </c>
    </row>
    <row r="1362" spans="1:50" x14ac:dyDescent="0.25">
      <c r="A1362" t="s">
        <v>4946</v>
      </c>
      <c r="B1362" t="s">
        <v>1679</v>
      </c>
      <c r="C1362">
        <v>0</v>
      </c>
      <c r="D1362">
        <v>1</v>
      </c>
      <c r="E1362" t="s">
        <v>1703</v>
      </c>
      <c r="H1362">
        <v>0</v>
      </c>
      <c r="N1362">
        <v>0</v>
      </c>
      <c r="Q1362">
        <v>0</v>
      </c>
      <c r="R1362">
        <v>1</v>
      </c>
      <c r="U1362" t="s">
        <v>65</v>
      </c>
      <c r="V1362">
        <v>46</v>
      </c>
      <c r="W1362" t="s">
        <v>1688</v>
      </c>
      <c r="X1362" t="s">
        <v>80</v>
      </c>
      <c r="Y1362">
        <v>0</v>
      </c>
      <c r="Z1362">
        <v>81.647000000000006</v>
      </c>
      <c r="AB1362" t="s">
        <v>94</v>
      </c>
      <c r="AD1362" t="s">
        <v>57</v>
      </c>
      <c r="AE1362">
        <v>0</v>
      </c>
      <c r="AF1362">
        <v>6</v>
      </c>
      <c r="AG1362">
        <v>1</v>
      </c>
      <c r="AH1362">
        <v>1.5</v>
      </c>
      <c r="AI1362">
        <v>512</v>
      </c>
      <c r="AJ1362">
        <v>512</v>
      </c>
      <c r="AK1362">
        <v>80</v>
      </c>
      <c r="AL1362" t="s">
        <v>128</v>
      </c>
      <c r="AM1362">
        <v>2</v>
      </c>
      <c r="AN1362" t="s">
        <v>996</v>
      </c>
      <c r="AO1362" t="s">
        <v>67</v>
      </c>
      <c r="AP1362" t="s">
        <v>68</v>
      </c>
      <c r="AQ1362">
        <v>15</v>
      </c>
      <c r="AR1362">
        <v>120</v>
      </c>
      <c r="AS1362">
        <v>241</v>
      </c>
      <c r="AT1362">
        <v>4.2</v>
      </c>
      <c r="AU1362">
        <v>7</v>
      </c>
      <c r="AV1362" t="s">
        <v>2509</v>
      </c>
      <c r="AW1362" t="s">
        <v>4412</v>
      </c>
      <c r="AX1362" t="s">
        <v>4947</v>
      </c>
    </row>
    <row r="1363" spans="1:50" x14ac:dyDescent="0.25">
      <c r="A1363" t="s">
        <v>4948</v>
      </c>
      <c r="B1363" t="s">
        <v>1679</v>
      </c>
      <c r="C1363">
        <v>0</v>
      </c>
      <c r="D1363">
        <v>0</v>
      </c>
      <c r="E1363" t="s">
        <v>1686</v>
      </c>
      <c r="H1363">
        <v>0</v>
      </c>
      <c r="N1363">
        <v>0</v>
      </c>
      <c r="Q1363">
        <v>0</v>
      </c>
      <c r="R1363">
        <v>1</v>
      </c>
      <c r="U1363" t="s">
        <v>65</v>
      </c>
      <c r="V1363">
        <v>30</v>
      </c>
      <c r="W1363" t="s">
        <v>1688</v>
      </c>
      <c r="X1363" t="s">
        <v>80</v>
      </c>
      <c r="Y1363">
        <v>0</v>
      </c>
      <c r="Z1363">
        <v>80</v>
      </c>
      <c r="AB1363" t="s">
        <v>94</v>
      </c>
      <c r="AD1363" t="s">
        <v>57</v>
      </c>
      <c r="AE1363">
        <v>0</v>
      </c>
      <c r="AF1363">
        <v>6</v>
      </c>
      <c r="AG1363">
        <v>1</v>
      </c>
      <c r="AH1363">
        <v>1.5</v>
      </c>
      <c r="AI1363">
        <v>560</v>
      </c>
      <c r="AJ1363">
        <v>560</v>
      </c>
      <c r="AK1363">
        <v>160</v>
      </c>
      <c r="AL1363" t="s">
        <v>4519</v>
      </c>
      <c r="AM1363">
        <v>2</v>
      </c>
      <c r="AN1363" t="s">
        <v>1154</v>
      </c>
      <c r="AO1363" t="s">
        <v>1155</v>
      </c>
      <c r="AP1363" t="s">
        <v>1305</v>
      </c>
      <c r="AQ1363">
        <v>11</v>
      </c>
      <c r="AR1363">
        <v>716</v>
      </c>
      <c r="AS1363">
        <v>1244</v>
      </c>
      <c r="AT1363">
        <v>2.657</v>
      </c>
      <c r="AU1363">
        <v>5.4268999999999998</v>
      </c>
      <c r="AV1363" t="s">
        <v>4949</v>
      </c>
      <c r="AW1363" t="s">
        <v>2566</v>
      </c>
      <c r="AX1363" t="s">
        <v>4950</v>
      </c>
    </row>
    <row r="1364" spans="1:50" x14ac:dyDescent="0.25">
      <c r="A1364" t="s">
        <v>4951</v>
      </c>
      <c r="B1364" t="s">
        <v>1679</v>
      </c>
      <c r="C1364">
        <v>0</v>
      </c>
      <c r="D1364">
        <v>1</v>
      </c>
      <c r="E1364" t="s">
        <v>1686</v>
      </c>
      <c r="H1364">
        <v>0</v>
      </c>
      <c r="N1364">
        <v>1</v>
      </c>
      <c r="Q1364">
        <v>0</v>
      </c>
      <c r="R1364">
        <v>0</v>
      </c>
      <c r="U1364" t="s">
        <v>1687</v>
      </c>
      <c r="V1364">
        <v>46</v>
      </c>
      <c r="W1364" t="s">
        <v>1688</v>
      </c>
      <c r="X1364" t="s">
        <v>111</v>
      </c>
      <c r="Y1364">
        <v>0</v>
      </c>
      <c r="Z1364">
        <v>68.038864154999999</v>
      </c>
      <c r="AB1364" t="s">
        <v>74</v>
      </c>
      <c r="AD1364" t="s">
        <v>57</v>
      </c>
      <c r="AE1364">
        <v>1</v>
      </c>
      <c r="AF1364">
        <v>6</v>
      </c>
      <c r="AG1364">
        <v>1</v>
      </c>
      <c r="AH1364">
        <v>1.5</v>
      </c>
      <c r="AI1364">
        <v>384</v>
      </c>
      <c r="AJ1364">
        <v>384</v>
      </c>
      <c r="AK1364">
        <v>144</v>
      </c>
      <c r="AL1364" t="s">
        <v>1394</v>
      </c>
      <c r="AM1364">
        <v>1.2000000476999999</v>
      </c>
      <c r="AN1364" t="s">
        <v>2146</v>
      </c>
      <c r="AO1364" t="s">
        <v>59</v>
      </c>
      <c r="AP1364" t="s">
        <v>2147</v>
      </c>
      <c r="AQ1364">
        <v>11</v>
      </c>
      <c r="AR1364">
        <v>23</v>
      </c>
      <c r="AS1364">
        <v>59</v>
      </c>
      <c r="AT1364">
        <v>1.62</v>
      </c>
      <c r="AU1364">
        <v>4.57</v>
      </c>
      <c r="AV1364" t="s">
        <v>2148</v>
      </c>
      <c r="AW1364" t="s">
        <v>4952</v>
      </c>
      <c r="AX1364" t="s">
        <v>4953</v>
      </c>
    </row>
    <row r="1365" spans="1:50" x14ac:dyDescent="0.25">
      <c r="A1365" t="s">
        <v>4954</v>
      </c>
      <c r="B1365" t="s">
        <v>1679</v>
      </c>
      <c r="C1365">
        <v>0</v>
      </c>
      <c r="D1365">
        <v>1</v>
      </c>
      <c r="E1365" t="s">
        <v>1703</v>
      </c>
      <c r="H1365">
        <v>1</v>
      </c>
      <c r="N1365">
        <v>1</v>
      </c>
      <c r="Q1365">
        <v>0</v>
      </c>
      <c r="R1365">
        <v>0</v>
      </c>
      <c r="U1365" t="s">
        <v>1687</v>
      </c>
      <c r="V1365">
        <v>50</v>
      </c>
      <c r="W1365" t="s">
        <v>1726</v>
      </c>
      <c r="X1365" t="s">
        <v>80</v>
      </c>
      <c r="Y1365">
        <v>0</v>
      </c>
      <c r="Z1365">
        <v>75.296000000000006</v>
      </c>
      <c r="AB1365" t="s">
        <v>94</v>
      </c>
      <c r="AD1365" t="s">
        <v>57</v>
      </c>
      <c r="AE1365">
        <v>0</v>
      </c>
      <c r="AF1365">
        <v>6</v>
      </c>
      <c r="AG1365">
        <v>1</v>
      </c>
      <c r="AH1365">
        <v>1.5</v>
      </c>
      <c r="AI1365">
        <v>512</v>
      </c>
      <c r="AJ1365">
        <v>512</v>
      </c>
      <c r="AK1365">
        <v>80</v>
      </c>
      <c r="AL1365" t="s">
        <v>81</v>
      </c>
      <c r="AM1365">
        <v>2</v>
      </c>
      <c r="AN1365" t="s">
        <v>996</v>
      </c>
      <c r="AO1365" t="s">
        <v>67</v>
      </c>
      <c r="AP1365" t="s">
        <v>68</v>
      </c>
      <c r="AQ1365">
        <v>15</v>
      </c>
      <c r="AR1365">
        <v>105</v>
      </c>
      <c r="AS1365">
        <v>211</v>
      </c>
      <c r="AT1365">
        <v>4.2</v>
      </c>
      <c r="AU1365">
        <v>7</v>
      </c>
      <c r="AV1365" t="s">
        <v>4955</v>
      </c>
      <c r="AW1365" t="s">
        <v>3495</v>
      </c>
      <c r="AX1365" t="s">
        <v>4956</v>
      </c>
    </row>
    <row r="1366" spans="1:50" x14ac:dyDescent="0.25">
      <c r="A1366" t="s">
        <v>4957</v>
      </c>
      <c r="B1366" t="s">
        <v>1679</v>
      </c>
      <c r="C1366">
        <v>0</v>
      </c>
      <c r="D1366">
        <v>0</v>
      </c>
      <c r="E1366" t="s">
        <v>1680</v>
      </c>
      <c r="H1366">
        <v>0</v>
      </c>
      <c r="N1366">
        <v>1</v>
      </c>
      <c r="Q1366">
        <v>0</v>
      </c>
      <c r="R1366">
        <v>0</v>
      </c>
      <c r="U1366" t="s">
        <v>1687</v>
      </c>
      <c r="V1366">
        <v>35</v>
      </c>
      <c r="W1366" t="s">
        <v>1688</v>
      </c>
      <c r="X1366" t="s">
        <v>80</v>
      </c>
      <c r="Y1366">
        <v>1</v>
      </c>
      <c r="AD1366" t="s">
        <v>57</v>
      </c>
      <c r="AE1366">
        <v>0</v>
      </c>
      <c r="AF1366">
        <v>6</v>
      </c>
      <c r="AG1366">
        <v>1</v>
      </c>
      <c r="AH1366">
        <v>1.5</v>
      </c>
      <c r="AI1366">
        <v>512</v>
      </c>
      <c r="AJ1366">
        <v>512</v>
      </c>
      <c r="AK1366">
        <v>65</v>
      </c>
      <c r="AL1366" t="s">
        <v>153</v>
      </c>
      <c r="AM1366">
        <v>2</v>
      </c>
      <c r="AN1366" t="s">
        <v>1681</v>
      </c>
      <c r="AO1366" t="s">
        <v>67</v>
      </c>
      <c r="AP1366" t="s">
        <v>68</v>
      </c>
      <c r="AQ1366">
        <v>15</v>
      </c>
      <c r="AR1366">
        <v>266</v>
      </c>
      <c r="AS1366">
        <v>533</v>
      </c>
      <c r="AT1366">
        <v>2.62</v>
      </c>
      <c r="AU1366">
        <v>5.8419999999999996</v>
      </c>
      <c r="AV1366" t="s">
        <v>4958</v>
      </c>
      <c r="AW1366" t="s">
        <v>4959</v>
      </c>
      <c r="AX1366" t="s">
        <v>4960</v>
      </c>
    </row>
    <row r="1367" spans="1:50" x14ac:dyDescent="0.25">
      <c r="A1367" t="s">
        <v>4961</v>
      </c>
      <c r="B1367" t="s">
        <v>1679</v>
      </c>
      <c r="C1367">
        <v>0</v>
      </c>
      <c r="D1367">
        <v>0</v>
      </c>
      <c r="E1367" t="s">
        <v>1680</v>
      </c>
      <c r="H1367">
        <v>0</v>
      </c>
      <c r="N1367">
        <v>0</v>
      </c>
      <c r="Q1367">
        <v>0</v>
      </c>
      <c r="R1367">
        <v>1</v>
      </c>
      <c r="U1367" t="s">
        <v>65</v>
      </c>
      <c r="V1367">
        <v>60</v>
      </c>
      <c r="W1367" t="s">
        <v>79</v>
      </c>
      <c r="X1367" t="s">
        <v>80</v>
      </c>
      <c r="Y1367">
        <v>0</v>
      </c>
      <c r="Z1367">
        <v>52</v>
      </c>
      <c r="AB1367" t="s">
        <v>74</v>
      </c>
      <c r="AD1367" t="s">
        <v>57</v>
      </c>
      <c r="AE1367">
        <v>0</v>
      </c>
      <c r="AF1367">
        <v>6</v>
      </c>
      <c r="AG1367">
        <v>1</v>
      </c>
      <c r="AH1367">
        <v>1.5</v>
      </c>
      <c r="AI1367">
        <v>560</v>
      </c>
      <c r="AJ1367">
        <v>560</v>
      </c>
      <c r="AK1367">
        <v>160</v>
      </c>
      <c r="AL1367" t="s">
        <v>4962</v>
      </c>
      <c r="AM1367">
        <v>2</v>
      </c>
      <c r="AN1367" t="s">
        <v>1154</v>
      </c>
      <c r="AO1367" t="s">
        <v>1155</v>
      </c>
      <c r="AP1367" t="s">
        <v>1305</v>
      </c>
      <c r="AQ1367">
        <v>11</v>
      </c>
      <c r="AR1367">
        <v>969</v>
      </c>
      <c r="AS1367">
        <v>1684</v>
      </c>
      <c r="AT1367">
        <v>2.657</v>
      </c>
      <c r="AU1367">
        <v>5.2869999999999999</v>
      </c>
      <c r="AV1367" t="s">
        <v>4963</v>
      </c>
      <c r="AW1367" t="s">
        <v>4964</v>
      </c>
      <c r="AX1367" t="s">
        <v>4965</v>
      </c>
    </row>
    <row r="1368" spans="1:50" x14ac:dyDescent="0.25">
      <c r="A1368" t="s">
        <v>4966</v>
      </c>
      <c r="B1368" t="s">
        <v>1679</v>
      </c>
      <c r="C1368">
        <v>0</v>
      </c>
      <c r="D1368">
        <v>1</v>
      </c>
      <c r="E1368" t="s">
        <v>1740</v>
      </c>
      <c r="H1368">
        <v>0</v>
      </c>
      <c r="N1368">
        <v>0</v>
      </c>
      <c r="Q1368">
        <v>1</v>
      </c>
      <c r="R1368">
        <v>0</v>
      </c>
      <c r="U1368" t="s">
        <v>72</v>
      </c>
      <c r="V1368">
        <v>45</v>
      </c>
      <c r="W1368" t="s">
        <v>1726</v>
      </c>
      <c r="X1368" t="s">
        <v>80</v>
      </c>
      <c r="Y1368">
        <v>0</v>
      </c>
      <c r="Z1368">
        <v>82.554000000000002</v>
      </c>
      <c r="AB1368" t="s">
        <v>118</v>
      </c>
      <c r="AD1368" t="s">
        <v>57</v>
      </c>
      <c r="AE1368">
        <v>0</v>
      </c>
      <c r="AF1368">
        <v>6</v>
      </c>
      <c r="AG1368">
        <v>1</v>
      </c>
      <c r="AH1368">
        <v>1.5</v>
      </c>
      <c r="AI1368">
        <v>512</v>
      </c>
      <c r="AJ1368">
        <v>512</v>
      </c>
      <c r="AK1368">
        <v>80</v>
      </c>
      <c r="AL1368" t="s">
        <v>128</v>
      </c>
      <c r="AM1368">
        <v>2</v>
      </c>
      <c r="AN1368" t="s">
        <v>996</v>
      </c>
      <c r="AO1368" t="s">
        <v>67</v>
      </c>
      <c r="AP1368" t="s">
        <v>68</v>
      </c>
      <c r="AQ1368">
        <v>15</v>
      </c>
      <c r="AR1368">
        <v>65</v>
      </c>
      <c r="AS1368">
        <v>131</v>
      </c>
      <c r="AT1368">
        <v>4.2</v>
      </c>
      <c r="AU1368">
        <v>7</v>
      </c>
      <c r="AV1368" t="s">
        <v>4967</v>
      </c>
      <c r="AW1368" t="s">
        <v>4968</v>
      </c>
      <c r="AX1368" t="s">
        <v>4969</v>
      </c>
    </row>
    <row r="1369" spans="1:50" x14ac:dyDescent="0.25">
      <c r="A1369" t="s">
        <v>4970</v>
      </c>
      <c r="B1369" t="s">
        <v>1679</v>
      </c>
      <c r="C1369">
        <v>0</v>
      </c>
      <c r="D1369">
        <v>0</v>
      </c>
      <c r="E1369" t="s">
        <v>1703</v>
      </c>
      <c r="H1369">
        <v>0</v>
      </c>
      <c r="N1369">
        <v>1</v>
      </c>
      <c r="Q1369">
        <v>0</v>
      </c>
      <c r="R1369">
        <v>0</v>
      </c>
      <c r="U1369" t="s">
        <v>1687</v>
      </c>
      <c r="V1369">
        <v>65</v>
      </c>
      <c r="W1369" t="s">
        <v>79</v>
      </c>
      <c r="X1369" t="s">
        <v>80</v>
      </c>
      <c r="Y1369">
        <v>0</v>
      </c>
      <c r="Z1369">
        <v>90.718000000000004</v>
      </c>
      <c r="AB1369" t="s">
        <v>118</v>
      </c>
      <c r="AD1369" t="s">
        <v>57</v>
      </c>
      <c r="AE1369">
        <v>0</v>
      </c>
      <c r="AF1369">
        <v>6</v>
      </c>
      <c r="AG1369">
        <v>1</v>
      </c>
      <c r="AH1369">
        <v>1.5</v>
      </c>
      <c r="AI1369">
        <v>512</v>
      </c>
      <c r="AJ1369">
        <v>512</v>
      </c>
      <c r="AK1369">
        <v>66</v>
      </c>
      <c r="AL1369" t="s">
        <v>81</v>
      </c>
      <c r="AM1369">
        <v>2.4</v>
      </c>
      <c r="AN1369" t="s">
        <v>1942</v>
      </c>
      <c r="AO1369" t="s">
        <v>67</v>
      </c>
      <c r="AP1369" t="s">
        <v>68</v>
      </c>
      <c r="AQ1369">
        <v>15</v>
      </c>
      <c r="AR1369">
        <v>811</v>
      </c>
      <c r="AS1369">
        <v>1622</v>
      </c>
      <c r="AT1369">
        <v>2.956</v>
      </c>
      <c r="AU1369">
        <v>6.1559999999999997</v>
      </c>
      <c r="AV1369" t="s">
        <v>4971</v>
      </c>
      <c r="AW1369" t="s">
        <v>4972</v>
      </c>
      <c r="AX1369" t="s">
        <v>4973</v>
      </c>
    </row>
    <row r="1370" spans="1:50" x14ac:dyDescent="0.25">
      <c r="A1370" t="s">
        <v>4974</v>
      </c>
      <c r="B1370" t="s">
        <v>1679</v>
      </c>
      <c r="C1370">
        <v>0</v>
      </c>
      <c r="D1370">
        <v>1</v>
      </c>
      <c r="E1370" t="s">
        <v>1725</v>
      </c>
      <c r="H1370">
        <v>1</v>
      </c>
      <c r="N1370">
        <v>1</v>
      </c>
      <c r="Q1370">
        <v>0</v>
      </c>
      <c r="R1370">
        <v>0</v>
      </c>
      <c r="U1370" t="s">
        <v>1687</v>
      </c>
      <c r="V1370">
        <v>40</v>
      </c>
      <c r="W1370" t="s">
        <v>1688</v>
      </c>
      <c r="X1370" t="s">
        <v>80</v>
      </c>
      <c r="Y1370">
        <v>0</v>
      </c>
      <c r="Z1370">
        <v>83.9009913517</v>
      </c>
      <c r="AB1370" t="s">
        <v>118</v>
      </c>
      <c r="AD1370" t="s">
        <v>57</v>
      </c>
      <c r="AE1370">
        <v>1</v>
      </c>
      <c r="AF1370">
        <v>6</v>
      </c>
      <c r="AG1370">
        <v>1</v>
      </c>
      <c r="AH1370">
        <v>1.5</v>
      </c>
      <c r="AI1370">
        <v>384</v>
      </c>
      <c r="AJ1370">
        <v>384</v>
      </c>
      <c r="AK1370">
        <v>176</v>
      </c>
      <c r="AL1370" t="s">
        <v>1727</v>
      </c>
      <c r="AM1370">
        <v>1.1000000238000001</v>
      </c>
      <c r="AN1370" t="s">
        <v>1720</v>
      </c>
      <c r="AO1370" t="s">
        <v>59</v>
      </c>
      <c r="AP1370" t="s">
        <v>60</v>
      </c>
      <c r="AQ1370">
        <v>11</v>
      </c>
      <c r="AR1370">
        <v>191</v>
      </c>
      <c r="AS1370">
        <v>512</v>
      </c>
      <c r="AT1370">
        <v>1.5</v>
      </c>
      <c r="AU1370">
        <v>4.0999999999999996</v>
      </c>
      <c r="AV1370" t="s">
        <v>4975</v>
      </c>
      <c r="AW1370" t="s">
        <v>4976</v>
      </c>
      <c r="AX1370" t="s">
        <v>4977</v>
      </c>
    </row>
    <row r="1371" spans="1:50" x14ac:dyDescent="0.25">
      <c r="A1371" t="s">
        <v>4978</v>
      </c>
      <c r="B1371" t="s">
        <v>1679</v>
      </c>
      <c r="C1371">
        <v>0</v>
      </c>
      <c r="D1371">
        <v>1</v>
      </c>
      <c r="E1371" t="s">
        <v>1725</v>
      </c>
      <c r="H1371">
        <v>0</v>
      </c>
      <c r="N1371">
        <v>1</v>
      </c>
      <c r="Q1371">
        <v>0</v>
      </c>
      <c r="R1371">
        <v>0</v>
      </c>
      <c r="U1371" t="s">
        <v>1687</v>
      </c>
      <c r="V1371">
        <v>57</v>
      </c>
      <c r="X1371" t="s">
        <v>80</v>
      </c>
      <c r="Y1371">
        <v>0</v>
      </c>
      <c r="AD1371" t="s">
        <v>57</v>
      </c>
      <c r="AE1371">
        <v>0</v>
      </c>
      <c r="AF1371">
        <v>6</v>
      </c>
      <c r="AG1371">
        <v>1</v>
      </c>
      <c r="AH1371">
        <v>1.5</v>
      </c>
      <c r="AI1371">
        <v>512</v>
      </c>
      <c r="AJ1371">
        <v>512</v>
      </c>
      <c r="AK1371">
        <v>72</v>
      </c>
      <c r="AL1371" t="s">
        <v>119</v>
      </c>
      <c r="AM1371">
        <v>2.2000000000000002</v>
      </c>
      <c r="AN1371" t="s">
        <v>1072</v>
      </c>
      <c r="AO1371" t="s">
        <v>67</v>
      </c>
      <c r="AP1371" t="s">
        <v>68</v>
      </c>
      <c r="AQ1371">
        <v>15</v>
      </c>
      <c r="AR1371">
        <v>193</v>
      </c>
      <c r="AS1371">
        <v>387</v>
      </c>
      <c r="AT1371">
        <v>4.28</v>
      </c>
      <c r="AU1371">
        <v>8.7479999999999993</v>
      </c>
      <c r="AV1371" t="s">
        <v>4979</v>
      </c>
      <c r="AW1371" t="s">
        <v>4980</v>
      </c>
      <c r="AX1371" t="s">
        <v>4981</v>
      </c>
    </row>
    <row r="1372" spans="1:50" x14ac:dyDescent="0.25">
      <c r="A1372" t="s">
        <v>4982</v>
      </c>
      <c r="B1372" t="s">
        <v>1679</v>
      </c>
      <c r="C1372">
        <v>0</v>
      </c>
      <c r="D1372">
        <v>1</v>
      </c>
      <c r="E1372" t="s">
        <v>1725</v>
      </c>
      <c r="H1372">
        <v>0</v>
      </c>
      <c r="N1372">
        <v>0</v>
      </c>
      <c r="Q1372">
        <v>0</v>
      </c>
      <c r="R1372">
        <v>0</v>
      </c>
      <c r="U1372" t="s">
        <v>65</v>
      </c>
      <c r="V1372">
        <v>60</v>
      </c>
      <c r="X1372" t="s">
        <v>80</v>
      </c>
      <c r="Y1372">
        <v>0</v>
      </c>
      <c r="Z1372">
        <v>68</v>
      </c>
      <c r="AB1372" t="s">
        <v>74</v>
      </c>
      <c r="AD1372" t="s">
        <v>57</v>
      </c>
      <c r="AE1372">
        <v>0</v>
      </c>
      <c r="AF1372">
        <v>6</v>
      </c>
      <c r="AG1372">
        <v>1</v>
      </c>
      <c r="AH1372">
        <v>1.5</v>
      </c>
      <c r="AI1372">
        <v>512</v>
      </c>
      <c r="AJ1372">
        <v>512</v>
      </c>
      <c r="AK1372">
        <v>160</v>
      </c>
      <c r="AL1372" t="s">
        <v>1010</v>
      </c>
      <c r="AM1372">
        <v>2</v>
      </c>
      <c r="AN1372" t="s">
        <v>1154</v>
      </c>
      <c r="AO1372" t="s">
        <v>1155</v>
      </c>
      <c r="AP1372" t="s">
        <v>1305</v>
      </c>
      <c r="AQ1372">
        <v>11</v>
      </c>
      <c r="AR1372">
        <v>634</v>
      </c>
      <c r="AS1372">
        <v>1102</v>
      </c>
      <c r="AT1372">
        <v>2.8140000000000001</v>
      </c>
      <c r="AU1372">
        <v>5.4090999999999996</v>
      </c>
      <c r="AV1372" t="s">
        <v>4983</v>
      </c>
      <c r="AW1372" t="s">
        <v>1731</v>
      </c>
      <c r="AX1372" t="s">
        <v>4984</v>
      </c>
    </row>
    <row r="1373" spans="1:50" x14ac:dyDescent="0.25">
      <c r="A1373" t="s">
        <v>4985</v>
      </c>
      <c r="B1373" t="s">
        <v>1679</v>
      </c>
      <c r="C1373">
        <v>0</v>
      </c>
      <c r="D1373">
        <v>1</v>
      </c>
      <c r="E1373" t="s">
        <v>1686</v>
      </c>
      <c r="H1373">
        <v>1</v>
      </c>
      <c r="N1373">
        <v>0</v>
      </c>
      <c r="Q1373">
        <v>0</v>
      </c>
      <c r="R1373">
        <v>1</v>
      </c>
      <c r="U1373" t="s">
        <v>65</v>
      </c>
      <c r="V1373">
        <v>56</v>
      </c>
      <c r="W1373" t="s">
        <v>79</v>
      </c>
      <c r="X1373" t="s">
        <v>80</v>
      </c>
      <c r="Y1373">
        <v>0</v>
      </c>
      <c r="Z1373">
        <v>72.257999999999996</v>
      </c>
      <c r="AB1373" t="s">
        <v>94</v>
      </c>
      <c r="AD1373" t="s">
        <v>57</v>
      </c>
      <c r="AE1373">
        <v>0</v>
      </c>
      <c r="AF1373">
        <v>6</v>
      </c>
      <c r="AG1373">
        <v>1</v>
      </c>
      <c r="AH1373">
        <v>1.5</v>
      </c>
      <c r="AI1373">
        <v>512</v>
      </c>
      <c r="AJ1373">
        <v>512</v>
      </c>
      <c r="AK1373">
        <v>80</v>
      </c>
      <c r="AL1373" t="s">
        <v>1010</v>
      </c>
      <c r="AM1373">
        <v>2</v>
      </c>
      <c r="AN1373" t="s">
        <v>1011</v>
      </c>
      <c r="AO1373" t="s">
        <v>59</v>
      </c>
      <c r="AP1373" t="s">
        <v>60</v>
      </c>
      <c r="AQ1373">
        <v>11</v>
      </c>
      <c r="AR1373">
        <v>83</v>
      </c>
      <c r="AS1373">
        <v>216</v>
      </c>
      <c r="AT1373">
        <v>1.81</v>
      </c>
      <c r="AU1373">
        <v>4.33</v>
      </c>
      <c r="AV1373" t="s">
        <v>3434</v>
      </c>
      <c r="AW1373" t="s">
        <v>4345</v>
      </c>
      <c r="AX1373" t="s">
        <v>4986</v>
      </c>
    </row>
    <row r="1374" spans="1:50" x14ac:dyDescent="0.25">
      <c r="A1374" t="s">
        <v>4987</v>
      </c>
      <c r="B1374" t="s">
        <v>1679</v>
      </c>
      <c r="C1374">
        <v>1</v>
      </c>
      <c r="D1374">
        <v>1</v>
      </c>
      <c r="E1374" t="s">
        <v>1686</v>
      </c>
      <c r="H1374">
        <v>0</v>
      </c>
      <c r="N1374">
        <v>1</v>
      </c>
      <c r="Q1374">
        <v>0</v>
      </c>
      <c r="R1374">
        <v>0</v>
      </c>
      <c r="U1374" t="s">
        <v>1687</v>
      </c>
      <c r="V1374">
        <v>39</v>
      </c>
      <c r="X1374" t="s">
        <v>80</v>
      </c>
      <c r="Y1374">
        <v>0</v>
      </c>
      <c r="Z1374">
        <v>77.111000000000004</v>
      </c>
      <c r="AB1374" t="s">
        <v>94</v>
      </c>
      <c r="AD1374" t="s">
        <v>57</v>
      </c>
      <c r="AE1374">
        <v>0</v>
      </c>
      <c r="AF1374">
        <v>6</v>
      </c>
      <c r="AG1374">
        <v>1</v>
      </c>
      <c r="AH1374">
        <v>1.5</v>
      </c>
      <c r="AI1374">
        <v>512</v>
      </c>
      <c r="AJ1374">
        <v>512</v>
      </c>
      <c r="AK1374">
        <v>80</v>
      </c>
      <c r="AL1374" t="s">
        <v>66</v>
      </c>
      <c r="AM1374">
        <v>2</v>
      </c>
      <c r="AN1374" t="s">
        <v>1681</v>
      </c>
      <c r="AO1374" t="s">
        <v>67</v>
      </c>
      <c r="AP1374" t="s">
        <v>68</v>
      </c>
      <c r="AQ1374">
        <v>15</v>
      </c>
      <c r="AR1374">
        <v>303</v>
      </c>
      <c r="AS1374">
        <v>607</v>
      </c>
      <c r="AT1374">
        <v>2.6960000000000002</v>
      </c>
      <c r="AU1374">
        <v>6.59</v>
      </c>
      <c r="AV1374" t="s">
        <v>4988</v>
      </c>
      <c r="AW1374" t="s">
        <v>4989</v>
      </c>
      <c r="AX1374" t="s">
        <v>4990</v>
      </c>
    </row>
    <row r="1375" spans="1:50" x14ac:dyDescent="0.25">
      <c r="A1375" t="s">
        <v>4991</v>
      </c>
      <c r="B1375" t="s">
        <v>1679</v>
      </c>
      <c r="C1375">
        <v>0</v>
      </c>
      <c r="D1375">
        <v>0</v>
      </c>
      <c r="E1375" t="s">
        <v>1740</v>
      </c>
      <c r="H1375">
        <v>0</v>
      </c>
      <c r="N1375">
        <v>0</v>
      </c>
      <c r="Q1375">
        <v>1</v>
      </c>
      <c r="R1375">
        <v>0</v>
      </c>
      <c r="U1375" t="s">
        <v>72</v>
      </c>
      <c r="V1375">
        <v>58</v>
      </c>
      <c r="W1375" t="s">
        <v>79</v>
      </c>
      <c r="X1375" t="s">
        <v>80</v>
      </c>
      <c r="Y1375">
        <v>0</v>
      </c>
      <c r="Z1375">
        <v>99.79</v>
      </c>
      <c r="AB1375" t="s">
        <v>56</v>
      </c>
      <c r="AD1375" t="s">
        <v>57</v>
      </c>
      <c r="AE1375">
        <v>0</v>
      </c>
      <c r="AF1375">
        <v>6</v>
      </c>
      <c r="AG1375">
        <v>1</v>
      </c>
      <c r="AH1375">
        <v>1.5</v>
      </c>
      <c r="AI1375">
        <v>512</v>
      </c>
      <c r="AJ1375">
        <v>512</v>
      </c>
      <c r="AK1375">
        <v>66</v>
      </c>
      <c r="AL1375" t="s">
        <v>81</v>
      </c>
      <c r="AM1375">
        <v>2.4</v>
      </c>
      <c r="AN1375" t="s">
        <v>1942</v>
      </c>
      <c r="AO1375" t="s">
        <v>67</v>
      </c>
      <c r="AP1375" t="s">
        <v>68</v>
      </c>
      <c r="AQ1375">
        <v>15</v>
      </c>
      <c r="AR1375">
        <v>294</v>
      </c>
      <c r="AS1375">
        <v>589</v>
      </c>
      <c r="AT1375">
        <v>2.96</v>
      </c>
      <c r="AU1375">
        <v>6.1760000000000002</v>
      </c>
      <c r="AV1375" t="s">
        <v>4992</v>
      </c>
      <c r="AW1375" t="s">
        <v>4993</v>
      </c>
      <c r="AX1375" t="s">
        <v>4994</v>
      </c>
    </row>
    <row r="1376" spans="1:50" x14ac:dyDescent="0.25">
      <c r="A1376" t="s">
        <v>4995</v>
      </c>
      <c r="B1376" t="s">
        <v>1679</v>
      </c>
      <c r="C1376">
        <v>0</v>
      </c>
      <c r="D1376">
        <v>1</v>
      </c>
      <c r="E1376" t="s">
        <v>1680</v>
      </c>
      <c r="H1376">
        <v>0</v>
      </c>
      <c r="N1376">
        <v>1</v>
      </c>
      <c r="Q1376">
        <v>0</v>
      </c>
      <c r="R1376">
        <v>0</v>
      </c>
      <c r="U1376" t="s">
        <v>1687</v>
      </c>
      <c r="V1376">
        <v>67</v>
      </c>
      <c r="X1376" t="s">
        <v>80</v>
      </c>
      <c r="Y1376">
        <v>1</v>
      </c>
      <c r="AD1376" t="s">
        <v>57</v>
      </c>
      <c r="AE1376">
        <v>0</v>
      </c>
      <c r="AF1376">
        <v>6</v>
      </c>
      <c r="AG1376">
        <v>1</v>
      </c>
      <c r="AH1376">
        <v>1.5</v>
      </c>
      <c r="AI1376">
        <v>512</v>
      </c>
      <c r="AJ1376">
        <v>512</v>
      </c>
      <c r="AK1376">
        <v>72</v>
      </c>
      <c r="AL1376" t="s">
        <v>119</v>
      </c>
      <c r="AM1376">
        <v>2.2000000000000002</v>
      </c>
      <c r="AN1376" t="s">
        <v>1072</v>
      </c>
      <c r="AO1376" t="s">
        <v>67</v>
      </c>
      <c r="AP1376" t="s">
        <v>68</v>
      </c>
      <c r="AQ1376">
        <v>15</v>
      </c>
      <c r="AR1376">
        <v>194</v>
      </c>
      <c r="AS1376">
        <v>389</v>
      </c>
      <c r="AT1376">
        <v>4.2359999999999998</v>
      </c>
      <c r="AU1376">
        <v>8.6639999999999997</v>
      </c>
      <c r="AV1376" t="s">
        <v>4996</v>
      </c>
      <c r="AW1376" t="s">
        <v>4341</v>
      </c>
      <c r="AX1376" t="s">
        <v>4997</v>
      </c>
    </row>
    <row r="1377" spans="1:50" x14ac:dyDescent="0.25">
      <c r="A1377" t="s">
        <v>4998</v>
      </c>
      <c r="B1377" t="s">
        <v>1679</v>
      </c>
      <c r="C1377">
        <v>0</v>
      </c>
      <c r="D1377">
        <v>1</v>
      </c>
      <c r="E1377" t="s">
        <v>1680</v>
      </c>
      <c r="H1377">
        <v>0</v>
      </c>
      <c r="N1377">
        <v>1</v>
      </c>
      <c r="Q1377">
        <v>0</v>
      </c>
      <c r="R1377">
        <v>0</v>
      </c>
      <c r="U1377" t="s">
        <v>1687</v>
      </c>
      <c r="V1377">
        <v>39</v>
      </c>
      <c r="X1377" t="s">
        <v>80</v>
      </c>
      <c r="Y1377">
        <v>0</v>
      </c>
      <c r="Z1377">
        <v>60</v>
      </c>
      <c r="AB1377" t="s">
        <v>74</v>
      </c>
      <c r="AD1377" t="s">
        <v>57</v>
      </c>
      <c r="AE1377">
        <v>0</v>
      </c>
      <c r="AF1377">
        <v>6</v>
      </c>
      <c r="AG1377">
        <v>1</v>
      </c>
      <c r="AH1377">
        <v>1.5</v>
      </c>
      <c r="AI1377">
        <v>512</v>
      </c>
      <c r="AJ1377">
        <v>512</v>
      </c>
      <c r="AK1377">
        <v>158</v>
      </c>
      <c r="AL1377" t="s">
        <v>1876</v>
      </c>
      <c r="AM1377">
        <v>2</v>
      </c>
      <c r="AN1377" t="s">
        <v>1877</v>
      </c>
      <c r="AO1377" t="s">
        <v>1155</v>
      </c>
      <c r="AP1377" t="s">
        <v>1767</v>
      </c>
      <c r="AQ1377">
        <v>11</v>
      </c>
      <c r="AR1377">
        <v>411</v>
      </c>
      <c r="AS1377">
        <v>715</v>
      </c>
      <c r="AT1377">
        <v>3.5449999999999999</v>
      </c>
      <c r="AU1377">
        <v>7.1868999999999996</v>
      </c>
      <c r="AV1377" t="s">
        <v>4999</v>
      </c>
      <c r="AW1377" t="s">
        <v>5000</v>
      </c>
      <c r="AX1377" t="s">
        <v>5001</v>
      </c>
    </row>
    <row r="1378" spans="1:50" x14ac:dyDescent="0.25">
      <c r="A1378" t="s">
        <v>5002</v>
      </c>
      <c r="B1378" t="s">
        <v>1679</v>
      </c>
      <c r="C1378">
        <v>0</v>
      </c>
      <c r="D1378">
        <v>0</v>
      </c>
      <c r="E1378" t="s">
        <v>1725</v>
      </c>
      <c r="H1378">
        <v>0</v>
      </c>
      <c r="N1378">
        <v>0</v>
      </c>
      <c r="Q1378">
        <v>0</v>
      </c>
      <c r="R1378">
        <v>1</v>
      </c>
      <c r="U1378" t="s">
        <v>65</v>
      </c>
      <c r="V1378">
        <v>38</v>
      </c>
      <c r="W1378" t="s">
        <v>1688</v>
      </c>
      <c r="X1378" t="s">
        <v>80</v>
      </c>
      <c r="Y1378">
        <v>0</v>
      </c>
      <c r="Z1378">
        <v>58.966999999999999</v>
      </c>
      <c r="AB1378" t="s">
        <v>74</v>
      </c>
      <c r="AD1378" t="s">
        <v>57</v>
      </c>
      <c r="AE1378">
        <v>0</v>
      </c>
      <c r="AF1378">
        <v>6</v>
      </c>
      <c r="AG1378">
        <v>1</v>
      </c>
      <c r="AH1378">
        <v>1.5</v>
      </c>
      <c r="AI1378">
        <v>512</v>
      </c>
      <c r="AJ1378">
        <v>512</v>
      </c>
      <c r="AK1378">
        <v>80</v>
      </c>
      <c r="AL1378" t="s">
        <v>153</v>
      </c>
      <c r="AM1378">
        <v>2</v>
      </c>
      <c r="AN1378" t="s">
        <v>996</v>
      </c>
      <c r="AO1378" t="s">
        <v>67</v>
      </c>
      <c r="AP1378" t="s">
        <v>68</v>
      </c>
      <c r="AQ1378">
        <v>15</v>
      </c>
      <c r="AR1378">
        <v>140</v>
      </c>
      <c r="AS1378">
        <v>280</v>
      </c>
      <c r="AT1378">
        <v>4.2</v>
      </c>
      <c r="AU1378">
        <v>7</v>
      </c>
      <c r="AV1378" t="s">
        <v>5003</v>
      </c>
      <c r="AW1378" t="s">
        <v>2660</v>
      </c>
      <c r="AX1378" t="s">
        <v>5004</v>
      </c>
    </row>
    <row r="1379" spans="1:50" x14ac:dyDescent="0.25">
      <c r="A1379" t="s">
        <v>5005</v>
      </c>
      <c r="B1379" t="s">
        <v>1679</v>
      </c>
      <c r="C1379">
        <v>0</v>
      </c>
      <c r="D1379">
        <v>0</v>
      </c>
      <c r="E1379" t="s">
        <v>1703</v>
      </c>
      <c r="H1379">
        <v>0</v>
      </c>
      <c r="N1379">
        <v>0</v>
      </c>
      <c r="Q1379">
        <v>0</v>
      </c>
      <c r="R1379">
        <v>1</v>
      </c>
      <c r="U1379" t="s">
        <v>65</v>
      </c>
      <c r="V1379">
        <v>65</v>
      </c>
      <c r="W1379" t="s">
        <v>79</v>
      </c>
      <c r="X1379" t="s">
        <v>80</v>
      </c>
      <c r="Y1379">
        <v>0</v>
      </c>
      <c r="AD1379" t="s">
        <v>57</v>
      </c>
      <c r="AE1379">
        <v>0</v>
      </c>
      <c r="AF1379">
        <v>6</v>
      </c>
      <c r="AG1379">
        <v>1</v>
      </c>
      <c r="AH1379">
        <v>1.5</v>
      </c>
      <c r="AI1379">
        <v>512</v>
      </c>
      <c r="AJ1379">
        <v>512</v>
      </c>
      <c r="AK1379">
        <v>72</v>
      </c>
      <c r="AL1379" t="s">
        <v>119</v>
      </c>
      <c r="AM1379">
        <v>2.2000000000000002</v>
      </c>
      <c r="AN1379" t="s">
        <v>1072</v>
      </c>
      <c r="AO1379" t="s">
        <v>67</v>
      </c>
      <c r="AP1379" t="s">
        <v>68</v>
      </c>
      <c r="AQ1379">
        <v>15</v>
      </c>
      <c r="AR1379">
        <v>316</v>
      </c>
      <c r="AS1379">
        <v>633</v>
      </c>
      <c r="AT1379">
        <v>4.2359999999999998</v>
      </c>
      <c r="AU1379">
        <v>8.6679999999999993</v>
      </c>
      <c r="AV1379" t="s">
        <v>1809</v>
      </c>
      <c r="AW1379" t="s">
        <v>4444</v>
      </c>
      <c r="AX1379" t="s">
        <v>5006</v>
      </c>
    </row>
    <row r="1380" spans="1:50" x14ac:dyDescent="0.25">
      <c r="A1380" t="s">
        <v>5007</v>
      </c>
      <c r="B1380" t="s">
        <v>1679</v>
      </c>
      <c r="C1380">
        <v>0</v>
      </c>
      <c r="D1380">
        <v>1</v>
      </c>
      <c r="E1380" t="s">
        <v>1734</v>
      </c>
      <c r="H1380">
        <v>1</v>
      </c>
      <c r="N1380">
        <v>0</v>
      </c>
      <c r="Q1380">
        <v>1</v>
      </c>
      <c r="R1380">
        <v>1</v>
      </c>
      <c r="U1380" t="s">
        <v>72</v>
      </c>
      <c r="V1380">
        <v>55</v>
      </c>
      <c r="W1380" t="s">
        <v>79</v>
      </c>
      <c r="X1380" t="s">
        <v>80</v>
      </c>
      <c r="Y1380">
        <v>0</v>
      </c>
      <c r="AD1380" t="s">
        <v>57</v>
      </c>
      <c r="AE1380">
        <v>0</v>
      </c>
      <c r="AF1380">
        <v>6</v>
      </c>
      <c r="AG1380">
        <v>1</v>
      </c>
      <c r="AH1380">
        <v>1.5</v>
      </c>
      <c r="AI1380">
        <v>512</v>
      </c>
      <c r="AJ1380">
        <v>512</v>
      </c>
      <c r="AK1380">
        <v>72</v>
      </c>
      <c r="AL1380" t="s">
        <v>196</v>
      </c>
      <c r="AM1380">
        <v>2.2000000000000002</v>
      </c>
      <c r="AN1380" t="s">
        <v>1072</v>
      </c>
      <c r="AO1380" t="s">
        <v>67</v>
      </c>
      <c r="AP1380" t="s">
        <v>68</v>
      </c>
      <c r="AQ1380">
        <v>15</v>
      </c>
      <c r="AR1380">
        <v>357</v>
      </c>
      <c r="AS1380">
        <v>715</v>
      </c>
      <c r="AT1380">
        <v>4.3360000000000003</v>
      </c>
      <c r="AU1380">
        <v>8.8520000000000003</v>
      </c>
      <c r="AV1380" t="s">
        <v>5008</v>
      </c>
      <c r="AW1380" t="s">
        <v>4683</v>
      </c>
      <c r="AX1380" t="s">
        <v>5009</v>
      </c>
    </row>
    <row r="1381" spans="1:50" x14ac:dyDescent="0.25">
      <c r="A1381" t="s">
        <v>5010</v>
      </c>
      <c r="B1381" t="s">
        <v>1679</v>
      </c>
      <c r="C1381">
        <v>0</v>
      </c>
      <c r="D1381">
        <v>0</v>
      </c>
      <c r="E1381" t="s">
        <v>1740</v>
      </c>
      <c r="H1381">
        <v>0</v>
      </c>
      <c r="N1381">
        <v>1</v>
      </c>
      <c r="Q1381">
        <v>1</v>
      </c>
      <c r="R1381">
        <v>0</v>
      </c>
      <c r="U1381" t="s">
        <v>1735</v>
      </c>
      <c r="V1381">
        <v>44</v>
      </c>
      <c r="W1381" t="s">
        <v>1704</v>
      </c>
      <c r="X1381" t="s">
        <v>80</v>
      </c>
      <c r="Y1381">
        <v>0</v>
      </c>
      <c r="AD1381" t="s">
        <v>57</v>
      </c>
      <c r="AE1381">
        <v>0</v>
      </c>
      <c r="AF1381">
        <v>5</v>
      </c>
      <c r="AG1381">
        <v>1</v>
      </c>
      <c r="AH1381">
        <v>3</v>
      </c>
      <c r="AI1381">
        <v>512</v>
      </c>
      <c r="AJ1381">
        <v>512</v>
      </c>
      <c r="AK1381">
        <v>116</v>
      </c>
      <c r="AL1381" t="s">
        <v>81</v>
      </c>
      <c r="AM1381">
        <v>2.4</v>
      </c>
      <c r="AN1381" t="s">
        <v>1786</v>
      </c>
      <c r="AO1381" t="s">
        <v>67</v>
      </c>
      <c r="AP1381" t="s">
        <v>68</v>
      </c>
      <c r="AQ1381">
        <v>15</v>
      </c>
      <c r="AR1381">
        <v>390</v>
      </c>
      <c r="AS1381">
        <v>780</v>
      </c>
      <c r="AT1381">
        <v>4.25</v>
      </c>
      <c r="AU1381">
        <v>7.8789999999999996</v>
      </c>
      <c r="AV1381" t="s">
        <v>5011</v>
      </c>
      <c r="AW1381" t="s">
        <v>2172</v>
      </c>
      <c r="AX1381" t="s">
        <v>5012</v>
      </c>
    </row>
    <row r="1382" spans="1:50" x14ac:dyDescent="0.25">
      <c r="A1382" t="s">
        <v>5013</v>
      </c>
      <c r="B1382" t="s">
        <v>1679</v>
      </c>
      <c r="C1382">
        <v>0</v>
      </c>
      <c r="D1382">
        <v>1</v>
      </c>
      <c r="E1382" t="s">
        <v>1725</v>
      </c>
      <c r="H1382">
        <v>1</v>
      </c>
      <c r="N1382">
        <v>1</v>
      </c>
      <c r="Q1382">
        <v>0</v>
      </c>
      <c r="R1382">
        <v>0</v>
      </c>
      <c r="U1382" t="s">
        <v>1687</v>
      </c>
      <c r="V1382">
        <v>45</v>
      </c>
      <c r="W1382" t="s">
        <v>1688</v>
      </c>
      <c r="X1382" t="s">
        <v>1211</v>
      </c>
      <c r="Y1382">
        <v>0</v>
      </c>
      <c r="Z1382">
        <v>58.06</v>
      </c>
      <c r="AB1382" t="s">
        <v>74</v>
      </c>
      <c r="AD1382" t="s">
        <v>57</v>
      </c>
      <c r="AE1382">
        <v>0</v>
      </c>
      <c r="AF1382">
        <v>6</v>
      </c>
      <c r="AG1382">
        <v>1</v>
      </c>
      <c r="AH1382">
        <v>1.5</v>
      </c>
      <c r="AI1382">
        <v>512</v>
      </c>
      <c r="AJ1382">
        <v>512</v>
      </c>
      <c r="AK1382">
        <v>80</v>
      </c>
      <c r="AL1382" t="s">
        <v>497</v>
      </c>
      <c r="AM1382">
        <v>2</v>
      </c>
      <c r="AN1382" t="s">
        <v>996</v>
      </c>
      <c r="AO1382" t="s">
        <v>67</v>
      </c>
      <c r="AP1382" t="s">
        <v>68</v>
      </c>
      <c r="AQ1382">
        <v>15</v>
      </c>
      <c r="AR1382">
        <v>145</v>
      </c>
      <c r="AS1382">
        <v>291</v>
      </c>
      <c r="AT1382">
        <v>4.2</v>
      </c>
      <c r="AU1382">
        <v>7.0359999999999996</v>
      </c>
      <c r="AV1382" t="s">
        <v>5014</v>
      </c>
      <c r="AW1382" t="s">
        <v>1851</v>
      </c>
      <c r="AX1382" t="s">
        <v>5015</v>
      </c>
    </row>
    <row r="1383" spans="1:50" x14ac:dyDescent="0.25">
      <c r="A1383" t="s">
        <v>5016</v>
      </c>
      <c r="B1383" t="s">
        <v>1679</v>
      </c>
      <c r="C1383">
        <v>0</v>
      </c>
      <c r="D1383">
        <v>1</v>
      </c>
      <c r="E1383" t="s">
        <v>1686</v>
      </c>
      <c r="H1383">
        <v>0</v>
      </c>
      <c r="N1383">
        <v>1</v>
      </c>
      <c r="Q1383">
        <v>0</v>
      </c>
      <c r="R1383">
        <v>1</v>
      </c>
      <c r="U1383" t="s">
        <v>1687</v>
      </c>
      <c r="V1383">
        <v>34</v>
      </c>
      <c r="W1383" t="s">
        <v>1688</v>
      </c>
      <c r="X1383" t="s">
        <v>80</v>
      </c>
      <c r="Y1383">
        <v>0</v>
      </c>
      <c r="Z1383">
        <v>58.966999999999999</v>
      </c>
      <c r="AB1383" t="s">
        <v>74</v>
      </c>
      <c r="AD1383" t="s">
        <v>57</v>
      </c>
      <c r="AE1383">
        <v>0</v>
      </c>
      <c r="AF1383">
        <v>6</v>
      </c>
      <c r="AG1383">
        <v>1</v>
      </c>
      <c r="AH1383">
        <v>3</v>
      </c>
      <c r="AI1383">
        <v>512</v>
      </c>
      <c r="AJ1383">
        <v>512</v>
      </c>
      <c r="AK1383">
        <v>134</v>
      </c>
      <c r="AL1383" t="s">
        <v>81</v>
      </c>
      <c r="AM1383">
        <v>2.4</v>
      </c>
      <c r="AN1383" t="s">
        <v>1786</v>
      </c>
      <c r="AO1383" t="s">
        <v>67</v>
      </c>
      <c r="AP1383" t="s">
        <v>68</v>
      </c>
      <c r="AQ1383">
        <v>15</v>
      </c>
      <c r="AR1383">
        <v>450</v>
      </c>
      <c r="AS1383">
        <v>901</v>
      </c>
      <c r="AT1383">
        <v>2.8479999999999999</v>
      </c>
      <c r="AU1383">
        <v>7.7619999999999996</v>
      </c>
      <c r="AV1383" t="s">
        <v>5017</v>
      </c>
      <c r="AW1383" t="s">
        <v>4658</v>
      </c>
      <c r="AX1383" t="s">
        <v>5018</v>
      </c>
    </row>
    <row r="1384" spans="1:50" x14ac:dyDescent="0.25">
      <c r="A1384" t="s">
        <v>5019</v>
      </c>
      <c r="B1384" t="s">
        <v>1679</v>
      </c>
      <c r="C1384">
        <v>0</v>
      </c>
      <c r="D1384">
        <v>0</v>
      </c>
      <c r="E1384" t="s">
        <v>1703</v>
      </c>
      <c r="H1384">
        <v>0</v>
      </c>
      <c r="N1384">
        <v>1</v>
      </c>
      <c r="Q1384">
        <v>0</v>
      </c>
      <c r="R1384">
        <v>1</v>
      </c>
      <c r="U1384" t="s">
        <v>1687</v>
      </c>
      <c r="V1384">
        <v>24</v>
      </c>
      <c r="W1384" t="s">
        <v>1726</v>
      </c>
      <c r="X1384" t="s">
        <v>80</v>
      </c>
      <c r="Y1384">
        <v>0</v>
      </c>
      <c r="Z1384">
        <v>85.275000000000006</v>
      </c>
      <c r="AB1384" t="s">
        <v>118</v>
      </c>
      <c r="AD1384" t="s">
        <v>57</v>
      </c>
      <c r="AE1384">
        <v>0</v>
      </c>
      <c r="AF1384">
        <v>6</v>
      </c>
      <c r="AG1384">
        <v>1</v>
      </c>
      <c r="AH1384">
        <v>1.5</v>
      </c>
      <c r="AI1384">
        <v>512</v>
      </c>
      <c r="AJ1384">
        <v>512</v>
      </c>
      <c r="AK1384">
        <v>80</v>
      </c>
      <c r="AL1384" t="s">
        <v>196</v>
      </c>
      <c r="AM1384">
        <v>2</v>
      </c>
      <c r="AN1384" t="s">
        <v>996</v>
      </c>
      <c r="AO1384" t="s">
        <v>67</v>
      </c>
      <c r="AP1384" t="s">
        <v>114</v>
      </c>
      <c r="AQ1384">
        <v>15</v>
      </c>
      <c r="AR1384">
        <v>187</v>
      </c>
      <c r="AS1384">
        <v>374</v>
      </c>
      <c r="AT1384">
        <v>4.3360000000000003</v>
      </c>
      <c r="AU1384">
        <v>8.84</v>
      </c>
      <c r="AV1384" t="s">
        <v>5020</v>
      </c>
      <c r="AW1384" t="s">
        <v>5021</v>
      </c>
      <c r="AX1384" t="s">
        <v>5022</v>
      </c>
    </row>
    <row r="1385" spans="1:50" x14ac:dyDescent="0.25">
      <c r="A1385" t="s">
        <v>5023</v>
      </c>
      <c r="B1385" t="s">
        <v>1679</v>
      </c>
      <c r="C1385">
        <v>0</v>
      </c>
      <c r="D1385">
        <v>1</v>
      </c>
      <c r="E1385" t="s">
        <v>1780</v>
      </c>
      <c r="H1385">
        <v>0</v>
      </c>
      <c r="N1385">
        <v>0</v>
      </c>
      <c r="Q1385">
        <v>0</v>
      </c>
      <c r="R1385">
        <v>0</v>
      </c>
      <c r="U1385" t="s">
        <v>65</v>
      </c>
      <c r="V1385">
        <v>70</v>
      </c>
      <c r="W1385" t="s">
        <v>79</v>
      </c>
      <c r="X1385" t="s">
        <v>80</v>
      </c>
      <c r="Y1385">
        <v>0</v>
      </c>
      <c r="Z1385">
        <v>73.291464467799997</v>
      </c>
      <c r="AB1385" t="s">
        <v>94</v>
      </c>
      <c r="AD1385" t="s">
        <v>57</v>
      </c>
      <c r="AE1385">
        <v>0</v>
      </c>
      <c r="AF1385">
        <v>6</v>
      </c>
      <c r="AG1385">
        <v>1</v>
      </c>
      <c r="AH1385">
        <v>1.5</v>
      </c>
      <c r="AI1385">
        <v>256</v>
      </c>
      <c r="AJ1385">
        <v>256</v>
      </c>
      <c r="AK1385">
        <v>160</v>
      </c>
      <c r="AL1385" t="s">
        <v>5024</v>
      </c>
      <c r="AM1385">
        <v>1</v>
      </c>
      <c r="AN1385" t="s">
        <v>1720</v>
      </c>
      <c r="AO1385" t="s">
        <v>59</v>
      </c>
      <c r="AP1385" t="s">
        <v>60</v>
      </c>
      <c r="AQ1385">
        <v>11</v>
      </c>
      <c r="AR1385">
        <v>80</v>
      </c>
      <c r="AS1385">
        <v>213</v>
      </c>
      <c r="AT1385">
        <v>1.4</v>
      </c>
      <c r="AU1385">
        <v>4.99</v>
      </c>
      <c r="AV1385" t="s">
        <v>5025</v>
      </c>
      <c r="AW1385" t="s">
        <v>5026</v>
      </c>
      <c r="AX1385" t="s">
        <v>5027</v>
      </c>
    </row>
    <row r="1386" spans="1:50" x14ac:dyDescent="0.25">
      <c r="A1386" t="s">
        <v>5028</v>
      </c>
      <c r="B1386" t="s">
        <v>1679</v>
      </c>
      <c r="C1386">
        <v>0</v>
      </c>
      <c r="D1386">
        <v>1</v>
      </c>
      <c r="E1386" t="s">
        <v>1703</v>
      </c>
      <c r="H1386">
        <v>0</v>
      </c>
      <c r="N1386">
        <v>0</v>
      </c>
      <c r="Q1386">
        <v>0</v>
      </c>
      <c r="R1386">
        <v>1</v>
      </c>
      <c r="U1386" t="s">
        <v>65</v>
      </c>
      <c r="V1386">
        <v>32</v>
      </c>
      <c r="W1386" t="s">
        <v>1688</v>
      </c>
      <c r="X1386" t="s">
        <v>321</v>
      </c>
      <c r="Y1386">
        <v>0</v>
      </c>
      <c r="Z1386">
        <v>81.650000000000006</v>
      </c>
      <c r="AB1386" t="s">
        <v>94</v>
      </c>
      <c r="AD1386" t="s">
        <v>57</v>
      </c>
      <c r="AE1386">
        <v>0</v>
      </c>
      <c r="AF1386">
        <v>6</v>
      </c>
      <c r="AG1386">
        <v>1</v>
      </c>
      <c r="AH1386">
        <v>1.5</v>
      </c>
      <c r="AI1386">
        <v>512</v>
      </c>
      <c r="AJ1386">
        <v>512</v>
      </c>
      <c r="AK1386">
        <v>80</v>
      </c>
      <c r="AL1386" t="s">
        <v>81</v>
      </c>
      <c r="AM1386">
        <v>2</v>
      </c>
      <c r="AN1386" t="s">
        <v>996</v>
      </c>
      <c r="AO1386" t="s">
        <v>67</v>
      </c>
      <c r="AP1386" t="s">
        <v>68</v>
      </c>
      <c r="AQ1386">
        <v>15</v>
      </c>
      <c r="AR1386">
        <v>54</v>
      </c>
      <c r="AS1386">
        <v>109</v>
      </c>
      <c r="AT1386">
        <v>4.2</v>
      </c>
      <c r="AU1386">
        <v>7.0039999999999996</v>
      </c>
      <c r="AV1386" t="s">
        <v>5029</v>
      </c>
      <c r="AW1386" t="s">
        <v>5030</v>
      </c>
      <c r="AX1386" t="s">
        <v>5031</v>
      </c>
    </row>
    <row r="1387" spans="1:50" x14ac:dyDescent="0.25">
      <c r="A1387" t="s">
        <v>5032</v>
      </c>
      <c r="B1387" t="s">
        <v>1679</v>
      </c>
      <c r="C1387">
        <v>0</v>
      </c>
      <c r="D1387">
        <v>1</v>
      </c>
      <c r="E1387" t="s">
        <v>1703</v>
      </c>
      <c r="H1387">
        <v>0</v>
      </c>
      <c r="N1387">
        <v>0</v>
      </c>
      <c r="Q1387">
        <v>0</v>
      </c>
      <c r="R1387">
        <v>1</v>
      </c>
      <c r="U1387" t="s">
        <v>65</v>
      </c>
      <c r="V1387">
        <v>65</v>
      </c>
      <c r="W1387" t="s">
        <v>79</v>
      </c>
      <c r="X1387" t="s">
        <v>80</v>
      </c>
      <c r="Y1387">
        <v>0</v>
      </c>
      <c r="AD1387" t="s">
        <v>57</v>
      </c>
      <c r="AE1387">
        <v>0</v>
      </c>
      <c r="AF1387">
        <v>6</v>
      </c>
      <c r="AG1387">
        <v>1</v>
      </c>
      <c r="AH1387">
        <v>1.5</v>
      </c>
      <c r="AI1387">
        <v>512</v>
      </c>
      <c r="AJ1387">
        <v>512</v>
      </c>
      <c r="AK1387">
        <v>64</v>
      </c>
      <c r="AL1387" t="s">
        <v>81</v>
      </c>
      <c r="AM1387">
        <v>2.5</v>
      </c>
      <c r="AN1387" t="s">
        <v>1705</v>
      </c>
      <c r="AO1387" t="s">
        <v>67</v>
      </c>
      <c r="AP1387" t="s">
        <v>89</v>
      </c>
      <c r="AQ1387">
        <v>15</v>
      </c>
      <c r="AR1387">
        <v>244</v>
      </c>
      <c r="AS1387">
        <v>488</v>
      </c>
      <c r="AT1387">
        <v>2.528</v>
      </c>
      <c r="AU1387">
        <v>5.3540000000000001</v>
      </c>
      <c r="AV1387" t="s">
        <v>5033</v>
      </c>
      <c r="AW1387" t="s">
        <v>3398</v>
      </c>
      <c r="AX1387" t="s">
        <v>5034</v>
      </c>
    </row>
    <row r="1388" spans="1:50" x14ac:dyDescent="0.25">
      <c r="A1388" t="s">
        <v>5035</v>
      </c>
      <c r="B1388" t="s">
        <v>1679</v>
      </c>
      <c r="C1388">
        <v>0</v>
      </c>
      <c r="D1388">
        <v>1</v>
      </c>
      <c r="E1388" t="s">
        <v>1703</v>
      </c>
      <c r="H1388">
        <v>0</v>
      </c>
      <c r="N1388">
        <v>1</v>
      </c>
      <c r="Q1388">
        <v>0</v>
      </c>
      <c r="R1388">
        <v>1</v>
      </c>
      <c r="U1388" t="s">
        <v>1687</v>
      </c>
      <c r="V1388">
        <v>57</v>
      </c>
      <c r="W1388" t="s">
        <v>79</v>
      </c>
      <c r="X1388" t="s">
        <v>80</v>
      </c>
      <c r="Y1388">
        <v>0</v>
      </c>
      <c r="Z1388">
        <v>78.018000000000001</v>
      </c>
      <c r="AB1388" t="s">
        <v>94</v>
      </c>
      <c r="AD1388" t="s">
        <v>57</v>
      </c>
      <c r="AE1388">
        <v>0</v>
      </c>
      <c r="AF1388">
        <v>6</v>
      </c>
      <c r="AG1388">
        <v>1</v>
      </c>
      <c r="AH1388">
        <v>3</v>
      </c>
      <c r="AI1388">
        <v>512</v>
      </c>
      <c r="AJ1388">
        <v>512</v>
      </c>
      <c r="AK1388">
        <v>80</v>
      </c>
      <c r="AL1388" t="s">
        <v>66</v>
      </c>
      <c r="AM1388">
        <v>2</v>
      </c>
      <c r="AN1388" t="s">
        <v>1915</v>
      </c>
      <c r="AO1388" t="s">
        <v>67</v>
      </c>
      <c r="AP1388" t="s">
        <v>68</v>
      </c>
      <c r="AQ1388">
        <v>15</v>
      </c>
      <c r="AR1388">
        <v>347</v>
      </c>
      <c r="AS1388">
        <v>695</v>
      </c>
      <c r="AT1388">
        <v>2.1760000000000002</v>
      </c>
      <c r="AU1388">
        <v>5.5060000000000002</v>
      </c>
      <c r="AV1388" t="s">
        <v>5036</v>
      </c>
      <c r="AW1388" t="s">
        <v>5037</v>
      </c>
      <c r="AX1388" t="s">
        <v>5038</v>
      </c>
    </row>
    <row r="1389" spans="1:50" x14ac:dyDescent="0.25">
      <c r="A1389" t="s">
        <v>5039</v>
      </c>
      <c r="B1389" t="s">
        <v>1679</v>
      </c>
      <c r="C1389">
        <v>0</v>
      </c>
      <c r="D1389">
        <v>1</v>
      </c>
      <c r="E1389" t="s">
        <v>1686</v>
      </c>
      <c r="H1389">
        <v>1</v>
      </c>
      <c r="N1389">
        <v>1</v>
      </c>
      <c r="Q1389">
        <v>0</v>
      </c>
      <c r="R1389">
        <v>0</v>
      </c>
      <c r="U1389" t="s">
        <v>1687</v>
      </c>
      <c r="V1389">
        <v>44</v>
      </c>
      <c r="W1389" t="s">
        <v>1688</v>
      </c>
      <c r="X1389" t="s">
        <v>80</v>
      </c>
      <c r="Y1389">
        <v>0</v>
      </c>
      <c r="Z1389">
        <v>68.039000000000001</v>
      </c>
      <c r="AB1389" t="s">
        <v>74</v>
      </c>
      <c r="AD1389" t="s">
        <v>57</v>
      </c>
      <c r="AE1389">
        <v>0</v>
      </c>
      <c r="AF1389">
        <v>6</v>
      </c>
      <c r="AG1389">
        <v>1</v>
      </c>
      <c r="AH1389">
        <v>1.5</v>
      </c>
      <c r="AI1389">
        <v>512</v>
      </c>
      <c r="AJ1389">
        <v>512</v>
      </c>
      <c r="AK1389">
        <v>80</v>
      </c>
      <c r="AL1389" t="s">
        <v>66</v>
      </c>
      <c r="AM1389">
        <v>2</v>
      </c>
      <c r="AN1389" t="s">
        <v>996</v>
      </c>
      <c r="AO1389" t="s">
        <v>67</v>
      </c>
      <c r="AP1389" t="s">
        <v>68</v>
      </c>
      <c r="AQ1389">
        <v>15</v>
      </c>
      <c r="AR1389">
        <v>143</v>
      </c>
      <c r="AS1389">
        <v>286</v>
      </c>
      <c r="AT1389">
        <v>4.2</v>
      </c>
      <c r="AU1389">
        <v>7.0119999999999996</v>
      </c>
      <c r="AV1389" t="s">
        <v>5040</v>
      </c>
      <c r="AW1389" t="s">
        <v>5041</v>
      </c>
      <c r="AX1389" t="s">
        <v>5042</v>
      </c>
    </row>
    <row r="1390" spans="1:50" x14ac:dyDescent="0.25">
      <c r="A1390" t="s">
        <v>5043</v>
      </c>
      <c r="B1390" t="s">
        <v>1679</v>
      </c>
      <c r="C1390">
        <v>0</v>
      </c>
      <c r="D1390">
        <v>1</v>
      </c>
      <c r="E1390" t="s">
        <v>1740</v>
      </c>
      <c r="H1390">
        <v>0</v>
      </c>
      <c r="N1390">
        <v>1</v>
      </c>
      <c r="Q1390">
        <v>1</v>
      </c>
      <c r="R1390">
        <v>0</v>
      </c>
      <c r="U1390" t="s">
        <v>1735</v>
      </c>
      <c r="V1390">
        <v>52</v>
      </c>
      <c r="W1390" t="s">
        <v>1688</v>
      </c>
      <c r="X1390" t="s">
        <v>80</v>
      </c>
      <c r="Y1390">
        <v>0</v>
      </c>
      <c r="AD1390" t="s">
        <v>57</v>
      </c>
      <c r="AE1390">
        <v>0</v>
      </c>
      <c r="AF1390">
        <v>6</v>
      </c>
      <c r="AG1390">
        <v>1</v>
      </c>
      <c r="AH1390">
        <v>3</v>
      </c>
      <c r="AI1390">
        <v>512</v>
      </c>
      <c r="AJ1390">
        <v>512</v>
      </c>
      <c r="AK1390">
        <v>134</v>
      </c>
      <c r="AL1390" t="s">
        <v>119</v>
      </c>
      <c r="AM1390">
        <v>2.4</v>
      </c>
      <c r="AN1390" t="s">
        <v>1786</v>
      </c>
      <c r="AO1390" t="s">
        <v>67</v>
      </c>
      <c r="AP1390" t="s">
        <v>68</v>
      </c>
      <c r="AQ1390">
        <v>15</v>
      </c>
      <c r="AR1390">
        <v>366</v>
      </c>
      <c r="AS1390">
        <v>732</v>
      </c>
      <c r="AT1390">
        <v>2.8079999999999998</v>
      </c>
      <c r="AU1390">
        <v>7.3120000000000003</v>
      </c>
      <c r="AV1390" t="s">
        <v>2068</v>
      </c>
      <c r="AW1390" t="s">
        <v>2019</v>
      </c>
      <c r="AX1390" t="s">
        <v>5044</v>
      </c>
    </row>
    <row r="1391" spans="1:50" x14ac:dyDescent="0.25">
      <c r="A1391" t="s">
        <v>5045</v>
      </c>
      <c r="B1391" t="s">
        <v>1679</v>
      </c>
      <c r="C1391">
        <v>0</v>
      </c>
      <c r="D1391">
        <v>1</v>
      </c>
      <c r="E1391" t="s">
        <v>1703</v>
      </c>
      <c r="H1391">
        <v>0</v>
      </c>
      <c r="N1391">
        <v>1</v>
      </c>
      <c r="Q1391">
        <v>0</v>
      </c>
      <c r="R1391">
        <v>0</v>
      </c>
      <c r="U1391" t="s">
        <v>1687</v>
      </c>
      <c r="V1391">
        <v>51</v>
      </c>
      <c r="W1391" t="s">
        <v>79</v>
      </c>
      <c r="X1391" t="s">
        <v>80</v>
      </c>
      <c r="Y1391">
        <v>0</v>
      </c>
      <c r="Z1391">
        <v>71.668000000000006</v>
      </c>
      <c r="AB1391" t="s">
        <v>94</v>
      </c>
      <c r="AD1391" t="s">
        <v>57</v>
      </c>
      <c r="AE1391">
        <v>0</v>
      </c>
      <c r="AF1391">
        <v>6</v>
      </c>
      <c r="AG1391">
        <v>1</v>
      </c>
      <c r="AH1391">
        <v>3</v>
      </c>
      <c r="AI1391">
        <v>512</v>
      </c>
      <c r="AJ1391">
        <v>512</v>
      </c>
      <c r="AK1391">
        <v>80</v>
      </c>
      <c r="AL1391" t="s">
        <v>66</v>
      </c>
      <c r="AM1391">
        <v>2</v>
      </c>
      <c r="AN1391" t="s">
        <v>1915</v>
      </c>
      <c r="AO1391" t="s">
        <v>67</v>
      </c>
      <c r="AP1391" t="s">
        <v>68</v>
      </c>
      <c r="AQ1391">
        <v>15</v>
      </c>
      <c r="AR1391">
        <v>468</v>
      </c>
      <c r="AS1391">
        <v>936</v>
      </c>
      <c r="AT1391">
        <v>2.1800000000000002</v>
      </c>
      <c r="AU1391">
        <v>5.4450000000000003</v>
      </c>
      <c r="AV1391" t="s">
        <v>5046</v>
      </c>
      <c r="AW1391" t="s">
        <v>5047</v>
      </c>
      <c r="AX1391" t="s">
        <v>5048</v>
      </c>
    </row>
    <row r="1392" spans="1:50" x14ac:dyDescent="0.25">
      <c r="A1392" t="s">
        <v>5049</v>
      </c>
      <c r="B1392" t="s">
        <v>1679</v>
      </c>
      <c r="C1392">
        <v>0</v>
      </c>
      <c r="D1392">
        <v>1</v>
      </c>
      <c r="E1392" t="s">
        <v>1703</v>
      </c>
      <c r="H1392">
        <v>0</v>
      </c>
      <c r="N1392">
        <v>1</v>
      </c>
      <c r="Q1392">
        <v>0</v>
      </c>
      <c r="R1392">
        <v>1</v>
      </c>
      <c r="U1392" t="s">
        <v>1687</v>
      </c>
      <c r="V1392">
        <v>44</v>
      </c>
      <c r="W1392" t="s">
        <v>1688</v>
      </c>
      <c r="X1392" t="s">
        <v>55</v>
      </c>
      <c r="Y1392">
        <v>0</v>
      </c>
      <c r="Z1392">
        <v>62.595999999999997</v>
      </c>
      <c r="AB1392" t="s">
        <v>74</v>
      </c>
      <c r="AD1392" t="s">
        <v>57</v>
      </c>
      <c r="AE1392">
        <v>0</v>
      </c>
      <c r="AF1392">
        <v>6</v>
      </c>
      <c r="AG1392">
        <v>1</v>
      </c>
      <c r="AH1392">
        <v>3</v>
      </c>
      <c r="AI1392">
        <v>512</v>
      </c>
      <c r="AJ1392">
        <v>512</v>
      </c>
      <c r="AK1392">
        <v>80</v>
      </c>
      <c r="AL1392" t="s">
        <v>66</v>
      </c>
      <c r="AM1392">
        <v>2</v>
      </c>
      <c r="AN1392" t="s">
        <v>1915</v>
      </c>
      <c r="AO1392" t="s">
        <v>67</v>
      </c>
      <c r="AP1392" t="s">
        <v>68</v>
      </c>
      <c r="AQ1392">
        <v>15</v>
      </c>
      <c r="AR1392">
        <v>238</v>
      </c>
      <c r="AS1392">
        <v>477</v>
      </c>
      <c r="AT1392">
        <v>2.1760000000000002</v>
      </c>
      <c r="AU1392">
        <v>5.4630000000000001</v>
      </c>
      <c r="AV1392" t="s">
        <v>5050</v>
      </c>
      <c r="AW1392" t="s">
        <v>5051</v>
      </c>
      <c r="AX1392" t="s">
        <v>5052</v>
      </c>
    </row>
    <row r="1393" spans="1:50" x14ac:dyDescent="0.25">
      <c r="A1393" t="s">
        <v>5053</v>
      </c>
      <c r="B1393" t="s">
        <v>1679</v>
      </c>
      <c r="C1393">
        <v>0</v>
      </c>
      <c r="D1393">
        <v>0</v>
      </c>
      <c r="E1393" t="s">
        <v>1725</v>
      </c>
      <c r="H1393">
        <v>0</v>
      </c>
      <c r="N1393">
        <v>0</v>
      </c>
      <c r="Q1393">
        <v>0</v>
      </c>
      <c r="R1393">
        <v>1</v>
      </c>
      <c r="U1393" t="s">
        <v>65</v>
      </c>
      <c r="V1393">
        <v>50</v>
      </c>
      <c r="W1393" t="s">
        <v>1688</v>
      </c>
      <c r="X1393" t="s">
        <v>80</v>
      </c>
      <c r="Y1393">
        <v>1</v>
      </c>
      <c r="AD1393" t="s">
        <v>57</v>
      </c>
      <c r="AE1393">
        <v>0</v>
      </c>
      <c r="AF1393">
        <v>6</v>
      </c>
      <c r="AG1393">
        <v>1</v>
      </c>
      <c r="AH1393">
        <v>1.5</v>
      </c>
      <c r="AI1393">
        <v>512</v>
      </c>
      <c r="AJ1393">
        <v>512</v>
      </c>
      <c r="AK1393">
        <v>72</v>
      </c>
      <c r="AL1393" t="s">
        <v>119</v>
      </c>
      <c r="AM1393">
        <v>2.2000000000000002</v>
      </c>
      <c r="AN1393" t="s">
        <v>1072</v>
      </c>
      <c r="AO1393" t="s">
        <v>67</v>
      </c>
      <c r="AP1393" t="s">
        <v>68</v>
      </c>
      <c r="AQ1393">
        <v>15</v>
      </c>
      <c r="AR1393">
        <v>304</v>
      </c>
      <c r="AS1393">
        <v>609</v>
      </c>
      <c r="AT1393">
        <v>4.2359999999999998</v>
      </c>
      <c r="AU1393">
        <v>8.6679999999999993</v>
      </c>
      <c r="AV1393" t="s">
        <v>5054</v>
      </c>
      <c r="AW1393" t="s">
        <v>2800</v>
      </c>
      <c r="AX1393" t="s">
        <v>5055</v>
      </c>
    </row>
    <row r="1394" spans="1:50" x14ac:dyDescent="0.25">
      <c r="A1394" t="s">
        <v>5056</v>
      </c>
      <c r="B1394" t="s">
        <v>1679</v>
      </c>
      <c r="C1394">
        <v>0</v>
      </c>
      <c r="D1394">
        <v>1</v>
      </c>
      <c r="E1394" t="s">
        <v>1686</v>
      </c>
      <c r="H1394">
        <v>1</v>
      </c>
      <c r="N1394">
        <v>0</v>
      </c>
      <c r="Q1394">
        <v>0</v>
      </c>
      <c r="R1394">
        <v>1</v>
      </c>
      <c r="U1394" t="s">
        <v>65</v>
      </c>
      <c r="V1394">
        <v>40</v>
      </c>
      <c r="W1394" t="s">
        <v>1688</v>
      </c>
      <c r="X1394" t="s">
        <v>111</v>
      </c>
      <c r="Y1394">
        <v>0</v>
      </c>
      <c r="Z1394">
        <v>76</v>
      </c>
      <c r="AB1394" t="s">
        <v>94</v>
      </c>
      <c r="AD1394" t="s">
        <v>57</v>
      </c>
      <c r="AE1394">
        <v>0</v>
      </c>
      <c r="AF1394">
        <v>6</v>
      </c>
      <c r="AG1394">
        <v>1</v>
      </c>
      <c r="AH1394">
        <v>3</v>
      </c>
      <c r="AI1394">
        <v>512</v>
      </c>
      <c r="AJ1394">
        <v>512</v>
      </c>
      <c r="AK1394">
        <v>72</v>
      </c>
      <c r="AL1394" t="s">
        <v>66</v>
      </c>
      <c r="AM1394">
        <v>2.2000000000000002</v>
      </c>
      <c r="AN1394" t="s">
        <v>1915</v>
      </c>
      <c r="AO1394" t="s">
        <v>67</v>
      </c>
      <c r="AP1394" t="s">
        <v>68</v>
      </c>
      <c r="AQ1394">
        <v>15</v>
      </c>
      <c r="AR1394">
        <v>138</v>
      </c>
      <c r="AS1394">
        <v>277</v>
      </c>
      <c r="AT1394">
        <v>2.16</v>
      </c>
      <c r="AU1394">
        <v>5.5780000000000003</v>
      </c>
      <c r="AV1394" t="s">
        <v>5057</v>
      </c>
      <c r="AW1394" t="s">
        <v>3389</v>
      </c>
      <c r="AX1394" t="s">
        <v>5058</v>
      </c>
    </row>
    <row r="1395" spans="1:50" x14ac:dyDescent="0.25">
      <c r="A1395" t="s">
        <v>5059</v>
      </c>
      <c r="B1395" t="s">
        <v>1679</v>
      </c>
      <c r="C1395">
        <v>0</v>
      </c>
      <c r="D1395">
        <v>1</v>
      </c>
      <c r="E1395" t="s">
        <v>1780</v>
      </c>
      <c r="H1395">
        <v>0</v>
      </c>
      <c r="N1395">
        <v>1</v>
      </c>
      <c r="Q1395">
        <v>0</v>
      </c>
      <c r="R1395">
        <v>0</v>
      </c>
      <c r="U1395" t="s">
        <v>1687</v>
      </c>
      <c r="V1395">
        <v>38</v>
      </c>
      <c r="X1395" t="s">
        <v>80</v>
      </c>
      <c r="Y1395">
        <v>0</v>
      </c>
      <c r="Z1395">
        <v>71.668000000000006</v>
      </c>
      <c r="AB1395" t="s">
        <v>94</v>
      </c>
      <c r="AD1395" t="s">
        <v>57</v>
      </c>
      <c r="AE1395">
        <v>0</v>
      </c>
      <c r="AF1395">
        <v>6</v>
      </c>
      <c r="AG1395">
        <v>1</v>
      </c>
      <c r="AH1395">
        <v>1.5</v>
      </c>
      <c r="AI1395">
        <v>512</v>
      </c>
      <c r="AJ1395">
        <v>512</v>
      </c>
      <c r="AK1395">
        <v>80</v>
      </c>
      <c r="AL1395" t="s">
        <v>153</v>
      </c>
      <c r="AM1395">
        <v>2</v>
      </c>
      <c r="AN1395" t="s">
        <v>996</v>
      </c>
      <c r="AO1395" t="s">
        <v>67</v>
      </c>
      <c r="AP1395" t="s">
        <v>68</v>
      </c>
      <c r="AQ1395">
        <v>15</v>
      </c>
      <c r="AR1395">
        <v>95</v>
      </c>
      <c r="AS1395">
        <v>191</v>
      </c>
      <c r="AT1395">
        <v>4.2</v>
      </c>
      <c r="AU1395">
        <v>7</v>
      </c>
      <c r="AV1395" t="s">
        <v>5060</v>
      </c>
      <c r="AW1395" t="s">
        <v>5061</v>
      </c>
      <c r="AX1395" t="s">
        <v>5062</v>
      </c>
    </row>
    <row r="1396" spans="1:50" x14ac:dyDescent="0.25">
      <c r="A1396" t="s">
        <v>5063</v>
      </c>
      <c r="B1396" t="s">
        <v>1679</v>
      </c>
      <c r="C1396">
        <v>0</v>
      </c>
      <c r="D1396">
        <v>1</v>
      </c>
      <c r="E1396" t="s">
        <v>1740</v>
      </c>
      <c r="H1396">
        <v>1</v>
      </c>
      <c r="N1396">
        <v>0</v>
      </c>
      <c r="Q1396">
        <v>1</v>
      </c>
      <c r="R1396">
        <v>0</v>
      </c>
      <c r="U1396" t="s">
        <v>72</v>
      </c>
      <c r="V1396">
        <v>58</v>
      </c>
      <c r="W1396" t="s">
        <v>79</v>
      </c>
      <c r="X1396" t="s">
        <v>55</v>
      </c>
      <c r="Y1396">
        <v>0</v>
      </c>
      <c r="Z1396">
        <v>77</v>
      </c>
      <c r="AB1396" t="s">
        <v>94</v>
      </c>
      <c r="AD1396" t="s">
        <v>57</v>
      </c>
      <c r="AE1396">
        <v>0</v>
      </c>
      <c r="AF1396">
        <v>6</v>
      </c>
      <c r="AG1396">
        <v>1</v>
      </c>
      <c r="AH1396">
        <v>1.5</v>
      </c>
      <c r="AI1396">
        <v>400</v>
      </c>
      <c r="AJ1396">
        <v>400</v>
      </c>
      <c r="AK1396">
        <v>64</v>
      </c>
      <c r="AL1396" t="s">
        <v>1924</v>
      </c>
      <c r="AM1396">
        <v>2.5</v>
      </c>
      <c r="AN1396" t="s">
        <v>1531</v>
      </c>
      <c r="AO1396" t="s">
        <v>1155</v>
      </c>
      <c r="AP1396" t="s">
        <v>1767</v>
      </c>
      <c r="AQ1396">
        <v>11</v>
      </c>
      <c r="AR1396">
        <v>488.75</v>
      </c>
      <c r="AS1396">
        <v>849.48</v>
      </c>
      <c r="AT1396">
        <v>4.6040000000000001</v>
      </c>
      <c r="AU1396">
        <v>7.2138</v>
      </c>
      <c r="AV1396" t="s">
        <v>5064</v>
      </c>
      <c r="AW1396" t="s">
        <v>5065</v>
      </c>
      <c r="AX1396" t="s">
        <v>5066</v>
      </c>
    </row>
    <row r="1397" spans="1:50" x14ac:dyDescent="0.25">
      <c r="A1397" t="s">
        <v>5067</v>
      </c>
      <c r="B1397" t="s">
        <v>1679</v>
      </c>
      <c r="C1397">
        <v>0</v>
      </c>
      <c r="D1397">
        <v>1</v>
      </c>
      <c r="E1397" t="s">
        <v>1734</v>
      </c>
      <c r="H1397">
        <v>1</v>
      </c>
      <c r="N1397">
        <v>0</v>
      </c>
      <c r="Q1397">
        <v>1</v>
      </c>
      <c r="R1397">
        <v>0</v>
      </c>
      <c r="U1397" t="s">
        <v>72</v>
      </c>
      <c r="V1397">
        <v>63</v>
      </c>
      <c r="W1397" t="s">
        <v>79</v>
      </c>
      <c r="X1397" t="s">
        <v>80</v>
      </c>
      <c r="Y1397">
        <v>0</v>
      </c>
      <c r="Z1397">
        <v>56.698999999999998</v>
      </c>
      <c r="AB1397" t="s">
        <v>74</v>
      </c>
      <c r="AD1397" t="s">
        <v>57</v>
      </c>
      <c r="AE1397">
        <v>0</v>
      </c>
      <c r="AF1397">
        <v>6</v>
      </c>
      <c r="AG1397">
        <v>1</v>
      </c>
      <c r="AH1397">
        <v>1.5</v>
      </c>
      <c r="AI1397">
        <v>512</v>
      </c>
      <c r="AJ1397">
        <v>512</v>
      </c>
      <c r="AK1397">
        <v>80</v>
      </c>
      <c r="AL1397" t="s">
        <v>497</v>
      </c>
      <c r="AM1397">
        <v>2</v>
      </c>
      <c r="AN1397" t="s">
        <v>996</v>
      </c>
      <c r="AO1397" t="s">
        <v>67</v>
      </c>
      <c r="AP1397" t="s">
        <v>68</v>
      </c>
      <c r="AQ1397">
        <v>15</v>
      </c>
      <c r="AR1397">
        <v>126</v>
      </c>
      <c r="AS1397">
        <v>252</v>
      </c>
      <c r="AT1397">
        <v>4.2</v>
      </c>
      <c r="AU1397">
        <v>7.0359999999999996</v>
      </c>
      <c r="AV1397" t="s">
        <v>5068</v>
      </c>
      <c r="AW1397" t="s">
        <v>5069</v>
      </c>
      <c r="AX1397" t="s">
        <v>5070</v>
      </c>
    </row>
    <row r="1398" spans="1:50" x14ac:dyDescent="0.25">
      <c r="A1398" t="s">
        <v>5071</v>
      </c>
      <c r="B1398" t="s">
        <v>1679</v>
      </c>
      <c r="C1398">
        <v>0</v>
      </c>
      <c r="D1398">
        <v>1</v>
      </c>
      <c r="E1398" t="s">
        <v>1839</v>
      </c>
      <c r="H1398">
        <v>1</v>
      </c>
      <c r="N1398">
        <v>1</v>
      </c>
      <c r="Q1398">
        <v>1</v>
      </c>
      <c r="R1398">
        <v>0</v>
      </c>
      <c r="U1398" t="s">
        <v>1735</v>
      </c>
      <c r="V1398">
        <v>44</v>
      </c>
      <c r="W1398" t="s">
        <v>1688</v>
      </c>
      <c r="X1398" t="s">
        <v>80</v>
      </c>
      <c r="Y1398">
        <v>0</v>
      </c>
      <c r="Z1398">
        <v>70.307000000000002</v>
      </c>
      <c r="AB1398" t="s">
        <v>94</v>
      </c>
      <c r="AD1398" t="s">
        <v>57</v>
      </c>
      <c r="AE1398">
        <v>0</v>
      </c>
      <c r="AF1398">
        <v>6</v>
      </c>
      <c r="AG1398">
        <v>1</v>
      </c>
      <c r="AH1398">
        <v>1.5</v>
      </c>
      <c r="AI1398">
        <v>512</v>
      </c>
      <c r="AJ1398">
        <v>512</v>
      </c>
      <c r="AK1398">
        <v>80</v>
      </c>
      <c r="AL1398" t="s">
        <v>81</v>
      </c>
      <c r="AM1398">
        <v>2</v>
      </c>
      <c r="AN1398" t="s">
        <v>996</v>
      </c>
      <c r="AO1398" t="s">
        <v>67</v>
      </c>
      <c r="AP1398" t="s">
        <v>68</v>
      </c>
      <c r="AQ1398">
        <v>15</v>
      </c>
      <c r="AR1398">
        <v>109</v>
      </c>
      <c r="AS1398">
        <v>219</v>
      </c>
      <c r="AT1398">
        <v>4.2</v>
      </c>
      <c r="AU1398">
        <v>7</v>
      </c>
      <c r="AV1398" t="s">
        <v>5072</v>
      </c>
      <c r="AW1398" t="s">
        <v>2333</v>
      </c>
      <c r="AX1398" t="s">
        <v>5073</v>
      </c>
    </row>
    <row r="1399" spans="1:50" x14ac:dyDescent="0.25">
      <c r="A1399" t="s">
        <v>5074</v>
      </c>
      <c r="B1399" t="s">
        <v>1679</v>
      </c>
      <c r="C1399">
        <v>0</v>
      </c>
      <c r="D1399">
        <v>1</v>
      </c>
      <c r="E1399" t="s">
        <v>1725</v>
      </c>
      <c r="H1399">
        <v>0</v>
      </c>
      <c r="N1399">
        <v>0</v>
      </c>
      <c r="Q1399">
        <v>0</v>
      </c>
      <c r="R1399">
        <v>1</v>
      </c>
      <c r="U1399" t="s">
        <v>65</v>
      </c>
      <c r="V1399">
        <v>34</v>
      </c>
      <c r="W1399" t="s">
        <v>1688</v>
      </c>
      <c r="X1399" t="s">
        <v>111</v>
      </c>
      <c r="Y1399">
        <v>0</v>
      </c>
      <c r="Z1399">
        <v>56.698999999999998</v>
      </c>
      <c r="AB1399" t="s">
        <v>74</v>
      </c>
      <c r="AD1399" t="s">
        <v>57</v>
      </c>
      <c r="AE1399">
        <v>0</v>
      </c>
      <c r="AF1399">
        <v>6</v>
      </c>
      <c r="AG1399">
        <v>1</v>
      </c>
      <c r="AH1399">
        <v>1.5</v>
      </c>
      <c r="AI1399">
        <v>512</v>
      </c>
      <c r="AJ1399">
        <v>512</v>
      </c>
      <c r="AK1399">
        <v>80</v>
      </c>
      <c r="AL1399" t="s">
        <v>196</v>
      </c>
      <c r="AM1399">
        <v>2</v>
      </c>
      <c r="AN1399" t="s">
        <v>996</v>
      </c>
      <c r="AO1399" t="s">
        <v>67</v>
      </c>
      <c r="AP1399" t="s">
        <v>68</v>
      </c>
      <c r="AQ1399">
        <v>15</v>
      </c>
      <c r="AR1399">
        <v>141</v>
      </c>
      <c r="AS1399">
        <v>282</v>
      </c>
      <c r="AT1399">
        <v>4.2</v>
      </c>
      <c r="AU1399">
        <v>7</v>
      </c>
      <c r="AV1399" t="s">
        <v>4891</v>
      </c>
      <c r="AW1399" t="s">
        <v>5075</v>
      </c>
      <c r="AX1399" t="s">
        <v>5076</v>
      </c>
    </row>
    <row r="1400" spans="1:50" x14ac:dyDescent="0.25">
      <c r="A1400" t="s">
        <v>5077</v>
      </c>
      <c r="B1400" t="s">
        <v>1679</v>
      </c>
      <c r="C1400">
        <v>0</v>
      </c>
      <c r="D1400">
        <v>1</v>
      </c>
      <c r="E1400" t="s">
        <v>1703</v>
      </c>
      <c r="H1400">
        <v>1</v>
      </c>
      <c r="N1400">
        <v>1</v>
      </c>
      <c r="Q1400">
        <v>0</v>
      </c>
      <c r="R1400">
        <v>0</v>
      </c>
      <c r="U1400" t="s">
        <v>1687</v>
      </c>
      <c r="V1400">
        <v>42</v>
      </c>
      <c r="W1400" t="s">
        <v>1688</v>
      </c>
      <c r="X1400" t="s">
        <v>80</v>
      </c>
      <c r="Y1400">
        <v>0</v>
      </c>
      <c r="Z1400">
        <v>47.63</v>
      </c>
      <c r="AB1400" t="s">
        <v>247</v>
      </c>
      <c r="AD1400" t="s">
        <v>57</v>
      </c>
      <c r="AE1400">
        <v>0</v>
      </c>
      <c r="AF1400">
        <v>6</v>
      </c>
      <c r="AG1400">
        <v>1</v>
      </c>
      <c r="AH1400">
        <v>1.5</v>
      </c>
      <c r="AI1400">
        <v>512</v>
      </c>
      <c r="AJ1400">
        <v>512</v>
      </c>
      <c r="AK1400">
        <v>80</v>
      </c>
      <c r="AL1400" t="s">
        <v>113</v>
      </c>
      <c r="AM1400">
        <v>2</v>
      </c>
      <c r="AN1400" t="s">
        <v>996</v>
      </c>
      <c r="AO1400" t="s">
        <v>67</v>
      </c>
      <c r="AP1400" t="s">
        <v>68</v>
      </c>
      <c r="AQ1400">
        <v>15</v>
      </c>
      <c r="AR1400">
        <v>20</v>
      </c>
      <c r="AS1400">
        <v>40</v>
      </c>
      <c r="AT1400">
        <v>4.2</v>
      </c>
      <c r="AU1400">
        <v>7.056</v>
      </c>
      <c r="AV1400" t="s">
        <v>5078</v>
      </c>
      <c r="AW1400" t="s">
        <v>4351</v>
      </c>
      <c r="AX1400" t="s">
        <v>5079</v>
      </c>
    </row>
    <row r="1401" spans="1:50" x14ac:dyDescent="0.25">
      <c r="A1401" t="s">
        <v>5080</v>
      </c>
      <c r="B1401" t="s">
        <v>1679</v>
      </c>
      <c r="C1401">
        <v>0</v>
      </c>
      <c r="D1401">
        <v>0</v>
      </c>
      <c r="E1401" t="s">
        <v>1680</v>
      </c>
      <c r="H1401">
        <v>0</v>
      </c>
      <c r="N1401">
        <v>1</v>
      </c>
      <c r="Q1401">
        <v>0</v>
      </c>
      <c r="R1401">
        <v>0</v>
      </c>
      <c r="U1401" t="s">
        <v>1687</v>
      </c>
      <c r="V1401">
        <v>40</v>
      </c>
      <c r="W1401" t="s">
        <v>1688</v>
      </c>
      <c r="X1401" t="s">
        <v>55</v>
      </c>
      <c r="Y1401">
        <v>0</v>
      </c>
      <c r="Z1401">
        <v>61.234999999999999</v>
      </c>
      <c r="AB1401" t="s">
        <v>74</v>
      </c>
      <c r="AD1401" t="s">
        <v>57</v>
      </c>
      <c r="AE1401">
        <v>0</v>
      </c>
      <c r="AF1401">
        <v>6</v>
      </c>
      <c r="AG1401">
        <v>1</v>
      </c>
      <c r="AH1401">
        <v>3</v>
      </c>
      <c r="AI1401">
        <v>512</v>
      </c>
      <c r="AJ1401">
        <v>512</v>
      </c>
      <c r="AK1401">
        <v>80</v>
      </c>
      <c r="AL1401" t="s">
        <v>66</v>
      </c>
      <c r="AM1401">
        <v>2</v>
      </c>
      <c r="AN1401" t="s">
        <v>1915</v>
      </c>
      <c r="AO1401" t="s">
        <v>67</v>
      </c>
      <c r="AP1401" t="s">
        <v>68</v>
      </c>
      <c r="AQ1401">
        <v>15</v>
      </c>
      <c r="AR1401">
        <v>262</v>
      </c>
      <c r="AS1401">
        <v>525</v>
      </c>
      <c r="AT1401">
        <v>2.1760000000000002</v>
      </c>
      <c r="AU1401">
        <v>5.4290000000000003</v>
      </c>
      <c r="AV1401" t="s">
        <v>5081</v>
      </c>
      <c r="AW1401" t="s">
        <v>3749</v>
      </c>
      <c r="AX1401" t="s">
        <v>5082</v>
      </c>
    </row>
    <row r="1402" spans="1:50" x14ac:dyDescent="0.25">
      <c r="A1402" t="s">
        <v>5083</v>
      </c>
      <c r="B1402" t="s">
        <v>1679</v>
      </c>
      <c r="C1402">
        <v>1</v>
      </c>
      <c r="D1402">
        <v>0</v>
      </c>
      <c r="E1402" t="s">
        <v>1740</v>
      </c>
      <c r="H1402">
        <v>0</v>
      </c>
      <c r="N1402">
        <v>1</v>
      </c>
      <c r="Q1402">
        <v>0</v>
      </c>
      <c r="R1402">
        <v>1</v>
      </c>
      <c r="U1402" t="s">
        <v>1687</v>
      </c>
      <c r="V1402">
        <v>36</v>
      </c>
      <c r="W1402" t="s">
        <v>1726</v>
      </c>
      <c r="X1402" t="s">
        <v>80</v>
      </c>
      <c r="Y1402">
        <v>0</v>
      </c>
      <c r="Z1402">
        <v>107.6193393961</v>
      </c>
      <c r="AB1402" t="s">
        <v>56</v>
      </c>
      <c r="AD1402" t="s">
        <v>57</v>
      </c>
      <c r="AE1402">
        <v>1</v>
      </c>
      <c r="AF1402">
        <v>6</v>
      </c>
      <c r="AG1402">
        <v>1</v>
      </c>
      <c r="AH1402">
        <v>1.5</v>
      </c>
      <c r="AI1402">
        <v>256</v>
      </c>
      <c r="AJ1402">
        <v>256</v>
      </c>
      <c r="AK1402">
        <v>160</v>
      </c>
      <c r="AL1402" t="s">
        <v>5084</v>
      </c>
      <c r="AM1402">
        <v>1.1499999761999999</v>
      </c>
      <c r="AN1402" t="s">
        <v>1720</v>
      </c>
      <c r="AO1402" t="s">
        <v>59</v>
      </c>
      <c r="AP1402" t="s">
        <v>60</v>
      </c>
      <c r="AQ1402">
        <v>11</v>
      </c>
      <c r="AR1402">
        <v>75</v>
      </c>
      <c r="AS1402">
        <v>205</v>
      </c>
      <c r="AT1402">
        <v>1.42</v>
      </c>
      <c r="AU1402">
        <v>4.99</v>
      </c>
      <c r="AV1402" t="s">
        <v>5085</v>
      </c>
      <c r="AW1402" t="s">
        <v>5086</v>
      </c>
      <c r="AX1402" t="s">
        <v>5087</v>
      </c>
    </row>
    <row r="1403" spans="1:50" x14ac:dyDescent="0.25">
      <c r="A1403" t="s">
        <v>5088</v>
      </c>
      <c r="B1403" t="s">
        <v>1679</v>
      </c>
      <c r="C1403">
        <v>0</v>
      </c>
      <c r="D1403">
        <v>1</v>
      </c>
      <c r="E1403" t="s">
        <v>1839</v>
      </c>
      <c r="H1403">
        <v>0</v>
      </c>
      <c r="N1403">
        <v>1</v>
      </c>
      <c r="Q1403">
        <v>1</v>
      </c>
      <c r="R1403">
        <v>1</v>
      </c>
      <c r="U1403" t="s">
        <v>1735</v>
      </c>
      <c r="V1403">
        <v>42</v>
      </c>
      <c r="W1403" t="s">
        <v>1688</v>
      </c>
      <c r="X1403" t="s">
        <v>80</v>
      </c>
      <c r="Y1403">
        <v>0</v>
      </c>
      <c r="Z1403">
        <v>64.41</v>
      </c>
      <c r="AB1403" t="s">
        <v>74</v>
      </c>
      <c r="AD1403" t="s">
        <v>57</v>
      </c>
      <c r="AE1403">
        <v>0</v>
      </c>
      <c r="AF1403">
        <v>6</v>
      </c>
      <c r="AG1403">
        <v>1</v>
      </c>
      <c r="AH1403">
        <v>3</v>
      </c>
      <c r="AI1403">
        <v>512</v>
      </c>
      <c r="AJ1403">
        <v>512</v>
      </c>
      <c r="AK1403">
        <v>134</v>
      </c>
      <c r="AL1403" t="s">
        <v>81</v>
      </c>
      <c r="AM1403">
        <v>2.4</v>
      </c>
      <c r="AN1403" t="s">
        <v>1786</v>
      </c>
      <c r="AO1403" t="s">
        <v>67</v>
      </c>
      <c r="AP1403" t="s">
        <v>68</v>
      </c>
      <c r="AQ1403">
        <v>15</v>
      </c>
      <c r="AR1403">
        <v>359</v>
      </c>
      <c r="AS1403">
        <v>719</v>
      </c>
      <c r="AT1403">
        <v>4.25</v>
      </c>
      <c r="AU1403">
        <v>7.9050000000000002</v>
      </c>
      <c r="AV1403" t="s">
        <v>2027</v>
      </c>
      <c r="AW1403" t="s">
        <v>3333</v>
      </c>
      <c r="AX1403" t="s">
        <v>5089</v>
      </c>
    </row>
    <row r="1404" spans="1:50" x14ac:dyDescent="0.25">
      <c r="A1404" t="s">
        <v>5090</v>
      </c>
      <c r="B1404" t="s">
        <v>1679</v>
      </c>
      <c r="C1404">
        <v>0</v>
      </c>
      <c r="D1404">
        <v>1</v>
      </c>
      <c r="E1404" t="s">
        <v>1680</v>
      </c>
      <c r="H1404">
        <v>0</v>
      </c>
      <c r="N1404">
        <v>0</v>
      </c>
      <c r="Q1404">
        <v>0</v>
      </c>
      <c r="R1404">
        <v>1</v>
      </c>
      <c r="U1404" t="s">
        <v>65</v>
      </c>
      <c r="V1404">
        <v>46</v>
      </c>
      <c r="W1404" t="s">
        <v>1688</v>
      </c>
      <c r="X1404" t="s">
        <v>80</v>
      </c>
      <c r="Y1404">
        <v>0</v>
      </c>
      <c r="Z1404">
        <v>67.132000000000005</v>
      </c>
      <c r="AB1404" t="s">
        <v>74</v>
      </c>
      <c r="AD1404" t="s">
        <v>57</v>
      </c>
      <c r="AE1404">
        <v>0</v>
      </c>
      <c r="AF1404">
        <v>6</v>
      </c>
      <c r="AG1404">
        <v>1</v>
      </c>
      <c r="AH1404">
        <v>1.5</v>
      </c>
      <c r="AI1404">
        <v>512</v>
      </c>
      <c r="AJ1404">
        <v>512</v>
      </c>
      <c r="AK1404">
        <v>72</v>
      </c>
      <c r="AL1404" t="s">
        <v>119</v>
      </c>
      <c r="AM1404">
        <v>2.2000000000000002</v>
      </c>
      <c r="AN1404" t="s">
        <v>1072</v>
      </c>
      <c r="AO1404" t="s">
        <v>67</v>
      </c>
      <c r="AP1404" t="s">
        <v>68</v>
      </c>
      <c r="AQ1404">
        <v>15</v>
      </c>
      <c r="AR1404">
        <v>206</v>
      </c>
      <c r="AS1404">
        <v>412</v>
      </c>
      <c r="AT1404">
        <v>4.2359999999999998</v>
      </c>
      <c r="AU1404">
        <v>8.6679999999999993</v>
      </c>
      <c r="AV1404" t="s">
        <v>5091</v>
      </c>
      <c r="AW1404" t="s">
        <v>5092</v>
      </c>
      <c r="AX1404" t="s">
        <v>5093</v>
      </c>
    </row>
    <row r="1405" spans="1:50" x14ac:dyDescent="0.25">
      <c r="A1405" t="s">
        <v>5094</v>
      </c>
      <c r="B1405" t="s">
        <v>1679</v>
      </c>
      <c r="C1405">
        <v>0</v>
      </c>
      <c r="D1405">
        <v>1</v>
      </c>
      <c r="E1405" t="s">
        <v>1734</v>
      </c>
      <c r="H1405">
        <v>1</v>
      </c>
      <c r="N1405">
        <v>0</v>
      </c>
      <c r="Q1405">
        <v>1</v>
      </c>
      <c r="R1405">
        <v>0</v>
      </c>
      <c r="U1405" t="s">
        <v>72</v>
      </c>
      <c r="V1405">
        <v>36</v>
      </c>
      <c r="W1405" t="s">
        <v>1688</v>
      </c>
      <c r="X1405" t="s">
        <v>80</v>
      </c>
      <c r="Y1405">
        <v>0</v>
      </c>
      <c r="Z1405">
        <v>86.182561262999997</v>
      </c>
      <c r="AB1405" t="s">
        <v>118</v>
      </c>
      <c r="AD1405" t="s">
        <v>57</v>
      </c>
      <c r="AE1405">
        <v>1</v>
      </c>
      <c r="AF1405">
        <v>6</v>
      </c>
      <c r="AG1405">
        <v>1</v>
      </c>
      <c r="AH1405">
        <v>1.5</v>
      </c>
      <c r="AI1405">
        <v>384</v>
      </c>
      <c r="AJ1405">
        <v>384</v>
      </c>
      <c r="AK1405">
        <v>144</v>
      </c>
      <c r="AL1405" t="s">
        <v>1411</v>
      </c>
      <c r="AM1405">
        <v>1.2000000476999999</v>
      </c>
      <c r="AN1405" t="s">
        <v>2146</v>
      </c>
      <c r="AO1405" t="s">
        <v>59</v>
      </c>
      <c r="AP1405" t="s">
        <v>2147</v>
      </c>
      <c r="AQ1405">
        <v>11</v>
      </c>
      <c r="AR1405">
        <v>33</v>
      </c>
      <c r="AS1405">
        <v>88</v>
      </c>
      <c r="AT1405">
        <v>1.54</v>
      </c>
      <c r="AU1405">
        <v>4.57</v>
      </c>
      <c r="AV1405" t="s">
        <v>3461</v>
      </c>
      <c r="AW1405" t="s">
        <v>2928</v>
      </c>
      <c r="AX1405" t="s">
        <v>5095</v>
      </c>
    </row>
    <row r="1406" spans="1:50" x14ac:dyDescent="0.25">
      <c r="A1406" t="s">
        <v>5096</v>
      </c>
      <c r="B1406" t="s">
        <v>1679</v>
      </c>
      <c r="C1406">
        <v>0</v>
      </c>
      <c r="D1406">
        <v>1</v>
      </c>
      <c r="E1406" t="s">
        <v>1780</v>
      </c>
      <c r="H1406">
        <v>0</v>
      </c>
      <c r="N1406">
        <v>1</v>
      </c>
      <c r="Q1406">
        <v>0</v>
      </c>
      <c r="R1406">
        <v>0</v>
      </c>
      <c r="U1406" t="s">
        <v>1687</v>
      </c>
      <c r="V1406">
        <v>29</v>
      </c>
      <c r="W1406" t="s">
        <v>1726</v>
      </c>
      <c r="X1406" t="s">
        <v>80</v>
      </c>
      <c r="Y1406">
        <v>0</v>
      </c>
      <c r="Z1406">
        <v>64</v>
      </c>
      <c r="AB1406" t="s">
        <v>74</v>
      </c>
      <c r="AD1406" t="s">
        <v>57</v>
      </c>
      <c r="AE1406">
        <v>0</v>
      </c>
      <c r="AF1406">
        <v>6</v>
      </c>
      <c r="AG1406">
        <v>1</v>
      </c>
      <c r="AH1406">
        <v>1.5</v>
      </c>
      <c r="AI1406">
        <v>512</v>
      </c>
      <c r="AJ1406">
        <v>512</v>
      </c>
      <c r="AK1406">
        <v>64</v>
      </c>
      <c r="AL1406" t="s">
        <v>119</v>
      </c>
      <c r="AM1406">
        <v>2.5</v>
      </c>
      <c r="AN1406" t="s">
        <v>2618</v>
      </c>
      <c r="AO1406" t="s">
        <v>67</v>
      </c>
      <c r="AP1406" t="s">
        <v>68</v>
      </c>
      <c r="AQ1406">
        <v>15</v>
      </c>
      <c r="AR1406">
        <v>160</v>
      </c>
      <c r="AS1406">
        <v>321</v>
      </c>
      <c r="AT1406">
        <v>3.032</v>
      </c>
      <c r="AU1406">
        <v>6.2160000000000002</v>
      </c>
      <c r="AW1406" t="s">
        <v>5097</v>
      </c>
      <c r="AX1406" t="s">
        <v>5098</v>
      </c>
    </row>
    <row r="1407" spans="1:50" x14ac:dyDescent="0.25">
      <c r="A1407" t="s">
        <v>5099</v>
      </c>
      <c r="B1407" t="s">
        <v>1679</v>
      </c>
      <c r="C1407">
        <v>0</v>
      </c>
      <c r="D1407">
        <v>0</v>
      </c>
      <c r="E1407" t="s">
        <v>1780</v>
      </c>
      <c r="H1407">
        <v>1</v>
      </c>
      <c r="N1407">
        <v>0</v>
      </c>
      <c r="Q1407">
        <v>0</v>
      </c>
      <c r="R1407">
        <v>1</v>
      </c>
      <c r="U1407" t="s">
        <v>65</v>
      </c>
      <c r="V1407">
        <v>65</v>
      </c>
      <c r="X1407" t="s">
        <v>80</v>
      </c>
      <c r="Y1407">
        <v>0</v>
      </c>
      <c r="Z1407">
        <v>79.319707831900004</v>
      </c>
      <c r="AB1407" t="s">
        <v>94</v>
      </c>
      <c r="AD1407" t="s">
        <v>57</v>
      </c>
      <c r="AE1407">
        <v>1</v>
      </c>
      <c r="AF1407">
        <v>6</v>
      </c>
      <c r="AG1407">
        <v>1</v>
      </c>
      <c r="AH1407">
        <v>1.5</v>
      </c>
      <c r="AI1407">
        <v>256</v>
      </c>
      <c r="AJ1407">
        <v>256</v>
      </c>
      <c r="AK1407">
        <v>160</v>
      </c>
      <c r="AL1407" t="s">
        <v>446</v>
      </c>
      <c r="AM1407">
        <v>1.2000000476999999</v>
      </c>
      <c r="AN1407" t="s">
        <v>1720</v>
      </c>
      <c r="AO1407" t="s">
        <v>59</v>
      </c>
      <c r="AP1407" t="s">
        <v>60</v>
      </c>
      <c r="AQ1407">
        <v>11</v>
      </c>
      <c r="AR1407">
        <v>220</v>
      </c>
      <c r="AS1407">
        <v>531</v>
      </c>
      <c r="AT1407">
        <v>1.43</v>
      </c>
      <c r="AU1407">
        <v>4.99</v>
      </c>
      <c r="AV1407" t="s">
        <v>5100</v>
      </c>
      <c r="AW1407" t="s">
        <v>5065</v>
      </c>
      <c r="AX1407" t="s">
        <v>5101</v>
      </c>
    </row>
    <row r="1408" spans="1:50" x14ac:dyDescent="0.25">
      <c r="A1408" t="s">
        <v>5102</v>
      </c>
      <c r="B1408" t="s">
        <v>1679</v>
      </c>
      <c r="C1408">
        <v>0</v>
      </c>
      <c r="D1408">
        <v>1</v>
      </c>
      <c r="E1408" t="s">
        <v>1871</v>
      </c>
      <c r="H1408">
        <v>0</v>
      </c>
      <c r="N1408">
        <v>1</v>
      </c>
      <c r="Q1408">
        <v>1</v>
      </c>
      <c r="R1408">
        <v>0</v>
      </c>
      <c r="U1408" t="s">
        <v>1735</v>
      </c>
      <c r="V1408">
        <v>43</v>
      </c>
      <c r="W1408" t="s">
        <v>1688</v>
      </c>
      <c r="X1408" t="s">
        <v>1211</v>
      </c>
      <c r="Y1408">
        <v>0</v>
      </c>
      <c r="Z1408">
        <v>58.966999999999999</v>
      </c>
      <c r="AB1408" t="s">
        <v>74</v>
      </c>
      <c r="AD1408" t="s">
        <v>57</v>
      </c>
      <c r="AE1408">
        <v>0</v>
      </c>
      <c r="AF1408">
        <v>6</v>
      </c>
      <c r="AG1408">
        <v>1</v>
      </c>
      <c r="AH1408">
        <v>1.5</v>
      </c>
      <c r="AI1408">
        <v>512</v>
      </c>
      <c r="AJ1408">
        <v>512</v>
      </c>
      <c r="AK1408">
        <v>80</v>
      </c>
      <c r="AL1408" t="s">
        <v>153</v>
      </c>
      <c r="AM1408">
        <v>2</v>
      </c>
      <c r="AN1408" t="s">
        <v>996</v>
      </c>
      <c r="AO1408" t="s">
        <v>67</v>
      </c>
      <c r="AP1408" t="s">
        <v>68</v>
      </c>
      <c r="AQ1408">
        <v>15</v>
      </c>
      <c r="AR1408">
        <v>181</v>
      </c>
      <c r="AS1408">
        <v>363</v>
      </c>
      <c r="AT1408">
        <v>4.2</v>
      </c>
      <c r="AU1408">
        <v>7</v>
      </c>
      <c r="AV1408" t="s">
        <v>5103</v>
      </c>
      <c r="AW1408" t="s">
        <v>5075</v>
      </c>
      <c r="AX1408" t="s">
        <v>5104</v>
      </c>
    </row>
    <row r="1409" spans="1:50" x14ac:dyDescent="0.25">
      <c r="A1409" t="s">
        <v>5105</v>
      </c>
      <c r="B1409" t="s">
        <v>1679</v>
      </c>
      <c r="C1409">
        <v>0</v>
      </c>
      <c r="D1409">
        <v>0</v>
      </c>
      <c r="E1409" t="s">
        <v>1698</v>
      </c>
      <c r="H1409">
        <v>1</v>
      </c>
      <c r="N1409">
        <v>0</v>
      </c>
      <c r="Q1409">
        <v>0</v>
      </c>
      <c r="R1409">
        <v>1</v>
      </c>
      <c r="U1409" t="s">
        <v>65</v>
      </c>
      <c r="V1409">
        <v>36</v>
      </c>
      <c r="W1409" t="s">
        <v>1688</v>
      </c>
      <c r="X1409" t="s">
        <v>80</v>
      </c>
      <c r="Y1409">
        <v>0</v>
      </c>
      <c r="AD1409" t="s">
        <v>57</v>
      </c>
      <c r="AE1409">
        <v>1</v>
      </c>
      <c r="AF1409">
        <v>6</v>
      </c>
      <c r="AG1409">
        <v>1</v>
      </c>
      <c r="AH1409">
        <v>1.5</v>
      </c>
      <c r="AI1409">
        <v>384</v>
      </c>
      <c r="AJ1409">
        <v>384</v>
      </c>
      <c r="AK1409">
        <v>160</v>
      </c>
      <c r="AL1409" t="s">
        <v>1727</v>
      </c>
      <c r="AM1409">
        <v>1</v>
      </c>
      <c r="AN1409" t="s">
        <v>1728</v>
      </c>
      <c r="AO1409" t="s">
        <v>59</v>
      </c>
      <c r="AP1409" t="s">
        <v>1729</v>
      </c>
      <c r="AQ1409">
        <v>11</v>
      </c>
      <c r="AR1409">
        <v>40</v>
      </c>
      <c r="AS1409">
        <v>108</v>
      </c>
      <c r="AT1409">
        <v>1.81</v>
      </c>
      <c r="AU1409">
        <v>5.05</v>
      </c>
      <c r="AV1409" t="s">
        <v>4552</v>
      </c>
      <c r="AW1409" t="s">
        <v>3875</v>
      </c>
      <c r="AX1409" t="s">
        <v>5106</v>
      </c>
    </row>
    <row r="1410" spans="1:50" x14ac:dyDescent="0.25">
      <c r="A1410" t="s">
        <v>5107</v>
      </c>
      <c r="B1410" t="s">
        <v>1679</v>
      </c>
      <c r="C1410">
        <v>0</v>
      </c>
      <c r="D1410">
        <v>0</v>
      </c>
      <c r="E1410" t="s">
        <v>1734</v>
      </c>
      <c r="H1410">
        <v>0</v>
      </c>
      <c r="N1410">
        <v>1</v>
      </c>
      <c r="Q1410">
        <v>1</v>
      </c>
      <c r="R1410">
        <v>0</v>
      </c>
      <c r="U1410" t="s">
        <v>1735</v>
      </c>
      <c r="V1410">
        <v>56</v>
      </c>
      <c r="W1410" t="s">
        <v>79</v>
      </c>
      <c r="X1410" t="s">
        <v>80</v>
      </c>
      <c r="Y1410">
        <v>0</v>
      </c>
      <c r="Z1410">
        <v>65.771000000000001</v>
      </c>
      <c r="AB1410" t="s">
        <v>74</v>
      </c>
      <c r="AD1410" t="s">
        <v>57</v>
      </c>
      <c r="AE1410">
        <v>0</v>
      </c>
      <c r="AF1410">
        <v>6</v>
      </c>
      <c r="AG1410">
        <v>1</v>
      </c>
      <c r="AH1410">
        <v>1.5</v>
      </c>
      <c r="AI1410">
        <v>512</v>
      </c>
      <c r="AJ1410">
        <v>512</v>
      </c>
      <c r="AK1410">
        <v>66</v>
      </c>
      <c r="AL1410" t="s">
        <v>331</v>
      </c>
      <c r="AM1410">
        <v>2.4</v>
      </c>
      <c r="AN1410" t="s">
        <v>1942</v>
      </c>
      <c r="AO1410" t="s">
        <v>67</v>
      </c>
      <c r="AP1410" t="s">
        <v>68</v>
      </c>
      <c r="AQ1410">
        <v>15</v>
      </c>
      <c r="AR1410">
        <v>386</v>
      </c>
      <c r="AS1410">
        <v>772</v>
      </c>
      <c r="AT1410">
        <v>3.052</v>
      </c>
      <c r="AU1410">
        <v>6.2960000000000003</v>
      </c>
      <c r="AV1410" t="s">
        <v>5108</v>
      </c>
      <c r="AW1410" t="s">
        <v>5109</v>
      </c>
      <c r="AX1410" t="s">
        <v>5110</v>
      </c>
    </row>
    <row r="1411" spans="1:50" x14ac:dyDescent="0.25">
      <c r="A1411" t="s">
        <v>5111</v>
      </c>
      <c r="B1411" t="s">
        <v>1679</v>
      </c>
      <c r="C1411">
        <v>0</v>
      </c>
      <c r="D1411">
        <v>0</v>
      </c>
      <c r="E1411" t="s">
        <v>2035</v>
      </c>
      <c r="H1411">
        <v>0</v>
      </c>
      <c r="N1411">
        <v>1</v>
      </c>
      <c r="Q1411">
        <v>1</v>
      </c>
      <c r="R1411">
        <v>1</v>
      </c>
      <c r="U1411" t="s">
        <v>1735</v>
      </c>
      <c r="V1411">
        <v>55</v>
      </c>
      <c r="X1411" t="s">
        <v>80</v>
      </c>
      <c r="Y1411">
        <v>0</v>
      </c>
      <c r="Z1411">
        <v>68.039000000000001</v>
      </c>
      <c r="AB1411" t="s">
        <v>74</v>
      </c>
      <c r="AD1411" t="s">
        <v>57</v>
      </c>
      <c r="AE1411">
        <v>0</v>
      </c>
      <c r="AF1411">
        <v>6</v>
      </c>
      <c r="AG1411">
        <v>1</v>
      </c>
      <c r="AH1411">
        <v>3</v>
      </c>
      <c r="AI1411">
        <v>512</v>
      </c>
      <c r="AJ1411">
        <v>512</v>
      </c>
      <c r="AK1411">
        <v>134</v>
      </c>
      <c r="AL1411" t="s">
        <v>128</v>
      </c>
      <c r="AM1411">
        <v>2.4</v>
      </c>
      <c r="AN1411" t="s">
        <v>1786</v>
      </c>
      <c r="AO1411" t="s">
        <v>67</v>
      </c>
      <c r="AP1411" t="s">
        <v>68</v>
      </c>
      <c r="AQ1411">
        <v>15</v>
      </c>
      <c r="AR1411">
        <v>235</v>
      </c>
      <c r="AS1411">
        <v>471</v>
      </c>
      <c r="AT1411">
        <v>2.8239999999999998</v>
      </c>
      <c r="AU1411">
        <v>7.5289999999999999</v>
      </c>
      <c r="AV1411" t="s">
        <v>1817</v>
      </c>
      <c r="AW1411" t="s">
        <v>2597</v>
      </c>
      <c r="AX1411" t="s">
        <v>5112</v>
      </c>
    </row>
    <row r="1412" spans="1:50" x14ac:dyDescent="0.25">
      <c r="A1412" t="s">
        <v>5113</v>
      </c>
      <c r="B1412" t="s">
        <v>1679</v>
      </c>
      <c r="C1412">
        <v>0</v>
      </c>
      <c r="D1412">
        <v>0</v>
      </c>
      <c r="E1412" t="s">
        <v>1725</v>
      </c>
      <c r="H1412">
        <v>0</v>
      </c>
      <c r="N1412">
        <v>1</v>
      </c>
      <c r="Q1412">
        <v>0</v>
      </c>
      <c r="R1412">
        <v>0</v>
      </c>
      <c r="U1412" t="s">
        <v>1687</v>
      </c>
      <c r="V1412">
        <v>29</v>
      </c>
      <c r="W1412" t="s">
        <v>1726</v>
      </c>
      <c r="X1412" t="s">
        <v>55</v>
      </c>
      <c r="Y1412">
        <v>0</v>
      </c>
      <c r="Z1412">
        <v>115</v>
      </c>
      <c r="AB1412" t="s">
        <v>269</v>
      </c>
      <c r="AD1412" t="s">
        <v>57</v>
      </c>
      <c r="AE1412">
        <v>0</v>
      </c>
      <c r="AF1412">
        <v>6</v>
      </c>
      <c r="AG1412">
        <v>0</v>
      </c>
      <c r="AH1412">
        <v>1.5</v>
      </c>
      <c r="AI1412">
        <v>400</v>
      </c>
      <c r="AJ1412">
        <v>400</v>
      </c>
      <c r="AK1412">
        <v>64</v>
      </c>
      <c r="AL1412" t="s">
        <v>1924</v>
      </c>
      <c r="AM1412">
        <v>2.5</v>
      </c>
      <c r="AN1412" t="s">
        <v>1531</v>
      </c>
      <c r="AO1412" t="s">
        <v>1155</v>
      </c>
      <c r="AP1412" t="s">
        <v>1767</v>
      </c>
      <c r="AQ1412">
        <v>11</v>
      </c>
      <c r="AR1412">
        <v>152</v>
      </c>
      <c r="AS1412">
        <v>264.08</v>
      </c>
      <c r="AT1412">
        <v>4.6040000000000001</v>
      </c>
      <c r="AU1412">
        <v>7.2138</v>
      </c>
      <c r="AV1412" t="s">
        <v>5114</v>
      </c>
      <c r="AW1412" t="s">
        <v>5115</v>
      </c>
      <c r="AX1412" t="s">
        <v>5116</v>
      </c>
    </row>
    <row r="1413" spans="1:50" x14ac:dyDescent="0.25">
      <c r="A1413" t="s">
        <v>5117</v>
      </c>
      <c r="B1413" t="s">
        <v>1679</v>
      </c>
      <c r="C1413">
        <v>0</v>
      </c>
      <c r="D1413">
        <v>0</v>
      </c>
      <c r="E1413" t="s">
        <v>1703</v>
      </c>
      <c r="H1413">
        <v>1</v>
      </c>
      <c r="N1413">
        <v>0</v>
      </c>
      <c r="Q1413">
        <v>0</v>
      </c>
      <c r="R1413">
        <v>1</v>
      </c>
      <c r="U1413" t="s">
        <v>65</v>
      </c>
      <c r="V1413">
        <v>30</v>
      </c>
      <c r="X1413" t="s">
        <v>80</v>
      </c>
      <c r="Y1413">
        <v>0</v>
      </c>
      <c r="Z1413">
        <v>59</v>
      </c>
      <c r="AB1413" t="s">
        <v>74</v>
      </c>
      <c r="AD1413" t="s">
        <v>57</v>
      </c>
      <c r="AE1413">
        <v>0</v>
      </c>
      <c r="AF1413">
        <v>6</v>
      </c>
      <c r="AG1413">
        <v>1</v>
      </c>
      <c r="AH1413">
        <v>1.5</v>
      </c>
      <c r="AI1413">
        <v>480</v>
      </c>
      <c r="AJ1413">
        <v>480</v>
      </c>
      <c r="AK1413">
        <v>64</v>
      </c>
      <c r="AL1413" t="s">
        <v>196</v>
      </c>
      <c r="AM1413">
        <v>2.5</v>
      </c>
      <c r="AN1413" t="s">
        <v>1531</v>
      </c>
      <c r="AO1413" t="s">
        <v>1155</v>
      </c>
      <c r="AP1413" t="s">
        <v>1767</v>
      </c>
      <c r="AQ1413">
        <v>11</v>
      </c>
      <c r="AR1413">
        <v>95.02</v>
      </c>
      <c r="AS1413">
        <v>165.17</v>
      </c>
      <c r="AT1413">
        <v>2.5819999999999999</v>
      </c>
      <c r="AU1413">
        <v>5.1771000000000003</v>
      </c>
      <c r="AV1413" t="s">
        <v>5118</v>
      </c>
      <c r="AW1413" t="s">
        <v>1981</v>
      </c>
      <c r="AX1413" t="s">
        <v>5119</v>
      </c>
    </row>
    <row r="1414" spans="1:50" x14ac:dyDescent="0.25">
      <c r="A1414" t="s">
        <v>5120</v>
      </c>
      <c r="B1414" t="s">
        <v>1679</v>
      </c>
      <c r="C1414">
        <v>0</v>
      </c>
      <c r="D1414">
        <v>0</v>
      </c>
      <c r="E1414" t="s">
        <v>1680</v>
      </c>
      <c r="H1414">
        <v>0</v>
      </c>
      <c r="N1414">
        <v>1</v>
      </c>
      <c r="Q1414">
        <v>0</v>
      </c>
      <c r="R1414">
        <v>0</v>
      </c>
      <c r="U1414" t="s">
        <v>1687</v>
      </c>
      <c r="V1414">
        <v>37</v>
      </c>
      <c r="W1414" t="s">
        <v>1688</v>
      </c>
      <c r="X1414" t="s">
        <v>80</v>
      </c>
      <c r="Y1414">
        <v>0</v>
      </c>
      <c r="AD1414" t="s">
        <v>57</v>
      </c>
      <c r="AE1414">
        <v>0</v>
      </c>
      <c r="AF1414">
        <v>6</v>
      </c>
      <c r="AG1414">
        <v>1</v>
      </c>
      <c r="AH1414">
        <v>3</v>
      </c>
      <c r="AI1414">
        <v>512</v>
      </c>
      <c r="AJ1414">
        <v>512</v>
      </c>
      <c r="AK1414">
        <v>120</v>
      </c>
      <c r="AL1414" t="s">
        <v>119</v>
      </c>
      <c r="AM1414">
        <v>2.4</v>
      </c>
      <c r="AN1414" t="s">
        <v>1786</v>
      </c>
      <c r="AO1414" t="s">
        <v>67</v>
      </c>
      <c r="AP1414" t="s">
        <v>68</v>
      </c>
      <c r="AQ1414">
        <v>15</v>
      </c>
      <c r="AR1414">
        <v>247</v>
      </c>
      <c r="AS1414">
        <v>494</v>
      </c>
      <c r="AT1414">
        <v>2.7959999999999998</v>
      </c>
      <c r="AU1414">
        <v>7.2469999999999999</v>
      </c>
      <c r="AV1414" t="s">
        <v>2106</v>
      </c>
      <c r="AW1414" t="s">
        <v>2637</v>
      </c>
      <c r="AX1414" t="s">
        <v>5121</v>
      </c>
    </row>
    <row r="1415" spans="1:50" x14ac:dyDescent="0.25">
      <c r="A1415" t="s">
        <v>5122</v>
      </c>
      <c r="B1415" t="s">
        <v>1679</v>
      </c>
      <c r="C1415">
        <v>0</v>
      </c>
      <c r="D1415">
        <v>0</v>
      </c>
      <c r="E1415" t="s">
        <v>1703</v>
      </c>
      <c r="H1415">
        <v>0</v>
      </c>
      <c r="N1415">
        <v>1</v>
      </c>
      <c r="Q1415">
        <v>0</v>
      </c>
      <c r="R1415">
        <v>0</v>
      </c>
      <c r="U1415" t="s">
        <v>1687</v>
      </c>
      <c r="V1415">
        <v>37</v>
      </c>
      <c r="W1415" t="s">
        <v>1688</v>
      </c>
      <c r="X1415" t="s">
        <v>321</v>
      </c>
      <c r="Y1415">
        <v>0</v>
      </c>
      <c r="Z1415">
        <v>56.698999999999998</v>
      </c>
      <c r="AB1415" t="s">
        <v>74</v>
      </c>
      <c r="AD1415" t="s">
        <v>57</v>
      </c>
      <c r="AE1415">
        <v>0</v>
      </c>
      <c r="AF1415">
        <v>6</v>
      </c>
      <c r="AG1415">
        <v>1</v>
      </c>
      <c r="AH1415">
        <v>1.5</v>
      </c>
      <c r="AI1415">
        <v>512</v>
      </c>
      <c r="AJ1415">
        <v>512</v>
      </c>
      <c r="AK1415">
        <v>80</v>
      </c>
      <c r="AL1415" t="s">
        <v>196</v>
      </c>
      <c r="AM1415">
        <v>2</v>
      </c>
      <c r="AN1415" t="s">
        <v>996</v>
      </c>
      <c r="AO1415" t="s">
        <v>67</v>
      </c>
      <c r="AP1415" t="s">
        <v>68</v>
      </c>
      <c r="AQ1415">
        <v>15</v>
      </c>
      <c r="AR1415">
        <v>139</v>
      </c>
      <c r="AS1415">
        <v>278</v>
      </c>
      <c r="AT1415">
        <v>4.2</v>
      </c>
      <c r="AU1415">
        <v>7</v>
      </c>
      <c r="AV1415" t="s">
        <v>5123</v>
      </c>
      <c r="AW1415" t="s">
        <v>2206</v>
      </c>
      <c r="AX1415" t="s">
        <v>5124</v>
      </c>
    </row>
    <row r="1416" spans="1:50" x14ac:dyDescent="0.25">
      <c r="A1416" t="s">
        <v>5125</v>
      </c>
      <c r="B1416" t="s">
        <v>1679</v>
      </c>
      <c r="C1416">
        <v>0</v>
      </c>
      <c r="D1416">
        <v>1</v>
      </c>
      <c r="E1416" t="s">
        <v>1725</v>
      </c>
      <c r="H1416">
        <v>0</v>
      </c>
      <c r="N1416">
        <v>1</v>
      </c>
      <c r="Q1416">
        <v>0</v>
      </c>
      <c r="R1416">
        <v>0</v>
      </c>
      <c r="U1416" t="s">
        <v>1687</v>
      </c>
      <c r="V1416">
        <v>51</v>
      </c>
      <c r="W1416" t="s">
        <v>1704</v>
      </c>
      <c r="X1416" t="s">
        <v>80</v>
      </c>
      <c r="Y1416">
        <v>0</v>
      </c>
      <c r="AD1416" t="s">
        <v>57</v>
      </c>
      <c r="AE1416">
        <v>0</v>
      </c>
      <c r="AF1416">
        <v>6</v>
      </c>
      <c r="AG1416">
        <v>1</v>
      </c>
      <c r="AH1416">
        <v>1.5</v>
      </c>
      <c r="AI1416">
        <v>512</v>
      </c>
      <c r="AJ1416">
        <v>512</v>
      </c>
      <c r="AK1416">
        <v>72</v>
      </c>
      <c r="AL1416" t="s">
        <v>119</v>
      </c>
      <c r="AM1416">
        <v>2.2000000000000002</v>
      </c>
      <c r="AN1416" t="s">
        <v>1072</v>
      </c>
      <c r="AO1416" t="s">
        <v>67</v>
      </c>
      <c r="AP1416" t="s">
        <v>68</v>
      </c>
      <c r="AQ1416">
        <v>15</v>
      </c>
      <c r="AR1416">
        <v>355</v>
      </c>
      <c r="AS1416">
        <v>710</v>
      </c>
      <c r="AT1416">
        <v>4.2359999999999998</v>
      </c>
      <c r="AU1416">
        <v>8.6679999999999993</v>
      </c>
      <c r="AV1416" t="s">
        <v>5126</v>
      </c>
      <c r="AW1416" t="s">
        <v>5127</v>
      </c>
      <c r="AX1416" t="s">
        <v>5128</v>
      </c>
    </row>
    <row r="1417" spans="1:50" x14ac:dyDescent="0.25">
      <c r="A1417" t="s">
        <v>5129</v>
      </c>
      <c r="B1417" t="s">
        <v>1679</v>
      </c>
      <c r="C1417">
        <v>0</v>
      </c>
      <c r="D1417">
        <v>1</v>
      </c>
      <c r="E1417" t="s">
        <v>1725</v>
      </c>
      <c r="H1417">
        <v>0</v>
      </c>
      <c r="N1417">
        <v>0</v>
      </c>
      <c r="Q1417">
        <v>0</v>
      </c>
      <c r="R1417">
        <v>1</v>
      </c>
      <c r="U1417" t="s">
        <v>65</v>
      </c>
      <c r="V1417">
        <v>48</v>
      </c>
      <c r="W1417" t="s">
        <v>1688</v>
      </c>
      <c r="X1417" t="s">
        <v>80</v>
      </c>
      <c r="Y1417">
        <v>0</v>
      </c>
      <c r="Z1417">
        <v>90.718000000000004</v>
      </c>
      <c r="AB1417" t="s">
        <v>118</v>
      </c>
      <c r="AD1417" t="s">
        <v>57</v>
      </c>
      <c r="AE1417">
        <v>0</v>
      </c>
      <c r="AF1417">
        <v>6</v>
      </c>
      <c r="AG1417">
        <v>1</v>
      </c>
      <c r="AH1417">
        <v>1.5</v>
      </c>
      <c r="AI1417">
        <v>512</v>
      </c>
      <c r="AJ1417">
        <v>512</v>
      </c>
      <c r="AK1417">
        <v>70</v>
      </c>
      <c r="AL1417" t="s">
        <v>196</v>
      </c>
      <c r="AM1417">
        <v>2.6</v>
      </c>
      <c r="AN1417" t="s">
        <v>1897</v>
      </c>
      <c r="AO1417" t="s">
        <v>67</v>
      </c>
      <c r="AP1417" t="s">
        <v>68</v>
      </c>
      <c r="AQ1417">
        <v>15</v>
      </c>
      <c r="AR1417">
        <v>14</v>
      </c>
      <c r="AS1417">
        <v>29</v>
      </c>
      <c r="AT1417">
        <v>4.12</v>
      </c>
      <c r="AU1417">
        <v>8.4320000000000004</v>
      </c>
      <c r="AV1417" t="s">
        <v>5130</v>
      </c>
      <c r="AW1417" t="s">
        <v>1904</v>
      </c>
      <c r="AX1417" t="s">
        <v>5131</v>
      </c>
    </row>
    <row r="1418" spans="1:50" x14ac:dyDescent="0.25">
      <c r="A1418" t="s">
        <v>5132</v>
      </c>
      <c r="B1418" t="s">
        <v>1679</v>
      </c>
      <c r="C1418">
        <v>0</v>
      </c>
      <c r="D1418">
        <v>1</v>
      </c>
      <c r="E1418" t="s">
        <v>1680</v>
      </c>
      <c r="H1418">
        <v>1</v>
      </c>
      <c r="N1418">
        <v>1</v>
      </c>
      <c r="Q1418">
        <v>0</v>
      </c>
      <c r="R1418">
        <v>0</v>
      </c>
      <c r="U1418" t="s">
        <v>1687</v>
      </c>
      <c r="V1418">
        <v>53</v>
      </c>
      <c r="W1418" t="s">
        <v>79</v>
      </c>
      <c r="X1418" t="s">
        <v>80</v>
      </c>
      <c r="Y1418">
        <v>0</v>
      </c>
      <c r="Z1418">
        <v>107.501</v>
      </c>
      <c r="AB1418" t="s">
        <v>56</v>
      </c>
      <c r="AD1418" t="s">
        <v>57</v>
      </c>
      <c r="AE1418">
        <v>0</v>
      </c>
      <c r="AF1418">
        <v>6</v>
      </c>
      <c r="AG1418">
        <v>1</v>
      </c>
      <c r="AH1418">
        <v>1.5</v>
      </c>
      <c r="AI1418">
        <v>512</v>
      </c>
      <c r="AJ1418">
        <v>512</v>
      </c>
      <c r="AK1418">
        <v>66</v>
      </c>
      <c r="AL1418" t="s">
        <v>196</v>
      </c>
      <c r="AM1418">
        <v>2.4</v>
      </c>
      <c r="AN1418" t="s">
        <v>1942</v>
      </c>
      <c r="AO1418" t="s">
        <v>67</v>
      </c>
      <c r="AP1418" t="s">
        <v>68</v>
      </c>
      <c r="AQ1418">
        <v>15</v>
      </c>
      <c r="AR1418">
        <v>390</v>
      </c>
      <c r="AS1418">
        <v>780</v>
      </c>
      <c r="AT1418">
        <v>2.988</v>
      </c>
      <c r="AU1418">
        <v>6.2279999999999998</v>
      </c>
      <c r="AV1418" t="s">
        <v>5133</v>
      </c>
      <c r="AW1418" t="s">
        <v>5134</v>
      </c>
      <c r="AX1418" t="s">
        <v>5135</v>
      </c>
    </row>
    <row r="1419" spans="1:50" x14ac:dyDescent="0.25">
      <c r="A1419" t="s">
        <v>5136</v>
      </c>
      <c r="B1419" t="s">
        <v>1679</v>
      </c>
      <c r="C1419">
        <v>0</v>
      </c>
      <c r="D1419">
        <v>0</v>
      </c>
      <c r="E1419" t="s">
        <v>1703</v>
      </c>
      <c r="H1419">
        <v>0</v>
      </c>
      <c r="N1419">
        <v>1</v>
      </c>
      <c r="Q1419">
        <v>0</v>
      </c>
      <c r="R1419">
        <v>1</v>
      </c>
      <c r="U1419" t="s">
        <v>1687</v>
      </c>
      <c r="V1419">
        <v>58</v>
      </c>
      <c r="W1419" t="s">
        <v>79</v>
      </c>
      <c r="X1419" t="s">
        <v>80</v>
      </c>
      <c r="Y1419">
        <v>0</v>
      </c>
      <c r="Z1419">
        <v>54.430999999999997</v>
      </c>
      <c r="AB1419" t="s">
        <v>74</v>
      </c>
      <c r="AD1419" t="s">
        <v>57</v>
      </c>
      <c r="AE1419">
        <v>0</v>
      </c>
      <c r="AF1419">
        <v>6</v>
      </c>
      <c r="AG1419">
        <v>1</v>
      </c>
      <c r="AH1419">
        <v>1.5</v>
      </c>
      <c r="AI1419">
        <v>512</v>
      </c>
      <c r="AJ1419">
        <v>512</v>
      </c>
      <c r="AK1419">
        <v>80</v>
      </c>
      <c r="AL1419" t="s">
        <v>113</v>
      </c>
      <c r="AM1419">
        <v>2</v>
      </c>
      <c r="AN1419" t="s">
        <v>996</v>
      </c>
      <c r="AO1419" t="s">
        <v>67</v>
      </c>
      <c r="AP1419" t="s">
        <v>68</v>
      </c>
      <c r="AQ1419">
        <v>15</v>
      </c>
      <c r="AR1419">
        <v>175</v>
      </c>
      <c r="AS1419">
        <v>351</v>
      </c>
      <c r="AT1419">
        <v>4.2</v>
      </c>
      <c r="AU1419">
        <v>7</v>
      </c>
      <c r="AV1419" t="s">
        <v>3979</v>
      </c>
      <c r="AW1419" t="s">
        <v>3510</v>
      </c>
      <c r="AX1419" t="s">
        <v>5137</v>
      </c>
    </row>
    <row r="1420" spans="1:50" x14ac:dyDescent="0.25">
      <c r="A1420" t="s">
        <v>5138</v>
      </c>
      <c r="B1420" t="s">
        <v>1679</v>
      </c>
      <c r="C1420">
        <v>0</v>
      </c>
      <c r="D1420">
        <v>1</v>
      </c>
      <c r="E1420" t="s">
        <v>1725</v>
      </c>
      <c r="H1420">
        <v>0</v>
      </c>
      <c r="N1420">
        <v>1</v>
      </c>
      <c r="Q1420">
        <v>0</v>
      </c>
      <c r="R1420">
        <v>1</v>
      </c>
      <c r="U1420" t="s">
        <v>1687</v>
      </c>
      <c r="V1420">
        <v>32</v>
      </c>
      <c r="W1420" t="s">
        <v>1704</v>
      </c>
      <c r="X1420" t="s">
        <v>80</v>
      </c>
      <c r="Y1420">
        <v>0</v>
      </c>
      <c r="Z1420">
        <v>66.677999999999997</v>
      </c>
      <c r="AB1420" t="s">
        <v>74</v>
      </c>
      <c r="AD1420" t="s">
        <v>57</v>
      </c>
      <c r="AE1420">
        <v>0</v>
      </c>
      <c r="AF1420">
        <v>6</v>
      </c>
      <c r="AG1420">
        <v>1</v>
      </c>
      <c r="AH1420">
        <v>3</v>
      </c>
      <c r="AI1420">
        <v>512</v>
      </c>
      <c r="AJ1420">
        <v>512</v>
      </c>
      <c r="AK1420">
        <v>80</v>
      </c>
      <c r="AL1420" t="s">
        <v>331</v>
      </c>
      <c r="AM1420">
        <v>2</v>
      </c>
      <c r="AN1420" t="s">
        <v>1915</v>
      </c>
      <c r="AO1420" t="s">
        <v>67</v>
      </c>
      <c r="AP1420" t="s">
        <v>68</v>
      </c>
      <c r="AQ1420">
        <v>15</v>
      </c>
      <c r="AR1420">
        <v>820</v>
      </c>
      <c r="AS1420">
        <v>1640</v>
      </c>
      <c r="AT1420">
        <v>2.2280000000000002</v>
      </c>
      <c r="AU1420">
        <v>5.9909999999999997</v>
      </c>
      <c r="AV1420" t="s">
        <v>5139</v>
      </c>
      <c r="AW1420" t="s">
        <v>4509</v>
      </c>
      <c r="AX1420" t="s">
        <v>5140</v>
      </c>
    </row>
    <row r="1421" spans="1:50" x14ac:dyDescent="0.25">
      <c r="A1421" t="s">
        <v>5141</v>
      </c>
      <c r="B1421" t="s">
        <v>1679</v>
      </c>
      <c r="C1421">
        <v>0</v>
      </c>
      <c r="D1421">
        <v>1</v>
      </c>
      <c r="E1421" t="s">
        <v>1780</v>
      </c>
      <c r="H1421">
        <v>0</v>
      </c>
      <c r="N1421">
        <v>1</v>
      </c>
      <c r="Q1421">
        <v>0</v>
      </c>
      <c r="R1421">
        <v>0</v>
      </c>
      <c r="U1421" t="s">
        <v>1687</v>
      </c>
      <c r="V1421">
        <v>47</v>
      </c>
      <c r="W1421" t="s">
        <v>1726</v>
      </c>
      <c r="X1421" t="s">
        <v>80</v>
      </c>
      <c r="Y1421">
        <v>0</v>
      </c>
      <c r="AD1421" t="s">
        <v>57</v>
      </c>
      <c r="AE1421">
        <v>0</v>
      </c>
      <c r="AF1421">
        <v>6</v>
      </c>
      <c r="AG1421">
        <v>1</v>
      </c>
      <c r="AH1421">
        <v>3</v>
      </c>
      <c r="AI1421">
        <v>512</v>
      </c>
      <c r="AJ1421">
        <v>512</v>
      </c>
      <c r="AK1421">
        <v>134</v>
      </c>
      <c r="AL1421" t="s">
        <v>119</v>
      </c>
      <c r="AM1421">
        <v>2.4</v>
      </c>
      <c r="AN1421" t="s">
        <v>1786</v>
      </c>
      <c r="AO1421" t="s">
        <v>67</v>
      </c>
      <c r="AP1421" t="s">
        <v>68</v>
      </c>
      <c r="AQ1421">
        <v>15</v>
      </c>
      <c r="AR1421">
        <v>184</v>
      </c>
      <c r="AS1421">
        <v>369</v>
      </c>
      <c r="AT1421">
        <v>2.8079999999999998</v>
      </c>
      <c r="AU1421">
        <v>7.3090000000000002</v>
      </c>
      <c r="AV1421" t="s">
        <v>4250</v>
      </c>
      <c r="AW1421" t="s">
        <v>5142</v>
      </c>
      <c r="AX1421" t="s">
        <v>5143</v>
      </c>
    </row>
    <row r="1422" spans="1:50" x14ac:dyDescent="0.25">
      <c r="A1422" t="s">
        <v>5144</v>
      </c>
      <c r="B1422" t="s">
        <v>1679</v>
      </c>
      <c r="C1422">
        <v>0</v>
      </c>
      <c r="D1422">
        <v>0</v>
      </c>
      <c r="E1422" t="s">
        <v>1680</v>
      </c>
      <c r="H1422">
        <v>0</v>
      </c>
      <c r="N1422">
        <v>1</v>
      </c>
      <c r="Q1422">
        <v>0</v>
      </c>
      <c r="R1422">
        <v>0</v>
      </c>
      <c r="U1422" t="s">
        <v>1687</v>
      </c>
      <c r="V1422">
        <v>47</v>
      </c>
      <c r="W1422" t="s">
        <v>1726</v>
      </c>
      <c r="X1422" t="s">
        <v>111</v>
      </c>
      <c r="Y1422">
        <v>0</v>
      </c>
      <c r="Z1422">
        <v>75</v>
      </c>
      <c r="AB1422" t="s">
        <v>94</v>
      </c>
      <c r="AD1422" t="s">
        <v>57</v>
      </c>
      <c r="AE1422">
        <v>0</v>
      </c>
      <c r="AF1422">
        <v>6</v>
      </c>
      <c r="AG1422">
        <v>1</v>
      </c>
      <c r="AH1422">
        <v>1.5</v>
      </c>
      <c r="AI1422">
        <v>512</v>
      </c>
      <c r="AJ1422">
        <v>512</v>
      </c>
      <c r="AK1422">
        <v>160</v>
      </c>
      <c r="AL1422" t="s">
        <v>1876</v>
      </c>
      <c r="AM1422">
        <v>2</v>
      </c>
      <c r="AN1422" t="s">
        <v>1877</v>
      </c>
      <c r="AO1422" t="s">
        <v>1155</v>
      </c>
      <c r="AP1422" t="s">
        <v>1767</v>
      </c>
      <c r="AQ1422">
        <v>11</v>
      </c>
      <c r="AR1422">
        <v>434</v>
      </c>
      <c r="AS1422">
        <v>755</v>
      </c>
      <c r="AT1422">
        <v>3.5459999999999998</v>
      </c>
      <c r="AU1422">
        <v>7.1877000000000004</v>
      </c>
      <c r="AW1422" t="s">
        <v>5145</v>
      </c>
      <c r="AX1422" t="s">
        <v>5146</v>
      </c>
    </row>
    <row r="1423" spans="1:50" x14ac:dyDescent="0.25">
      <c r="A1423" t="s">
        <v>5147</v>
      </c>
      <c r="B1423" t="s">
        <v>1679</v>
      </c>
      <c r="C1423">
        <v>0</v>
      </c>
      <c r="D1423">
        <v>0</v>
      </c>
      <c r="E1423" t="s">
        <v>1725</v>
      </c>
      <c r="H1423">
        <v>1</v>
      </c>
      <c r="N1423">
        <v>0</v>
      </c>
      <c r="Q1423">
        <v>0</v>
      </c>
      <c r="R1423">
        <v>1</v>
      </c>
      <c r="U1423" t="s">
        <v>65</v>
      </c>
      <c r="V1423">
        <v>41</v>
      </c>
      <c r="W1423" t="s">
        <v>1688</v>
      </c>
      <c r="X1423" t="s">
        <v>80</v>
      </c>
      <c r="Y1423">
        <v>0</v>
      </c>
      <c r="Z1423">
        <v>79.002193132499997</v>
      </c>
      <c r="AB1423" t="s">
        <v>94</v>
      </c>
      <c r="AD1423" t="s">
        <v>57</v>
      </c>
      <c r="AE1423">
        <v>1</v>
      </c>
      <c r="AF1423">
        <v>6</v>
      </c>
      <c r="AG1423">
        <v>1</v>
      </c>
      <c r="AH1423">
        <v>1.5</v>
      </c>
      <c r="AI1423">
        <v>384</v>
      </c>
      <c r="AJ1423">
        <v>384</v>
      </c>
      <c r="AK1423">
        <v>176</v>
      </c>
      <c r="AL1423" t="s">
        <v>1800</v>
      </c>
      <c r="AM1423">
        <v>1.1000000238000001</v>
      </c>
      <c r="AN1423" t="s">
        <v>1720</v>
      </c>
      <c r="AO1423" t="s">
        <v>59</v>
      </c>
      <c r="AP1423" t="s">
        <v>60</v>
      </c>
      <c r="AQ1423">
        <v>11</v>
      </c>
      <c r="AR1423">
        <v>240</v>
      </c>
      <c r="AS1423">
        <v>428</v>
      </c>
      <c r="AT1423">
        <v>1.52</v>
      </c>
      <c r="AU1423">
        <v>4.1399999999999997</v>
      </c>
      <c r="AV1423" t="s">
        <v>5148</v>
      </c>
      <c r="AW1423" t="s">
        <v>2134</v>
      </c>
      <c r="AX1423" t="s">
        <v>5149</v>
      </c>
    </row>
    <row r="1424" spans="1:50" x14ac:dyDescent="0.25">
      <c r="A1424" t="s">
        <v>5150</v>
      </c>
      <c r="B1424" t="s">
        <v>1679</v>
      </c>
      <c r="C1424">
        <v>0</v>
      </c>
      <c r="D1424">
        <v>0</v>
      </c>
      <c r="E1424" t="s">
        <v>1725</v>
      </c>
      <c r="H1424">
        <v>1</v>
      </c>
      <c r="N1424">
        <v>0</v>
      </c>
      <c r="Q1424">
        <v>0</v>
      </c>
      <c r="R1424">
        <v>0</v>
      </c>
      <c r="U1424" t="s">
        <v>65</v>
      </c>
      <c r="V1424">
        <v>67</v>
      </c>
      <c r="W1424" t="s">
        <v>79</v>
      </c>
      <c r="X1424" t="s">
        <v>80</v>
      </c>
      <c r="Y1424">
        <v>0</v>
      </c>
      <c r="Z1424">
        <v>74.843000000000004</v>
      </c>
      <c r="AB1424" t="s">
        <v>94</v>
      </c>
      <c r="AD1424" t="s">
        <v>57</v>
      </c>
      <c r="AE1424">
        <v>0</v>
      </c>
      <c r="AF1424">
        <v>6</v>
      </c>
      <c r="AG1424">
        <v>1</v>
      </c>
      <c r="AH1424">
        <v>1.5</v>
      </c>
      <c r="AI1424">
        <v>512</v>
      </c>
      <c r="AJ1424">
        <v>512</v>
      </c>
      <c r="AK1424">
        <v>64</v>
      </c>
      <c r="AL1424" t="s">
        <v>119</v>
      </c>
      <c r="AM1424">
        <v>2.5</v>
      </c>
      <c r="AN1424" t="s">
        <v>2618</v>
      </c>
      <c r="AO1424" t="s">
        <v>67</v>
      </c>
      <c r="AP1424" t="s">
        <v>68</v>
      </c>
      <c r="AQ1424">
        <v>15</v>
      </c>
      <c r="AR1424">
        <v>115</v>
      </c>
      <c r="AS1424">
        <v>230</v>
      </c>
      <c r="AT1424">
        <v>3.032</v>
      </c>
      <c r="AU1424">
        <v>6.2160000000000002</v>
      </c>
      <c r="AW1424" t="s">
        <v>5151</v>
      </c>
      <c r="AX1424" t="s">
        <v>5152</v>
      </c>
    </row>
    <row r="1425" spans="1:50" x14ac:dyDescent="0.25">
      <c r="A1425" t="s">
        <v>5153</v>
      </c>
      <c r="B1425" t="s">
        <v>1679</v>
      </c>
      <c r="C1425">
        <v>0</v>
      </c>
      <c r="D1425">
        <v>0</v>
      </c>
      <c r="E1425" t="s">
        <v>1839</v>
      </c>
      <c r="H1425">
        <v>0</v>
      </c>
      <c r="N1425">
        <v>1</v>
      </c>
      <c r="Q1425">
        <v>1</v>
      </c>
      <c r="R1425">
        <v>0</v>
      </c>
      <c r="U1425" t="s">
        <v>1735</v>
      </c>
      <c r="V1425">
        <v>44</v>
      </c>
      <c r="W1425" t="s">
        <v>1688</v>
      </c>
      <c r="X1425" t="s">
        <v>55</v>
      </c>
      <c r="Y1425">
        <v>0</v>
      </c>
      <c r="Z1425">
        <v>95</v>
      </c>
      <c r="AB1425" t="s">
        <v>118</v>
      </c>
      <c r="AD1425" t="s">
        <v>57</v>
      </c>
      <c r="AE1425">
        <v>0</v>
      </c>
      <c r="AF1425">
        <v>6</v>
      </c>
      <c r="AG1425">
        <v>1</v>
      </c>
      <c r="AH1425">
        <v>1.5</v>
      </c>
      <c r="AI1425">
        <v>512</v>
      </c>
      <c r="AJ1425">
        <v>512</v>
      </c>
      <c r="AK1425">
        <v>160</v>
      </c>
      <c r="AL1425" t="s">
        <v>5154</v>
      </c>
      <c r="AM1425">
        <v>2</v>
      </c>
      <c r="AN1425" t="s">
        <v>1154</v>
      </c>
      <c r="AO1425" t="s">
        <v>1155</v>
      </c>
      <c r="AP1425" t="s">
        <v>1305</v>
      </c>
      <c r="AQ1425">
        <v>15</v>
      </c>
      <c r="AR1425">
        <v>648</v>
      </c>
      <c r="AS1425">
        <v>1127</v>
      </c>
      <c r="AT1425">
        <v>2.657</v>
      </c>
      <c r="AU1425">
        <v>5.1618000000000004</v>
      </c>
      <c r="AV1425" t="s">
        <v>5155</v>
      </c>
      <c r="AW1425" t="s">
        <v>3257</v>
      </c>
      <c r="AX1425" t="s">
        <v>5156</v>
      </c>
    </row>
    <row r="1426" spans="1:50" x14ac:dyDescent="0.25">
      <c r="A1426" t="s">
        <v>5157</v>
      </c>
      <c r="B1426" t="s">
        <v>1679</v>
      </c>
      <c r="C1426">
        <v>0</v>
      </c>
      <c r="D1426">
        <v>1</v>
      </c>
      <c r="E1426" t="s">
        <v>1871</v>
      </c>
      <c r="H1426">
        <v>1</v>
      </c>
      <c r="N1426">
        <v>1</v>
      </c>
      <c r="Q1426">
        <v>1</v>
      </c>
      <c r="R1426">
        <v>0</v>
      </c>
      <c r="U1426" t="s">
        <v>1735</v>
      </c>
      <c r="V1426">
        <v>50</v>
      </c>
      <c r="X1426" t="s">
        <v>55</v>
      </c>
      <c r="Y1426">
        <v>0</v>
      </c>
      <c r="Z1426">
        <v>109</v>
      </c>
      <c r="AB1426" t="s">
        <v>269</v>
      </c>
      <c r="AD1426" t="s">
        <v>57</v>
      </c>
      <c r="AE1426">
        <v>0</v>
      </c>
      <c r="AF1426">
        <v>6</v>
      </c>
      <c r="AG1426">
        <v>1</v>
      </c>
      <c r="AH1426">
        <v>1.5</v>
      </c>
      <c r="AI1426">
        <v>576</v>
      </c>
      <c r="AJ1426">
        <v>576</v>
      </c>
      <c r="AK1426">
        <v>160</v>
      </c>
      <c r="AL1426" t="s">
        <v>5158</v>
      </c>
      <c r="AM1426">
        <v>2</v>
      </c>
      <c r="AN1426" t="s">
        <v>1154</v>
      </c>
      <c r="AO1426" t="s">
        <v>1155</v>
      </c>
      <c r="AP1426" t="s">
        <v>1305</v>
      </c>
      <c r="AQ1426">
        <v>11</v>
      </c>
      <c r="AR1426">
        <v>847</v>
      </c>
      <c r="AS1426">
        <v>1472</v>
      </c>
      <c r="AT1426">
        <v>2.71</v>
      </c>
      <c r="AU1426">
        <v>5.1083999999999996</v>
      </c>
      <c r="AV1426" t="s">
        <v>5159</v>
      </c>
      <c r="AW1426" t="s">
        <v>2965</v>
      </c>
      <c r="AX1426" t="s">
        <v>5160</v>
      </c>
    </row>
    <row r="1427" spans="1:50" x14ac:dyDescent="0.25">
      <c r="A1427" t="s">
        <v>5161</v>
      </c>
      <c r="B1427" t="s">
        <v>1679</v>
      </c>
      <c r="C1427">
        <v>0</v>
      </c>
      <c r="D1427">
        <v>1</v>
      </c>
      <c r="E1427" t="s">
        <v>1871</v>
      </c>
      <c r="H1427">
        <v>1</v>
      </c>
      <c r="N1427">
        <v>0</v>
      </c>
      <c r="Q1427">
        <v>1</v>
      </c>
      <c r="R1427">
        <v>1</v>
      </c>
      <c r="U1427" t="s">
        <v>72</v>
      </c>
      <c r="V1427">
        <v>56</v>
      </c>
      <c r="W1427" t="s">
        <v>79</v>
      </c>
      <c r="X1427" t="s">
        <v>80</v>
      </c>
      <c r="Y1427">
        <v>0</v>
      </c>
      <c r="Z1427">
        <v>59.874000000000002</v>
      </c>
      <c r="AB1427" t="s">
        <v>74</v>
      </c>
      <c r="AD1427" t="s">
        <v>57</v>
      </c>
      <c r="AE1427">
        <v>0</v>
      </c>
      <c r="AF1427">
        <v>6</v>
      </c>
      <c r="AG1427">
        <v>1</v>
      </c>
      <c r="AH1427">
        <v>1.5</v>
      </c>
      <c r="AI1427">
        <v>512</v>
      </c>
      <c r="AJ1427">
        <v>512</v>
      </c>
      <c r="AK1427">
        <v>80</v>
      </c>
      <c r="AL1427" t="s">
        <v>113</v>
      </c>
      <c r="AM1427">
        <v>2</v>
      </c>
      <c r="AN1427" t="s">
        <v>996</v>
      </c>
      <c r="AO1427" t="s">
        <v>67</v>
      </c>
      <c r="AP1427" t="s">
        <v>68</v>
      </c>
      <c r="AQ1427">
        <v>15</v>
      </c>
      <c r="AR1427">
        <v>123</v>
      </c>
      <c r="AS1427">
        <v>247</v>
      </c>
      <c r="AT1427">
        <v>4.2</v>
      </c>
      <c r="AU1427">
        <v>7</v>
      </c>
      <c r="AV1427" t="s">
        <v>5162</v>
      </c>
      <c r="AW1427" t="s">
        <v>5163</v>
      </c>
      <c r="AX1427" t="s">
        <v>5164</v>
      </c>
    </row>
    <row r="1428" spans="1:50" x14ac:dyDescent="0.25">
      <c r="A1428" t="s">
        <v>5165</v>
      </c>
      <c r="B1428" t="s">
        <v>1679</v>
      </c>
      <c r="C1428">
        <v>0</v>
      </c>
      <c r="D1428">
        <v>0</v>
      </c>
      <c r="E1428" t="s">
        <v>1871</v>
      </c>
      <c r="H1428">
        <v>0</v>
      </c>
      <c r="N1428">
        <v>1</v>
      </c>
      <c r="Q1428">
        <v>1</v>
      </c>
      <c r="R1428">
        <v>0</v>
      </c>
      <c r="U1428" t="s">
        <v>1735</v>
      </c>
      <c r="V1428">
        <v>51</v>
      </c>
      <c r="W1428" t="s">
        <v>1688</v>
      </c>
      <c r="X1428" t="s">
        <v>80</v>
      </c>
      <c r="Y1428">
        <v>0</v>
      </c>
      <c r="Z1428">
        <v>86.182561262999997</v>
      </c>
      <c r="AB1428" t="s">
        <v>118</v>
      </c>
      <c r="AD1428" t="s">
        <v>57</v>
      </c>
      <c r="AE1428">
        <v>1</v>
      </c>
      <c r="AF1428">
        <v>6</v>
      </c>
      <c r="AG1428">
        <v>1</v>
      </c>
      <c r="AH1428">
        <v>1.5</v>
      </c>
      <c r="AI1428">
        <v>384</v>
      </c>
      <c r="AJ1428">
        <v>384</v>
      </c>
      <c r="AK1428">
        <v>144</v>
      </c>
      <c r="AL1428" t="s">
        <v>3523</v>
      </c>
      <c r="AM1428">
        <v>1.2000000476999999</v>
      </c>
      <c r="AN1428" t="s">
        <v>2146</v>
      </c>
      <c r="AO1428" t="s">
        <v>59</v>
      </c>
      <c r="AP1428" t="s">
        <v>2147</v>
      </c>
      <c r="AQ1428">
        <v>11</v>
      </c>
      <c r="AR1428">
        <v>44</v>
      </c>
      <c r="AS1428">
        <v>117</v>
      </c>
      <c r="AT1428">
        <v>1.69</v>
      </c>
      <c r="AU1428">
        <v>4.57</v>
      </c>
      <c r="AV1428" t="s">
        <v>2427</v>
      </c>
      <c r="AW1428" t="s">
        <v>1899</v>
      </c>
      <c r="AX1428" t="s">
        <v>5166</v>
      </c>
    </row>
    <row r="1429" spans="1:50" x14ac:dyDescent="0.25">
      <c r="A1429" t="s">
        <v>5167</v>
      </c>
      <c r="B1429" t="s">
        <v>1679</v>
      </c>
      <c r="C1429">
        <v>0</v>
      </c>
      <c r="D1429">
        <v>0</v>
      </c>
      <c r="E1429" t="s">
        <v>1686</v>
      </c>
      <c r="H1429">
        <v>1</v>
      </c>
      <c r="N1429">
        <v>0</v>
      </c>
      <c r="Q1429">
        <v>0</v>
      </c>
      <c r="R1429">
        <v>1</v>
      </c>
      <c r="U1429" t="s">
        <v>65</v>
      </c>
      <c r="V1429">
        <v>52</v>
      </c>
      <c r="W1429" t="s">
        <v>79</v>
      </c>
      <c r="X1429" t="s">
        <v>80</v>
      </c>
      <c r="Y1429">
        <v>0</v>
      </c>
      <c r="Z1429">
        <v>111.13</v>
      </c>
      <c r="AB1429" t="s">
        <v>269</v>
      </c>
      <c r="AD1429" t="s">
        <v>57</v>
      </c>
      <c r="AE1429">
        <v>0</v>
      </c>
      <c r="AF1429">
        <v>6</v>
      </c>
      <c r="AG1429">
        <v>1</v>
      </c>
      <c r="AH1429">
        <v>3</v>
      </c>
      <c r="AI1429">
        <v>512</v>
      </c>
      <c r="AJ1429">
        <v>512</v>
      </c>
      <c r="AK1429">
        <v>134</v>
      </c>
      <c r="AL1429" t="s">
        <v>88</v>
      </c>
      <c r="AM1429">
        <v>2.4</v>
      </c>
      <c r="AN1429" t="s">
        <v>1786</v>
      </c>
      <c r="AO1429" t="s">
        <v>67</v>
      </c>
      <c r="AP1429" t="s">
        <v>1979</v>
      </c>
      <c r="AQ1429">
        <v>15</v>
      </c>
      <c r="AR1429">
        <v>306</v>
      </c>
      <c r="AS1429">
        <v>613</v>
      </c>
      <c r="AT1429">
        <v>4.7519999999999998</v>
      </c>
      <c r="AU1429">
        <v>9.016</v>
      </c>
      <c r="AV1429" t="s">
        <v>5168</v>
      </c>
      <c r="AW1429" t="s">
        <v>5169</v>
      </c>
      <c r="AX1429" t="s">
        <v>5170</v>
      </c>
    </row>
    <row r="1430" spans="1:50" x14ac:dyDescent="0.25">
      <c r="A1430" t="s">
        <v>5171</v>
      </c>
      <c r="B1430" t="s">
        <v>1679</v>
      </c>
      <c r="C1430">
        <v>0</v>
      </c>
      <c r="D1430">
        <v>1</v>
      </c>
      <c r="E1430" t="s">
        <v>1686</v>
      </c>
      <c r="H1430">
        <v>0</v>
      </c>
      <c r="N1430">
        <v>1</v>
      </c>
      <c r="Q1430">
        <v>0</v>
      </c>
      <c r="R1430">
        <v>0</v>
      </c>
      <c r="U1430" t="s">
        <v>1687</v>
      </c>
      <c r="V1430">
        <v>33</v>
      </c>
      <c r="W1430" t="s">
        <v>1688</v>
      </c>
      <c r="X1430" t="s">
        <v>55</v>
      </c>
      <c r="Y1430">
        <v>0</v>
      </c>
      <c r="Z1430">
        <v>107</v>
      </c>
      <c r="AB1430" t="s">
        <v>56</v>
      </c>
      <c r="AD1430" t="s">
        <v>57</v>
      </c>
      <c r="AE1430">
        <v>0</v>
      </c>
      <c r="AF1430">
        <v>6</v>
      </c>
      <c r="AG1430">
        <v>1</v>
      </c>
      <c r="AH1430">
        <v>1.5</v>
      </c>
      <c r="AI1430">
        <v>576</v>
      </c>
      <c r="AJ1430">
        <v>576</v>
      </c>
      <c r="AK1430">
        <v>160</v>
      </c>
      <c r="AL1430" t="s">
        <v>5158</v>
      </c>
      <c r="AM1430">
        <v>2</v>
      </c>
      <c r="AN1430" t="s">
        <v>1154</v>
      </c>
      <c r="AO1430" t="s">
        <v>1155</v>
      </c>
      <c r="AP1430" t="s">
        <v>1305</v>
      </c>
      <c r="AQ1430">
        <v>11</v>
      </c>
      <c r="AR1430">
        <v>424</v>
      </c>
      <c r="AS1430">
        <v>736</v>
      </c>
      <c r="AT1430">
        <v>2.71</v>
      </c>
      <c r="AU1430">
        <v>5.1083999999999996</v>
      </c>
      <c r="AV1430" t="s">
        <v>5172</v>
      </c>
      <c r="AW1430" t="s">
        <v>5173</v>
      </c>
      <c r="AX1430" t="s">
        <v>5174</v>
      </c>
    </row>
    <row r="1431" spans="1:50" x14ac:dyDescent="0.25">
      <c r="A1431" t="s">
        <v>5175</v>
      </c>
      <c r="B1431" t="s">
        <v>1679</v>
      </c>
      <c r="C1431">
        <v>0</v>
      </c>
      <c r="D1431">
        <v>1</v>
      </c>
      <c r="E1431" t="s">
        <v>1680</v>
      </c>
      <c r="H1431">
        <v>1</v>
      </c>
      <c r="N1431">
        <v>0</v>
      </c>
      <c r="Q1431">
        <v>0</v>
      </c>
      <c r="R1431">
        <v>1</v>
      </c>
      <c r="U1431" t="s">
        <v>65</v>
      </c>
      <c r="V1431">
        <v>56</v>
      </c>
      <c r="W1431" t="s">
        <v>1704</v>
      </c>
      <c r="X1431" t="s">
        <v>111</v>
      </c>
      <c r="Y1431">
        <v>0</v>
      </c>
      <c r="Z1431">
        <v>62.142000000000003</v>
      </c>
      <c r="AB1431" t="s">
        <v>74</v>
      </c>
      <c r="AD1431" t="s">
        <v>57</v>
      </c>
      <c r="AE1431">
        <v>0</v>
      </c>
      <c r="AF1431">
        <v>6</v>
      </c>
      <c r="AG1431">
        <v>1</v>
      </c>
      <c r="AH1431">
        <v>1.5</v>
      </c>
      <c r="AI1431">
        <v>512</v>
      </c>
      <c r="AJ1431">
        <v>512</v>
      </c>
      <c r="AK1431">
        <v>80</v>
      </c>
      <c r="AL1431" t="s">
        <v>153</v>
      </c>
      <c r="AM1431">
        <v>2</v>
      </c>
      <c r="AN1431" t="s">
        <v>996</v>
      </c>
      <c r="AO1431" t="s">
        <v>67</v>
      </c>
      <c r="AP1431" t="s">
        <v>68</v>
      </c>
      <c r="AQ1431">
        <v>15</v>
      </c>
      <c r="AR1431">
        <v>98</v>
      </c>
      <c r="AS1431">
        <v>197</v>
      </c>
      <c r="AT1431">
        <v>4.2</v>
      </c>
      <c r="AU1431">
        <v>7</v>
      </c>
      <c r="AV1431" t="s">
        <v>5176</v>
      </c>
      <c r="AW1431" t="s">
        <v>2769</v>
      </c>
      <c r="AX1431" t="s">
        <v>5177</v>
      </c>
    </row>
    <row r="1432" spans="1:50" x14ac:dyDescent="0.25">
      <c r="A1432" t="s">
        <v>5178</v>
      </c>
      <c r="B1432" t="s">
        <v>1679</v>
      </c>
      <c r="C1432">
        <v>0</v>
      </c>
      <c r="D1432">
        <v>1</v>
      </c>
      <c r="E1432" t="s">
        <v>1703</v>
      </c>
      <c r="H1432">
        <v>0</v>
      </c>
      <c r="N1432">
        <v>0</v>
      </c>
      <c r="Q1432">
        <v>0</v>
      </c>
      <c r="R1432">
        <v>1</v>
      </c>
      <c r="U1432" t="s">
        <v>65</v>
      </c>
      <c r="V1432">
        <v>57</v>
      </c>
      <c r="W1432" t="s">
        <v>79</v>
      </c>
      <c r="X1432" t="s">
        <v>55</v>
      </c>
      <c r="Y1432">
        <v>0</v>
      </c>
      <c r="Z1432">
        <v>105.687</v>
      </c>
      <c r="AB1432" t="s">
        <v>56</v>
      </c>
      <c r="AD1432" t="s">
        <v>57</v>
      </c>
      <c r="AE1432">
        <v>0</v>
      </c>
      <c r="AF1432">
        <v>6</v>
      </c>
      <c r="AG1432">
        <v>1</v>
      </c>
      <c r="AH1432">
        <v>1.5</v>
      </c>
      <c r="AI1432">
        <v>512</v>
      </c>
      <c r="AJ1432">
        <v>512</v>
      </c>
      <c r="AK1432">
        <v>72</v>
      </c>
      <c r="AL1432" t="s">
        <v>119</v>
      </c>
      <c r="AM1432">
        <v>2.2000000000000002</v>
      </c>
      <c r="AN1432" t="s">
        <v>1072</v>
      </c>
      <c r="AO1432" t="s">
        <v>67</v>
      </c>
      <c r="AP1432" t="s">
        <v>68</v>
      </c>
      <c r="AQ1432">
        <v>15</v>
      </c>
      <c r="AR1432">
        <v>176</v>
      </c>
      <c r="AS1432">
        <v>353</v>
      </c>
      <c r="AT1432">
        <v>4.2359999999999998</v>
      </c>
      <c r="AU1432">
        <v>8.6679999999999993</v>
      </c>
      <c r="AV1432" t="s">
        <v>5179</v>
      </c>
      <c r="AW1432" t="s">
        <v>4509</v>
      </c>
      <c r="AX1432" t="s">
        <v>5180</v>
      </c>
    </row>
    <row r="1433" spans="1:50" x14ac:dyDescent="0.25">
      <c r="A1433" t="s">
        <v>5181</v>
      </c>
      <c r="B1433" t="s">
        <v>1679</v>
      </c>
      <c r="C1433">
        <v>0</v>
      </c>
      <c r="D1433">
        <v>0</v>
      </c>
      <c r="E1433" t="s">
        <v>1725</v>
      </c>
      <c r="H1433">
        <v>0</v>
      </c>
      <c r="N1433">
        <v>1</v>
      </c>
      <c r="Q1433">
        <v>0</v>
      </c>
      <c r="R1433">
        <v>0</v>
      </c>
      <c r="U1433" t="s">
        <v>1687</v>
      </c>
      <c r="V1433">
        <v>56</v>
      </c>
      <c r="X1433" t="s">
        <v>80</v>
      </c>
      <c r="Y1433">
        <v>0</v>
      </c>
      <c r="Z1433">
        <v>66</v>
      </c>
      <c r="AB1433" t="s">
        <v>74</v>
      </c>
      <c r="AD1433" t="s">
        <v>57</v>
      </c>
      <c r="AE1433">
        <v>0</v>
      </c>
      <c r="AF1433">
        <v>6</v>
      </c>
      <c r="AG1433">
        <v>1</v>
      </c>
      <c r="AH1433">
        <v>1.5</v>
      </c>
      <c r="AI1433">
        <v>512</v>
      </c>
      <c r="AJ1433">
        <v>512</v>
      </c>
      <c r="AK1433">
        <v>180</v>
      </c>
      <c r="AL1433" t="s">
        <v>1010</v>
      </c>
      <c r="AM1433">
        <v>2</v>
      </c>
      <c r="AN1433" t="s">
        <v>1154</v>
      </c>
      <c r="AO1433" t="s">
        <v>1155</v>
      </c>
      <c r="AP1433" t="s">
        <v>1305</v>
      </c>
      <c r="AQ1433">
        <v>11</v>
      </c>
      <c r="AR1433">
        <v>795</v>
      </c>
      <c r="AS1433">
        <v>1382</v>
      </c>
      <c r="AT1433">
        <v>2.8140000000000001</v>
      </c>
      <c r="AU1433">
        <v>5.4090999999999996</v>
      </c>
      <c r="AV1433" t="s">
        <v>5182</v>
      </c>
      <c r="AW1433" t="s">
        <v>2605</v>
      </c>
      <c r="AX1433" t="s">
        <v>5183</v>
      </c>
    </row>
    <row r="1434" spans="1:50" x14ac:dyDescent="0.25">
      <c r="A1434" t="s">
        <v>5184</v>
      </c>
      <c r="B1434" t="s">
        <v>1679</v>
      </c>
      <c r="C1434">
        <v>0</v>
      </c>
      <c r="D1434">
        <v>1</v>
      </c>
      <c r="E1434" t="s">
        <v>1780</v>
      </c>
      <c r="H1434">
        <v>0</v>
      </c>
      <c r="N1434">
        <v>1</v>
      </c>
      <c r="Q1434">
        <v>0</v>
      </c>
      <c r="R1434">
        <v>0</v>
      </c>
      <c r="U1434" t="s">
        <v>1687</v>
      </c>
      <c r="V1434">
        <v>49</v>
      </c>
      <c r="W1434" t="s">
        <v>1726</v>
      </c>
      <c r="X1434" t="s">
        <v>80</v>
      </c>
      <c r="Y1434">
        <v>0</v>
      </c>
      <c r="AD1434" t="s">
        <v>57</v>
      </c>
      <c r="AE1434">
        <v>0</v>
      </c>
      <c r="AF1434">
        <v>6</v>
      </c>
      <c r="AG1434">
        <v>1</v>
      </c>
      <c r="AH1434">
        <v>1.5</v>
      </c>
      <c r="AI1434">
        <v>512</v>
      </c>
      <c r="AJ1434">
        <v>512</v>
      </c>
      <c r="AK1434">
        <v>90</v>
      </c>
      <c r="AL1434" t="s">
        <v>66</v>
      </c>
      <c r="AM1434">
        <v>2</v>
      </c>
      <c r="AN1434" t="s">
        <v>1681</v>
      </c>
      <c r="AO1434" t="s">
        <v>67</v>
      </c>
      <c r="AP1434" t="s">
        <v>68</v>
      </c>
      <c r="AQ1434">
        <v>15</v>
      </c>
      <c r="AR1434">
        <v>281</v>
      </c>
      <c r="AS1434">
        <v>562</v>
      </c>
      <c r="AT1434">
        <v>2.6960000000000002</v>
      </c>
      <c r="AU1434">
        <v>6.5890000000000004</v>
      </c>
      <c r="AV1434" t="s">
        <v>5185</v>
      </c>
      <c r="AW1434" t="s">
        <v>3341</v>
      </c>
      <c r="AX1434" t="s">
        <v>5186</v>
      </c>
    </row>
    <row r="1435" spans="1:50" x14ac:dyDescent="0.25">
      <c r="A1435" t="s">
        <v>5187</v>
      </c>
      <c r="B1435" t="s">
        <v>1679</v>
      </c>
      <c r="C1435">
        <v>0</v>
      </c>
      <c r="D1435">
        <v>1</v>
      </c>
      <c r="E1435" t="s">
        <v>1686</v>
      </c>
      <c r="H1435">
        <v>0</v>
      </c>
      <c r="N1435">
        <v>1</v>
      </c>
      <c r="Q1435">
        <v>0</v>
      </c>
      <c r="R1435">
        <v>0</v>
      </c>
      <c r="U1435" t="s">
        <v>1687</v>
      </c>
      <c r="V1435">
        <v>49</v>
      </c>
      <c r="W1435" t="s">
        <v>1688</v>
      </c>
      <c r="X1435" t="s">
        <v>80</v>
      </c>
      <c r="Y1435">
        <v>0</v>
      </c>
      <c r="Z1435">
        <v>68.039000000000001</v>
      </c>
      <c r="AB1435" t="s">
        <v>74</v>
      </c>
      <c r="AD1435" t="s">
        <v>57</v>
      </c>
      <c r="AE1435">
        <v>0</v>
      </c>
      <c r="AF1435">
        <v>6</v>
      </c>
      <c r="AG1435">
        <v>1</v>
      </c>
      <c r="AH1435">
        <v>1.5</v>
      </c>
      <c r="AI1435">
        <v>512</v>
      </c>
      <c r="AJ1435">
        <v>512</v>
      </c>
      <c r="AK1435">
        <v>80</v>
      </c>
      <c r="AL1435" t="s">
        <v>196</v>
      </c>
      <c r="AM1435">
        <v>2</v>
      </c>
      <c r="AN1435" t="s">
        <v>1681</v>
      </c>
      <c r="AO1435" t="s">
        <v>67</v>
      </c>
      <c r="AP1435" t="s">
        <v>68</v>
      </c>
      <c r="AQ1435">
        <v>15</v>
      </c>
      <c r="AR1435">
        <v>287</v>
      </c>
      <c r="AS1435">
        <v>575</v>
      </c>
      <c r="AT1435">
        <v>2.6440000000000001</v>
      </c>
      <c r="AU1435">
        <v>6.08</v>
      </c>
      <c r="AV1435" t="s">
        <v>5188</v>
      </c>
      <c r="AW1435" t="s">
        <v>5189</v>
      </c>
      <c r="AX1435" t="s">
        <v>5190</v>
      </c>
    </row>
    <row r="1436" spans="1:50" x14ac:dyDescent="0.25">
      <c r="A1436" t="s">
        <v>5191</v>
      </c>
      <c r="B1436" t="s">
        <v>1679</v>
      </c>
      <c r="C1436">
        <v>0</v>
      </c>
      <c r="D1436">
        <v>1</v>
      </c>
      <c r="E1436" t="s">
        <v>1698</v>
      </c>
      <c r="H1436">
        <v>0</v>
      </c>
      <c r="N1436">
        <v>1</v>
      </c>
      <c r="Q1436">
        <v>0</v>
      </c>
      <c r="R1436">
        <v>0</v>
      </c>
      <c r="U1436" t="s">
        <v>1687</v>
      </c>
      <c r="V1436">
        <v>53</v>
      </c>
      <c r="W1436" t="s">
        <v>1688</v>
      </c>
      <c r="X1436" t="s">
        <v>80</v>
      </c>
      <c r="Y1436">
        <v>0</v>
      </c>
      <c r="Z1436">
        <v>74.842750570500002</v>
      </c>
      <c r="AA1436">
        <v>1.6256032533</v>
      </c>
      <c r="AB1436" t="s">
        <v>94</v>
      </c>
      <c r="AD1436" t="s">
        <v>57</v>
      </c>
      <c r="AE1436">
        <v>0</v>
      </c>
      <c r="AF1436">
        <v>6</v>
      </c>
      <c r="AG1436">
        <v>1</v>
      </c>
      <c r="AH1436">
        <v>3</v>
      </c>
      <c r="AI1436">
        <v>512</v>
      </c>
      <c r="AJ1436">
        <v>512</v>
      </c>
      <c r="AK1436">
        <v>124</v>
      </c>
      <c r="AL1436" t="s">
        <v>1861</v>
      </c>
      <c r="AM1436">
        <v>1.2999999523000001</v>
      </c>
      <c r="AN1436" t="s">
        <v>1741</v>
      </c>
      <c r="AO1436" t="s">
        <v>59</v>
      </c>
      <c r="AP1436" t="s">
        <v>1862</v>
      </c>
      <c r="AQ1436">
        <v>11</v>
      </c>
      <c r="AR1436">
        <v>46</v>
      </c>
      <c r="AS1436">
        <v>123</v>
      </c>
      <c r="AT1436">
        <v>1.82</v>
      </c>
      <c r="AU1436">
        <v>4.72</v>
      </c>
      <c r="AV1436" t="s">
        <v>2348</v>
      </c>
      <c r="AW1436" t="s">
        <v>2915</v>
      </c>
      <c r="AX1436" t="s">
        <v>5192</v>
      </c>
    </row>
    <row r="1437" spans="1:50" x14ac:dyDescent="0.25">
      <c r="A1437" t="s">
        <v>5193</v>
      </c>
      <c r="B1437" t="s">
        <v>1679</v>
      </c>
      <c r="C1437">
        <v>0</v>
      </c>
      <c r="D1437">
        <v>1</v>
      </c>
      <c r="E1437" t="s">
        <v>1871</v>
      </c>
      <c r="H1437">
        <v>1</v>
      </c>
      <c r="N1437">
        <v>1</v>
      </c>
      <c r="Q1437">
        <v>1</v>
      </c>
      <c r="R1437">
        <v>0</v>
      </c>
      <c r="U1437" t="s">
        <v>1735</v>
      </c>
      <c r="V1437">
        <v>46</v>
      </c>
      <c r="W1437" t="s">
        <v>1688</v>
      </c>
      <c r="X1437" t="s">
        <v>80</v>
      </c>
      <c r="Y1437">
        <v>0</v>
      </c>
      <c r="Z1437">
        <v>72</v>
      </c>
      <c r="AB1437" t="s">
        <v>94</v>
      </c>
      <c r="AD1437" t="s">
        <v>57</v>
      </c>
      <c r="AE1437">
        <v>0</v>
      </c>
      <c r="AF1437">
        <v>6</v>
      </c>
      <c r="AG1437">
        <v>1</v>
      </c>
      <c r="AH1437">
        <v>3</v>
      </c>
      <c r="AI1437">
        <v>512</v>
      </c>
      <c r="AJ1437">
        <v>512</v>
      </c>
      <c r="AK1437">
        <v>90</v>
      </c>
      <c r="AL1437" t="s">
        <v>66</v>
      </c>
      <c r="AM1437">
        <v>2</v>
      </c>
      <c r="AN1437" t="s">
        <v>1915</v>
      </c>
      <c r="AO1437" t="s">
        <v>67</v>
      </c>
      <c r="AP1437" t="s">
        <v>68</v>
      </c>
      <c r="AQ1437">
        <v>15</v>
      </c>
      <c r="AR1437">
        <v>557</v>
      </c>
      <c r="AS1437">
        <v>1115</v>
      </c>
      <c r="AT1437">
        <v>2.1800000000000002</v>
      </c>
      <c r="AU1437">
        <v>5.4450000000000003</v>
      </c>
      <c r="AV1437" t="s">
        <v>5194</v>
      </c>
      <c r="AW1437" t="s">
        <v>5195</v>
      </c>
      <c r="AX1437" t="s">
        <v>5196</v>
      </c>
    </row>
    <row r="1438" spans="1:50" x14ac:dyDescent="0.25">
      <c r="A1438" t="s">
        <v>5197</v>
      </c>
      <c r="B1438" t="s">
        <v>1679</v>
      </c>
      <c r="C1438">
        <v>0</v>
      </c>
      <c r="D1438">
        <v>0</v>
      </c>
      <c r="E1438" t="s">
        <v>1725</v>
      </c>
      <c r="H1438">
        <v>1</v>
      </c>
      <c r="N1438">
        <v>0</v>
      </c>
      <c r="Q1438">
        <v>0</v>
      </c>
      <c r="R1438">
        <v>1</v>
      </c>
      <c r="U1438" t="s">
        <v>65</v>
      </c>
      <c r="V1438">
        <v>54</v>
      </c>
      <c r="W1438" t="s">
        <v>79</v>
      </c>
      <c r="X1438" t="s">
        <v>80</v>
      </c>
      <c r="Y1438">
        <v>0</v>
      </c>
      <c r="Z1438">
        <v>69.400000000000006</v>
      </c>
      <c r="AB1438" t="s">
        <v>94</v>
      </c>
      <c r="AD1438" t="s">
        <v>57</v>
      </c>
      <c r="AE1438">
        <v>0</v>
      </c>
      <c r="AF1438">
        <v>6</v>
      </c>
      <c r="AG1438">
        <v>1</v>
      </c>
      <c r="AH1438">
        <v>3</v>
      </c>
      <c r="AI1438">
        <v>512</v>
      </c>
      <c r="AJ1438">
        <v>512</v>
      </c>
      <c r="AK1438">
        <v>80</v>
      </c>
      <c r="AL1438" t="s">
        <v>66</v>
      </c>
      <c r="AM1438">
        <v>2</v>
      </c>
      <c r="AN1438" t="s">
        <v>1915</v>
      </c>
      <c r="AO1438" t="s">
        <v>67</v>
      </c>
      <c r="AP1438" t="s">
        <v>68</v>
      </c>
      <c r="AQ1438">
        <v>15</v>
      </c>
      <c r="AR1438">
        <v>716</v>
      </c>
      <c r="AS1438">
        <v>1433</v>
      </c>
      <c r="AT1438">
        <v>2.1800000000000002</v>
      </c>
      <c r="AU1438">
        <v>5.4450000000000003</v>
      </c>
      <c r="AV1438" t="s">
        <v>5198</v>
      </c>
      <c r="AW1438" t="s">
        <v>2586</v>
      </c>
      <c r="AX1438" t="s">
        <v>5199</v>
      </c>
    </row>
    <row r="1439" spans="1:50" x14ac:dyDescent="0.25">
      <c r="A1439" t="s">
        <v>5200</v>
      </c>
      <c r="B1439" t="s">
        <v>1679</v>
      </c>
      <c r="C1439">
        <v>0</v>
      </c>
      <c r="D1439">
        <v>1</v>
      </c>
      <c r="E1439" t="s">
        <v>1780</v>
      </c>
      <c r="H1439">
        <v>0</v>
      </c>
      <c r="N1439">
        <v>1</v>
      </c>
      <c r="Q1439">
        <v>0</v>
      </c>
      <c r="R1439">
        <v>0</v>
      </c>
      <c r="U1439" t="s">
        <v>1687</v>
      </c>
      <c r="V1439">
        <v>62</v>
      </c>
      <c r="W1439" t="s">
        <v>79</v>
      </c>
      <c r="X1439" t="s">
        <v>55</v>
      </c>
      <c r="Y1439">
        <v>0</v>
      </c>
      <c r="Z1439">
        <v>58.966999999999999</v>
      </c>
      <c r="AB1439" t="s">
        <v>74</v>
      </c>
      <c r="AD1439" t="s">
        <v>57</v>
      </c>
      <c r="AE1439">
        <v>0</v>
      </c>
      <c r="AF1439">
        <v>6</v>
      </c>
      <c r="AG1439">
        <v>1</v>
      </c>
      <c r="AH1439">
        <v>1.5</v>
      </c>
      <c r="AI1439">
        <v>512</v>
      </c>
      <c r="AJ1439">
        <v>512</v>
      </c>
      <c r="AK1439">
        <v>72</v>
      </c>
      <c r="AL1439" t="s">
        <v>119</v>
      </c>
      <c r="AM1439">
        <v>2.2000000000000002</v>
      </c>
      <c r="AN1439" t="s">
        <v>1902</v>
      </c>
      <c r="AO1439" t="s">
        <v>67</v>
      </c>
      <c r="AP1439" t="s">
        <v>68</v>
      </c>
      <c r="AQ1439">
        <v>15</v>
      </c>
      <c r="AR1439">
        <v>318</v>
      </c>
      <c r="AS1439">
        <v>637</v>
      </c>
      <c r="AT1439">
        <v>3.1720000000000002</v>
      </c>
      <c r="AU1439">
        <v>6.548</v>
      </c>
      <c r="AV1439" t="s">
        <v>5201</v>
      </c>
      <c r="AW1439" t="s">
        <v>2217</v>
      </c>
      <c r="AX1439" t="s">
        <v>5202</v>
      </c>
    </row>
    <row r="1440" spans="1:50" x14ac:dyDescent="0.25">
      <c r="A1440" t="s">
        <v>5203</v>
      </c>
      <c r="B1440" t="s">
        <v>1679</v>
      </c>
      <c r="C1440">
        <v>0</v>
      </c>
      <c r="D1440">
        <v>1</v>
      </c>
      <c r="E1440" t="s">
        <v>1871</v>
      </c>
      <c r="H1440">
        <v>0</v>
      </c>
      <c r="N1440">
        <v>1</v>
      </c>
      <c r="Q1440">
        <v>1</v>
      </c>
      <c r="R1440">
        <v>0</v>
      </c>
      <c r="U1440" t="s">
        <v>1735</v>
      </c>
      <c r="V1440">
        <v>46</v>
      </c>
      <c r="W1440" t="s">
        <v>1688</v>
      </c>
      <c r="X1440" t="s">
        <v>111</v>
      </c>
      <c r="Y1440">
        <v>0</v>
      </c>
      <c r="Z1440">
        <v>66.22</v>
      </c>
      <c r="AB1440" t="s">
        <v>74</v>
      </c>
      <c r="AD1440" t="s">
        <v>57</v>
      </c>
      <c r="AE1440">
        <v>0</v>
      </c>
      <c r="AF1440">
        <v>6</v>
      </c>
      <c r="AG1440">
        <v>1</v>
      </c>
      <c r="AH1440">
        <v>1.5</v>
      </c>
      <c r="AI1440">
        <v>512</v>
      </c>
      <c r="AJ1440">
        <v>512</v>
      </c>
      <c r="AK1440">
        <v>64</v>
      </c>
      <c r="AL1440" t="s">
        <v>81</v>
      </c>
      <c r="AM1440">
        <v>2.5</v>
      </c>
      <c r="AN1440" t="s">
        <v>1705</v>
      </c>
      <c r="AO1440" t="s">
        <v>67</v>
      </c>
      <c r="AP1440" t="s">
        <v>89</v>
      </c>
      <c r="AQ1440">
        <v>15</v>
      </c>
      <c r="AR1440">
        <v>132</v>
      </c>
      <c r="AS1440">
        <v>264</v>
      </c>
      <c r="AT1440">
        <v>2.528</v>
      </c>
      <c r="AU1440">
        <v>5.3540000000000001</v>
      </c>
      <c r="AV1440" t="s">
        <v>5204</v>
      </c>
      <c r="AW1440" t="s">
        <v>5092</v>
      </c>
      <c r="AX1440" t="s">
        <v>5205</v>
      </c>
    </row>
    <row r="1441" spans="1:50" x14ac:dyDescent="0.25">
      <c r="A1441" t="s">
        <v>5206</v>
      </c>
      <c r="B1441" t="s">
        <v>1679</v>
      </c>
      <c r="C1441">
        <v>0</v>
      </c>
      <c r="D1441">
        <v>1</v>
      </c>
      <c r="E1441" t="s">
        <v>1780</v>
      </c>
      <c r="H1441">
        <v>1</v>
      </c>
      <c r="N1441">
        <v>0</v>
      </c>
      <c r="Q1441">
        <v>0</v>
      </c>
      <c r="R1441">
        <v>1</v>
      </c>
      <c r="U1441" t="s">
        <v>65</v>
      </c>
      <c r="V1441">
        <v>31</v>
      </c>
      <c r="W1441" t="s">
        <v>1688</v>
      </c>
      <c r="X1441" t="s">
        <v>111</v>
      </c>
      <c r="Y1441">
        <v>0</v>
      </c>
      <c r="AD1441" t="s">
        <v>57</v>
      </c>
      <c r="AE1441">
        <v>0</v>
      </c>
      <c r="AF1441">
        <v>6</v>
      </c>
      <c r="AG1441">
        <v>1</v>
      </c>
      <c r="AH1441">
        <v>3</v>
      </c>
      <c r="AI1441">
        <v>512</v>
      </c>
      <c r="AJ1441">
        <v>512</v>
      </c>
      <c r="AK1441">
        <v>134</v>
      </c>
      <c r="AL1441" t="s">
        <v>81</v>
      </c>
      <c r="AM1441">
        <v>2.4</v>
      </c>
      <c r="AN1441" t="s">
        <v>1786</v>
      </c>
      <c r="AO1441" t="s">
        <v>67</v>
      </c>
      <c r="AP1441" t="s">
        <v>68</v>
      </c>
      <c r="AQ1441">
        <v>15</v>
      </c>
      <c r="AR1441">
        <v>347</v>
      </c>
      <c r="AS1441">
        <v>695</v>
      </c>
      <c r="AT1441">
        <v>4.25</v>
      </c>
      <c r="AU1441">
        <v>7.88</v>
      </c>
      <c r="AV1441" t="s">
        <v>1817</v>
      </c>
      <c r="AW1441" t="s">
        <v>4334</v>
      </c>
      <c r="AX1441" t="s">
        <v>5207</v>
      </c>
    </row>
    <row r="1442" spans="1:50" x14ac:dyDescent="0.25">
      <c r="A1442" t="s">
        <v>5208</v>
      </c>
      <c r="B1442" t="s">
        <v>1679</v>
      </c>
      <c r="C1442">
        <v>0</v>
      </c>
      <c r="D1442">
        <v>0</v>
      </c>
      <c r="E1442" t="s">
        <v>1871</v>
      </c>
      <c r="H1442">
        <v>1</v>
      </c>
      <c r="N1442">
        <v>0</v>
      </c>
      <c r="Q1442">
        <v>1</v>
      </c>
      <c r="R1442">
        <v>1</v>
      </c>
      <c r="U1442" t="s">
        <v>72</v>
      </c>
      <c r="V1442">
        <v>44</v>
      </c>
      <c r="W1442" t="s">
        <v>1688</v>
      </c>
      <c r="X1442" t="s">
        <v>80</v>
      </c>
      <c r="Y1442">
        <v>0</v>
      </c>
      <c r="Z1442">
        <v>80.739000000000004</v>
      </c>
      <c r="AB1442" t="s">
        <v>94</v>
      </c>
      <c r="AD1442" t="s">
        <v>57</v>
      </c>
      <c r="AE1442">
        <v>0</v>
      </c>
      <c r="AF1442">
        <v>6</v>
      </c>
      <c r="AG1442">
        <v>1</v>
      </c>
      <c r="AH1442">
        <v>1.5</v>
      </c>
      <c r="AI1442">
        <v>512</v>
      </c>
      <c r="AJ1442">
        <v>512</v>
      </c>
      <c r="AK1442">
        <v>66</v>
      </c>
      <c r="AL1442" t="s">
        <v>196</v>
      </c>
      <c r="AM1442">
        <v>2.4</v>
      </c>
      <c r="AN1442" t="s">
        <v>1942</v>
      </c>
      <c r="AO1442" t="s">
        <v>67</v>
      </c>
      <c r="AP1442" t="s">
        <v>68</v>
      </c>
      <c r="AQ1442">
        <v>15</v>
      </c>
      <c r="AR1442">
        <v>921</v>
      </c>
      <c r="AS1442">
        <v>1843</v>
      </c>
      <c r="AT1442">
        <v>2.988</v>
      </c>
      <c r="AU1442">
        <v>6.2160000000000002</v>
      </c>
      <c r="AV1442" t="s">
        <v>5209</v>
      </c>
      <c r="AW1442" t="s">
        <v>4658</v>
      </c>
      <c r="AX1442" t="s">
        <v>5210</v>
      </c>
    </row>
    <row r="1443" spans="1:50" x14ac:dyDescent="0.25">
      <c r="A1443" t="s">
        <v>5211</v>
      </c>
      <c r="B1443" t="s">
        <v>1679</v>
      </c>
      <c r="C1443">
        <v>0</v>
      </c>
      <c r="D1443">
        <v>1</v>
      </c>
      <c r="E1443" t="s">
        <v>1693</v>
      </c>
      <c r="H1443">
        <v>0</v>
      </c>
      <c r="N1443">
        <v>1</v>
      </c>
      <c r="Q1443">
        <v>0</v>
      </c>
      <c r="R1443">
        <v>0</v>
      </c>
      <c r="U1443" t="s">
        <v>1687</v>
      </c>
      <c r="V1443">
        <v>47</v>
      </c>
      <c r="W1443" t="s">
        <v>1688</v>
      </c>
      <c r="X1443" t="s">
        <v>80</v>
      </c>
      <c r="Y1443">
        <v>0</v>
      </c>
      <c r="Z1443">
        <v>89.358000000000004</v>
      </c>
      <c r="AB1443" t="s">
        <v>118</v>
      </c>
      <c r="AD1443" t="s">
        <v>57</v>
      </c>
      <c r="AE1443">
        <v>0</v>
      </c>
      <c r="AF1443">
        <v>6</v>
      </c>
      <c r="AG1443">
        <v>1</v>
      </c>
      <c r="AH1443">
        <v>1.5</v>
      </c>
      <c r="AI1443">
        <v>512</v>
      </c>
      <c r="AJ1443">
        <v>512</v>
      </c>
      <c r="AK1443">
        <v>66</v>
      </c>
      <c r="AL1443" t="s">
        <v>497</v>
      </c>
      <c r="AM1443">
        <v>2.4</v>
      </c>
      <c r="AN1443" t="s">
        <v>1942</v>
      </c>
      <c r="AO1443" t="s">
        <v>67</v>
      </c>
      <c r="AP1443" t="s">
        <v>68</v>
      </c>
      <c r="AQ1443">
        <v>15</v>
      </c>
      <c r="AR1443">
        <v>462</v>
      </c>
      <c r="AS1443">
        <v>925</v>
      </c>
      <c r="AT1443">
        <v>3.028</v>
      </c>
      <c r="AU1443">
        <v>6.2640000000000002</v>
      </c>
      <c r="AV1443" t="s">
        <v>5212</v>
      </c>
      <c r="AW1443" t="s">
        <v>4506</v>
      </c>
      <c r="AX1443" t="s">
        <v>5213</v>
      </c>
    </row>
    <row r="1444" spans="1:50" x14ac:dyDescent="0.25">
      <c r="A1444" t="s">
        <v>5214</v>
      </c>
      <c r="B1444" t="s">
        <v>5215</v>
      </c>
      <c r="C1444">
        <v>0</v>
      </c>
      <c r="D1444">
        <v>1</v>
      </c>
      <c r="E1444" t="s">
        <v>5216</v>
      </c>
      <c r="H1444">
        <v>0</v>
      </c>
      <c r="I1444">
        <v>1</v>
      </c>
      <c r="J1444">
        <v>2427</v>
      </c>
      <c r="K1444">
        <v>0</v>
      </c>
      <c r="L1444">
        <v>0</v>
      </c>
      <c r="N1444">
        <v>1</v>
      </c>
      <c r="O1444">
        <v>1</v>
      </c>
      <c r="P1444">
        <v>1</v>
      </c>
      <c r="Q1444">
        <v>0</v>
      </c>
      <c r="U1444" t="s">
        <v>93</v>
      </c>
      <c r="V1444">
        <v>44</v>
      </c>
      <c r="X1444" t="s">
        <v>80</v>
      </c>
      <c r="Y1444">
        <v>0</v>
      </c>
      <c r="Z1444">
        <v>72.575000000000003</v>
      </c>
      <c r="AB1444" t="s">
        <v>94</v>
      </c>
      <c r="AD1444" t="s">
        <v>995</v>
      </c>
      <c r="AE1444">
        <v>0</v>
      </c>
      <c r="AF1444">
        <v>3</v>
      </c>
      <c r="AG1444">
        <v>1</v>
      </c>
      <c r="AH1444">
        <v>1.5</v>
      </c>
      <c r="AI1444">
        <v>256</v>
      </c>
      <c r="AJ1444">
        <v>256</v>
      </c>
      <c r="AK1444">
        <v>60</v>
      </c>
      <c r="AL1444" t="s">
        <v>75</v>
      </c>
      <c r="AM1444">
        <v>2</v>
      </c>
      <c r="AN1444" t="s">
        <v>5215</v>
      </c>
      <c r="AO1444" t="s">
        <v>67</v>
      </c>
      <c r="AP1444" t="s">
        <v>997</v>
      </c>
      <c r="AQ1444">
        <v>15</v>
      </c>
      <c r="AT1444">
        <v>4.2</v>
      </c>
      <c r="AU1444">
        <v>8.1</v>
      </c>
      <c r="AV1444" t="s">
        <v>5217</v>
      </c>
      <c r="AW1444" t="s">
        <v>5218</v>
      </c>
      <c r="AX1444" t="s">
        <v>5219</v>
      </c>
    </row>
    <row r="1445" spans="1:50" x14ac:dyDescent="0.25">
      <c r="A1445" t="s">
        <v>5220</v>
      </c>
      <c r="B1445" t="s">
        <v>5215</v>
      </c>
      <c r="C1445">
        <v>0</v>
      </c>
      <c r="D1445">
        <v>0</v>
      </c>
      <c r="E1445" t="s">
        <v>5216</v>
      </c>
      <c r="H1445">
        <v>0</v>
      </c>
      <c r="I1445">
        <v>1</v>
      </c>
      <c r="J1445">
        <v>1966</v>
      </c>
      <c r="K1445">
        <v>1966</v>
      </c>
      <c r="L1445">
        <v>1966</v>
      </c>
      <c r="N1445">
        <v>1</v>
      </c>
      <c r="O1445">
        <v>1</v>
      </c>
      <c r="P1445">
        <v>1</v>
      </c>
      <c r="Q1445">
        <v>0</v>
      </c>
      <c r="U1445" t="s">
        <v>93</v>
      </c>
      <c r="V1445">
        <v>37</v>
      </c>
      <c r="X1445" t="s">
        <v>55</v>
      </c>
      <c r="Y1445">
        <v>0</v>
      </c>
      <c r="Z1445">
        <v>70.307000000000002</v>
      </c>
      <c r="AB1445" t="s">
        <v>94</v>
      </c>
      <c r="AD1445" t="s">
        <v>995</v>
      </c>
      <c r="AE1445">
        <v>0</v>
      </c>
      <c r="AF1445">
        <v>3</v>
      </c>
      <c r="AG1445">
        <v>1</v>
      </c>
      <c r="AH1445">
        <v>1.5</v>
      </c>
      <c r="AI1445">
        <v>256</v>
      </c>
      <c r="AJ1445">
        <v>256</v>
      </c>
      <c r="AK1445">
        <v>60</v>
      </c>
      <c r="AL1445" t="s">
        <v>1010</v>
      </c>
      <c r="AM1445">
        <v>2</v>
      </c>
      <c r="AN1445" t="s">
        <v>5215</v>
      </c>
      <c r="AO1445" t="s">
        <v>67</v>
      </c>
      <c r="AP1445" t="s">
        <v>997</v>
      </c>
      <c r="AQ1445">
        <v>15</v>
      </c>
      <c r="AT1445">
        <v>4.2</v>
      </c>
      <c r="AU1445">
        <v>11</v>
      </c>
      <c r="AV1445" t="s">
        <v>5221</v>
      </c>
      <c r="AW1445" t="s">
        <v>5222</v>
      </c>
      <c r="AX1445" t="s">
        <v>5223</v>
      </c>
    </row>
    <row r="1446" spans="1:50" x14ac:dyDescent="0.25">
      <c r="A1446" t="s">
        <v>5224</v>
      </c>
      <c r="B1446" t="s">
        <v>5215</v>
      </c>
      <c r="C1446">
        <v>0</v>
      </c>
      <c r="D1446">
        <v>0</v>
      </c>
      <c r="E1446" t="s">
        <v>5216</v>
      </c>
      <c r="H1446">
        <v>0</v>
      </c>
      <c r="I1446">
        <v>0</v>
      </c>
      <c r="J1446">
        <v>2528</v>
      </c>
      <c r="K1446">
        <v>0</v>
      </c>
      <c r="L1446">
        <v>0</v>
      </c>
      <c r="N1446">
        <v>1</v>
      </c>
      <c r="O1446">
        <v>1</v>
      </c>
      <c r="P1446">
        <v>1</v>
      </c>
      <c r="Q1446">
        <v>0</v>
      </c>
      <c r="U1446" t="s">
        <v>93</v>
      </c>
      <c r="V1446">
        <v>49</v>
      </c>
      <c r="X1446" t="s">
        <v>80</v>
      </c>
      <c r="Y1446">
        <v>0</v>
      </c>
      <c r="Z1446">
        <v>62.595999999999997</v>
      </c>
      <c r="AB1446" t="s">
        <v>74</v>
      </c>
      <c r="AD1446" t="s">
        <v>995</v>
      </c>
      <c r="AE1446">
        <v>0</v>
      </c>
      <c r="AF1446">
        <v>3</v>
      </c>
      <c r="AG1446">
        <v>1</v>
      </c>
      <c r="AH1446">
        <v>1.5</v>
      </c>
      <c r="AI1446">
        <v>256</v>
      </c>
      <c r="AJ1446">
        <v>256</v>
      </c>
      <c r="AK1446">
        <v>60</v>
      </c>
      <c r="AL1446" t="s">
        <v>1010</v>
      </c>
      <c r="AM1446">
        <v>2</v>
      </c>
      <c r="AN1446" t="s">
        <v>5215</v>
      </c>
      <c r="AO1446" t="s">
        <v>67</v>
      </c>
      <c r="AP1446" t="s">
        <v>997</v>
      </c>
      <c r="AQ1446">
        <v>15</v>
      </c>
      <c r="AR1446">
        <v>21</v>
      </c>
      <c r="AS1446">
        <v>42</v>
      </c>
      <c r="AT1446">
        <v>4.2</v>
      </c>
      <c r="AU1446">
        <v>8</v>
      </c>
      <c r="AV1446" t="s">
        <v>5225</v>
      </c>
      <c r="AW1446" t="s">
        <v>5226</v>
      </c>
      <c r="AX1446" t="s">
        <v>5227</v>
      </c>
    </row>
    <row r="1447" spans="1:50" x14ac:dyDescent="0.25">
      <c r="A1447" t="s">
        <v>5228</v>
      </c>
      <c r="B1447" t="s">
        <v>5215</v>
      </c>
      <c r="C1447">
        <v>0</v>
      </c>
      <c r="D1447">
        <v>0</v>
      </c>
      <c r="E1447" t="s">
        <v>5216</v>
      </c>
      <c r="H1447">
        <v>0</v>
      </c>
      <c r="I1447">
        <v>1</v>
      </c>
      <c r="J1447">
        <v>212</v>
      </c>
      <c r="K1447">
        <v>212</v>
      </c>
      <c r="L1447">
        <v>0</v>
      </c>
      <c r="N1447">
        <v>0</v>
      </c>
      <c r="O1447">
        <v>0</v>
      </c>
      <c r="P1447">
        <v>0</v>
      </c>
      <c r="Q1447">
        <v>0</v>
      </c>
      <c r="U1447" t="s">
        <v>65</v>
      </c>
      <c r="V1447">
        <v>41</v>
      </c>
      <c r="Y1447">
        <v>0</v>
      </c>
      <c r="Z1447">
        <v>83.460999999999999</v>
      </c>
      <c r="AB1447" t="s">
        <v>118</v>
      </c>
      <c r="AD1447" t="s">
        <v>995</v>
      </c>
      <c r="AE1447">
        <v>0</v>
      </c>
      <c r="AF1447">
        <v>3</v>
      </c>
      <c r="AG1447">
        <v>1</v>
      </c>
      <c r="AH1447">
        <v>1.5</v>
      </c>
      <c r="AI1447">
        <v>256</v>
      </c>
      <c r="AJ1447">
        <v>256</v>
      </c>
      <c r="AK1447">
        <v>60</v>
      </c>
      <c r="AL1447" t="s">
        <v>1010</v>
      </c>
      <c r="AM1447">
        <v>2.2000000000000002</v>
      </c>
      <c r="AN1447" t="s">
        <v>5215</v>
      </c>
      <c r="AO1447" t="s">
        <v>67</v>
      </c>
      <c r="AP1447" t="s">
        <v>997</v>
      </c>
      <c r="AQ1447">
        <v>15</v>
      </c>
      <c r="AT1447">
        <v>4.2</v>
      </c>
      <c r="AU1447">
        <v>8.1999999999999993</v>
      </c>
      <c r="AV1447" t="s">
        <v>5229</v>
      </c>
      <c r="AW1447" t="s">
        <v>5230</v>
      </c>
      <c r="AX1447" t="s">
        <v>5231</v>
      </c>
    </row>
    <row r="1448" spans="1:50" x14ac:dyDescent="0.25">
      <c r="A1448" t="s">
        <v>5232</v>
      </c>
      <c r="B1448" t="s">
        <v>5215</v>
      </c>
      <c r="C1448">
        <v>0</v>
      </c>
      <c r="D1448">
        <v>0</v>
      </c>
      <c r="E1448" t="s">
        <v>5216</v>
      </c>
      <c r="H1448">
        <v>0</v>
      </c>
      <c r="I1448">
        <v>1</v>
      </c>
      <c r="J1448">
        <v>2490</v>
      </c>
      <c r="K1448">
        <v>0</v>
      </c>
      <c r="L1448">
        <v>0</v>
      </c>
      <c r="N1448">
        <v>1</v>
      </c>
      <c r="O1448">
        <v>1</v>
      </c>
      <c r="P1448">
        <v>1</v>
      </c>
      <c r="Q1448">
        <v>0</v>
      </c>
      <c r="U1448" t="s">
        <v>93</v>
      </c>
      <c r="V1448">
        <v>71</v>
      </c>
      <c r="Y1448">
        <v>0</v>
      </c>
      <c r="Z1448">
        <v>74.388999999999996</v>
      </c>
      <c r="AB1448" t="s">
        <v>94</v>
      </c>
      <c r="AD1448" t="s">
        <v>995</v>
      </c>
      <c r="AE1448">
        <v>0</v>
      </c>
      <c r="AF1448">
        <v>3</v>
      </c>
      <c r="AG1448">
        <v>1</v>
      </c>
      <c r="AH1448">
        <v>1.5</v>
      </c>
      <c r="AI1448">
        <v>256</v>
      </c>
      <c r="AJ1448">
        <v>256</v>
      </c>
      <c r="AK1448">
        <v>60</v>
      </c>
      <c r="AL1448" t="s">
        <v>1010</v>
      </c>
      <c r="AM1448">
        <v>2</v>
      </c>
      <c r="AN1448" t="s">
        <v>5215</v>
      </c>
      <c r="AO1448" t="s">
        <v>67</v>
      </c>
      <c r="AP1448" t="s">
        <v>997</v>
      </c>
      <c r="AQ1448">
        <v>15</v>
      </c>
      <c r="AT1448">
        <v>4.2</v>
      </c>
      <c r="AU1448">
        <v>8.1999999999999993</v>
      </c>
      <c r="AV1448" t="s">
        <v>5233</v>
      </c>
      <c r="AW1448" t="s">
        <v>5234</v>
      </c>
      <c r="AX1448" t="s">
        <v>5235</v>
      </c>
    </row>
    <row r="1449" spans="1:50" x14ac:dyDescent="0.25">
      <c r="A1449" t="s">
        <v>5236</v>
      </c>
      <c r="B1449" t="s">
        <v>5215</v>
      </c>
      <c r="C1449">
        <v>0</v>
      </c>
      <c r="D1449">
        <v>0</v>
      </c>
      <c r="E1449" t="s">
        <v>5216</v>
      </c>
      <c r="H1449">
        <v>0</v>
      </c>
      <c r="I1449">
        <v>1</v>
      </c>
      <c r="J1449">
        <v>3002</v>
      </c>
      <c r="K1449">
        <v>0</v>
      </c>
      <c r="L1449">
        <v>0</v>
      </c>
      <c r="N1449">
        <v>0</v>
      </c>
      <c r="O1449">
        <v>0</v>
      </c>
      <c r="P1449">
        <v>0</v>
      </c>
      <c r="Q1449">
        <v>1</v>
      </c>
      <c r="U1449" t="s">
        <v>53</v>
      </c>
      <c r="V1449">
        <v>38</v>
      </c>
      <c r="Y1449">
        <v>0</v>
      </c>
      <c r="Z1449">
        <v>47.627000000000002</v>
      </c>
      <c r="AB1449" t="s">
        <v>247</v>
      </c>
      <c r="AD1449" t="s">
        <v>995</v>
      </c>
      <c r="AE1449">
        <v>0</v>
      </c>
      <c r="AF1449">
        <v>3</v>
      </c>
      <c r="AG1449">
        <v>1</v>
      </c>
      <c r="AH1449">
        <v>1.5</v>
      </c>
      <c r="AI1449">
        <v>256</v>
      </c>
      <c r="AJ1449">
        <v>256</v>
      </c>
      <c r="AK1449">
        <v>60</v>
      </c>
      <c r="AL1449" t="s">
        <v>1010</v>
      </c>
      <c r="AM1449">
        <v>2</v>
      </c>
      <c r="AN1449" t="s">
        <v>5215</v>
      </c>
      <c r="AO1449" t="s">
        <v>67</v>
      </c>
      <c r="AP1449" t="s">
        <v>997</v>
      </c>
      <c r="AQ1449">
        <v>15</v>
      </c>
      <c r="AT1449">
        <v>4.2</v>
      </c>
      <c r="AU1449">
        <v>8.1999999999999993</v>
      </c>
      <c r="AV1449" t="s">
        <v>5237</v>
      </c>
      <c r="AW1449" t="s">
        <v>5238</v>
      </c>
      <c r="AX1449" t="s">
        <v>5239</v>
      </c>
    </row>
    <row r="1450" spans="1:50" x14ac:dyDescent="0.25">
      <c r="A1450" t="s">
        <v>5240</v>
      </c>
      <c r="B1450" t="s">
        <v>5215</v>
      </c>
      <c r="C1450">
        <v>0</v>
      </c>
      <c r="D1450">
        <v>0</v>
      </c>
      <c r="E1450" t="s">
        <v>5241</v>
      </c>
      <c r="H1450">
        <v>1</v>
      </c>
      <c r="I1450">
        <v>1</v>
      </c>
      <c r="J1450">
        <v>2492</v>
      </c>
      <c r="K1450">
        <v>0</v>
      </c>
      <c r="L1450">
        <v>0</v>
      </c>
      <c r="N1450">
        <v>1</v>
      </c>
      <c r="O1450">
        <v>1</v>
      </c>
      <c r="P1450">
        <v>1</v>
      </c>
      <c r="Q1450">
        <v>1</v>
      </c>
      <c r="U1450" t="s">
        <v>72</v>
      </c>
      <c r="V1450">
        <v>47</v>
      </c>
      <c r="X1450" t="s">
        <v>111</v>
      </c>
      <c r="Y1450">
        <v>0</v>
      </c>
      <c r="Z1450">
        <v>63.503</v>
      </c>
      <c r="AB1450" t="s">
        <v>74</v>
      </c>
      <c r="AD1450" t="s">
        <v>995</v>
      </c>
      <c r="AE1450">
        <v>0</v>
      </c>
      <c r="AF1450">
        <v>3</v>
      </c>
      <c r="AG1450">
        <v>1</v>
      </c>
      <c r="AH1450">
        <v>1.5</v>
      </c>
      <c r="AI1450">
        <v>256</v>
      </c>
      <c r="AJ1450">
        <v>256</v>
      </c>
      <c r="AK1450">
        <v>60</v>
      </c>
      <c r="AL1450" t="s">
        <v>1010</v>
      </c>
      <c r="AM1450">
        <v>2</v>
      </c>
      <c r="AN1450" t="s">
        <v>5215</v>
      </c>
      <c r="AO1450" t="s">
        <v>67</v>
      </c>
      <c r="AP1450" t="s">
        <v>997</v>
      </c>
      <c r="AQ1450">
        <v>15</v>
      </c>
      <c r="AR1450">
        <v>36</v>
      </c>
      <c r="AS1450">
        <v>73</v>
      </c>
      <c r="AT1450">
        <v>4.2</v>
      </c>
      <c r="AU1450">
        <v>8</v>
      </c>
      <c r="AV1450" t="s">
        <v>5242</v>
      </c>
      <c r="AW1450" t="s">
        <v>5243</v>
      </c>
      <c r="AX1450" t="s">
        <v>5244</v>
      </c>
    </row>
    <row r="1451" spans="1:50" x14ac:dyDescent="0.25">
      <c r="A1451" t="s">
        <v>5245</v>
      </c>
      <c r="B1451" t="s">
        <v>5215</v>
      </c>
      <c r="C1451">
        <v>0</v>
      </c>
      <c r="D1451">
        <v>0</v>
      </c>
      <c r="E1451" t="s">
        <v>5216</v>
      </c>
      <c r="H1451">
        <v>0</v>
      </c>
      <c r="I1451">
        <v>1</v>
      </c>
      <c r="J1451">
        <v>187</v>
      </c>
      <c r="K1451">
        <v>187</v>
      </c>
      <c r="L1451">
        <v>0</v>
      </c>
      <c r="N1451">
        <v>0</v>
      </c>
      <c r="O1451">
        <v>0</v>
      </c>
      <c r="P1451">
        <v>0</v>
      </c>
      <c r="Q1451">
        <v>0</v>
      </c>
      <c r="U1451" t="s">
        <v>65</v>
      </c>
      <c r="V1451">
        <v>50</v>
      </c>
      <c r="Y1451">
        <v>0</v>
      </c>
      <c r="Z1451">
        <v>60.328000000000003</v>
      </c>
      <c r="AB1451" t="s">
        <v>74</v>
      </c>
      <c r="AD1451" t="s">
        <v>995</v>
      </c>
      <c r="AE1451">
        <v>0</v>
      </c>
      <c r="AF1451">
        <v>3</v>
      </c>
      <c r="AG1451">
        <v>1</v>
      </c>
      <c r="AH1451">
        <v>1.5</v>
      </c>
      <c r="AI1451">
        <v>256</v>
      </c>
      <c r="AJ1451">
        <v>256</v>
      </c>
      <c r="AK1451">
        <v>60</v>
      </c>
      <c r="AL1451" t="s">
        <v>1010</v>
      </c>
      <c r="AM1451">
        <v>2</v>
      </c>
      <c r="AN1451" t="s">
        <v>5215</v>
      </c>
      <c r="AO1451" t="s">
        <v>67</v>
      </c>
      <c r="AP1451" t="s">
        <v>997</v>
      </c>
      <c r="AQ1451">
        <v>15</v>
      </c>
      <c r="AT1451">
        <v>4.2</v>
      </c>
      <c r="AU1451">
        <v>11.1</v>
      </c>
      <c r="AV1451" t="s">
        <v>5246</v>
      </c>
      <c r="AW1451" t="s">
        <v>5247</v>
      </c>
      <c r="AX1451" t="s">
        <v>5248</v>
      </c>
    </row>
    <row r="1452" spans="1:50" x14ac:dyDescent="0.25">
      <c r="A1452" t="s">
        <v>5249</v>
      </c>
      <c r="B1452" t="s">
        <v>5215</v>
      </c>
      <c r="C1452">
        <v>0</v>
      </c>
      <c r="D1452">
        <v>0</v>
      </c>
      <c r="E1452" t="s">
        <v>5241</v>
      </c>
      <c r="H1452">
        <v>0</v>
      </c>
      <c r="I1452">
        <v>0</v>
      </c>
      <c r="J1452">
        <v>2360</v>
      </c>
      <c r="K1452">
        <v>0</v>
      </c>
      <c r="L1452">
        <v>0</v>
      </c>
      <c r="N1452">
        <v>1</v>
      </c>
      <c r="O1452">
        <v>1</v>
      </c>
      <c r="P1452">
        <v>0</v>
      </c>
      <c r="Q1452">
        <v>1</v>
      </c>
      <c r="U1452" t="s">
        <v>72</v>
      </c>
      <c r="V1452">
        <v>46</v>
      </c>
      <c r="X1452" t="s">
        <v>80</v>
      </c>
      <c r="Y1452">
        <v>0</v>
      </c>
      <c r="Z1452">
        <v>63.503</v>
      </c>
      <c r="AB1452" t="s">
        <v>74</v>
      </c>
      <c r="AD1452" t="s">
        <v>995</v>
      </c>
      <c r="AE1452">
        <v>0</v>
      </c>
      <c r="AF1452">
        <v>3</v>
      </c>
      <c r="AG1452">
        <v>1</v>
      </c>
      <c r="AH1452">
        <v>1.5</v>
      </c>
      <c r="AI1452">
        <v>256</v>
      </c>
      <c r="AJ1452">
        <v>256</v>
      </c>
      <c r="AK1452">
        <v>60</v>
      </c>
      <c r="AL1452" t="s">
        <v>1010</v>
      </c>
      <c r="AM1452">
        <v>2</v>
      </c>
      <c r="AN1452" t="s">
        <v>5215</v>
      </c>
      <c r="AO1452" t="s">
        <v>67</v>
      </c>
      <c r="AP1452" t="s">
        <v>997</v>
      </c>
      <c r="AQ1452">
        <v>15</v>
      </c>
      <c r="AR1452">
        <v>29</v>
      </c>
      <c r="AS1452">
        <v>59</v>
      </c>
      <c r="AT1452">
        <v>4.2</v>
      </c>
      <c r="AU1452">
        <v>8</v>
      </c>
      <c r="AV1452" t="s">
        <v>5250</v>
      </c>
      <c r="AW1452" t="s">
        <v>5251</v>
      </c>
      <c r="AX1452" t="s">
        <v>5252</v>
      </c>
    </row>
    <row r="1453" spans="1:50" x14ac:dyDescent="0.25">
      <c r="A1453" t="s">
        <v>5253</v>
      </c>
      <c r="B1453" t="s">
        <v>5215</v>
      </c>
      <c r="C1453">
        <v>0</v>
      </c>
      <c r="D1453">
        <v>0</v>
      </c>
      <c r="E1453" t="s">
        <v>5241</v>
      </c>
      <c r="H1453">
        <v>0</v>
      </c>
      <c r="I1453">
        <v>1</v>
      </c>
      <c r="J1453">
        <v>804</v>
      </c>
      <c r="K1453">
        <v>804</v>
      </c>
      <c r="L1453">
        <v>804</v>
      </c>
      <c r="V1453">
        <v>48</v>
      </c>
      <c r="X1453" t="s">
        <v>80</v>
      </c>
      <c r="Y1453">
        <v>0</v>
      </c>
      <c r="Z1453">
        <v>83.915000000000006</v>
      </c>
      <c r="AB1453" t="s">
        <v>118</v>
      </c>
      <c r="AD1453" t="s">
        <v>995</v>
      </c>
      <c r="AE1453">
        <v>0</v>
      </c>
      <c r="AF1453">
        <v>3</v>
      </c>
      <c r="AG1453">
        <v>1</v>
      </c>
      <c r="AH1453">
        <v>1.5</v>
      </c>
      <c r="AI1453">
        <v>256</v>
      </c>
      <c r="AJ1453">
        <v>256</v>
      </c>
      <c r="AK1453">
        <v>60</v>
      </c>
      <c r="AL1453" t="s">
        <v>1503</v>
      </c>
      <c r="AM1453">
        <v>2.4</v>
      </c>
      <c r="AN1453" t="s">
        <v>5215</v>
      </c>
      <c r="AO1453" t="s">
        <v>67</v>
      </c>
      <c r="AP1453" t="s">
        <v>997</v>
      </c>
      <c r="AQ1453">
        <v>15</v>
      </c>
      <c r="AR1453">
        <v>94</v>
      </c>
      <c r="AS1453">
        <v>188</v>
      </c>
      <c r="AT1453">
        <v>4.2</v>
      </c>
      <c r="AU1453">
        <v>8.4</v>
      </c>
      <c r="AV1453" t="s">
        <v>5254</v>
      </c>
      <c r="AW1453" t="s">
        <v>5255</v>
      </c>
      <c r="AX1453" t="s">
        <v>5256</v>
      </c>
    </row>
    <row r="1454" spans="1:50" x14ac:dyDescent="0.25">
      <c r="A1454" t="s">
        <v>5257</v>
      </c>
      <c r="B1454" t="s">
        <v>5215</v>
      </c>
      <c r="C1454">
        <v>0</v>
      </c>
      <c r="D1454">
        <v>0</v>
      </c>
      <c r="E1454" t="s">
        <v>5216</v>
      </c>
      <c r="H1454">
        <v>1</v>
      </c>
      <c r="I1454">
        <v>1</v>
      </c>
      <c r="J1454">
        <v>769</v>
      </c>
      <c r="K1454">
        <v>769</v>
      </c>
      <c r="L1454">
        <v>769</v>
      </c>
      <c r="N1454">
        <v>0</v>
      </c>
      <c r="O1454">
        <v>0</v>
      </c>
      <c r="P1454">
        <v>0</v>
      </c>
      <c r="Q1454">
        <v>1</v>
      </c>
      <c r="U1454" t="s">
        <v>53</v>
      </c>
      <c r="V1454">
        <v>51</v>
      </c>
      <c r="Y1454">
        <v>0</v>
      </c>
      <c r="Z1454">
        <v>83.007000000000005</v>
      </c>
      <c r="AB1454" t="s">
        <v>118</v>
      </c>
      <c r="AD1454" t="s">
        <v>995</v>
      </c>
      <c r="AE1454">
        <v>0</v>
      </c>
      <c r="AF1454">
        <v>3</v>
      </c>
      <c r="AG1454">
        <v>1</v>
      </c>
      <c r="AH1454">
        <v>1.5</v>
      </c>
      <c r="AI1454">
        <v>256</v>
      </c>
      <c r="AJ1454">
        <v>256</v>
      </c>
      <c r="AK1454">
        <v>60</v>
      </c>
      <c r="AL1454" t="s">
        <v>1034</v>
      </c>
      <c r="AM1454">
        <v>2</v>
      </c>
      <c r="AN1454" t="s">
        <v>5215</v>
      </c>
      <c r="AO1454" t="s">
        <v>67</v>
      </c>
      <c r="AP1454" t="s">
        <v>997</v>
      </c>
      <c r="AQ1454">
        <v>15</v>
      </c>
      <c r="AT1454">
        <v>4.2</v>
      </c>
      <c r="AU1454">
        <v>11</v>
      </c>
      <c r="AV1454" t="s">
        <v>5258</v>
      </c>
      <c r="AW1454" t="s">
        <v>1626</v>
      </c>
      <c r="AX1454" t="s">
        <v>5259</v>
      </c>
    </row>
    <row r="1455" spans="1:50" x14ac:dyDescent="0.25">
      <c r="A1455" t="s">
        <v>5260</v>
      </c>
      <c r="B1455" t="s">
        <v>5215</v>
      </c>
      <c r="C1455">
        <v>0</v>
      </c>
      <c r="D1455">
        <v>0</v>
      </c>
      <c r="E1455" t="s">
        <v>5216</v>
      </c>
      <c r="H1455">
        <v>0</v>
      </c>
      <c r="I1455">
        <v>1</v>
      </c>
      <c r="J1455">
        <v>1682</v>
      </c>
      <c r="K1455">
        <v>0</v>
      </c>
      <c r="L1455">
        <v>0</v>
      </c>
      <c r="N1455">
        <v>1</v>
      </c>
      <c r="O1455">
        <v>1</v>
      </c>
      <c r="P1455">
        <v>1</v>
      </c>
      <c r="Q1455">
        <v>1</v>
      </c>
      <c r="U1455" t="s">
        <v>72</v>
      </c>
      <c r="V1455">
        <v>60</v>
      </c>
      <c r="X1455" t="s">
        <v>55</v>
      </c>
      <c r="Y1455">
        <v>0</v>
      </c>
      <c r="Z1455">
        <v>59.420999999999999</v>
      </c>
      <c r="AB1455" t="s">
        <v>74</v>
      </c>
      <c r="AD1455" t="s">
        <v>995</v>
      </c>
      <c r="AE1455">
        <v>0</v>
      </c>
      <c r="AF1455">
        <v>3</v>
      </c>
      <c r="AG1455">
        <v>1</v>
      </c>
      <c r="AH1455">
        <v>1.5</v>
      </c>
      <c r="AI1455">
        <v>256</v>
      </c>
      <c r="AJ1455">
        <v>256</v>
      </c>
      <c r="AK1455">
        <v>60</v>
      </c>
      <c r="AL1455" t="s">
        <v>75</v>
      </c>
      <c r="AM1455">
        <v>2</v>
      </c>
      <c r="AN1455" t="s">
        <v>5215</v>
      </c>
      <c r="AO1455" t="s">
        <v>67</v>
      </c>
      <c r="AP1455" t="s">
        <v>997</v>
      </c>
      <c r="AQ1455">
        <v>15</v>
      </c>
      <c r="AR1455">
        <v>21</v>
      </c>
      <c r="AS1455">
        <v>42</v>
      </c>
      <c r="AT1455">
        <v>4.2</v>
      </c>
      <c r="AU1455">
        <v>8</v>
      </c>
      <c r="AV1455" t="s">
        <v>5261</v>
      </c>
      <c r="AW1455" t="s">
        <v>5262</v>
      </c>
      <c r="AX1455" t="s">
        <v>5263</v>
      </c>
    </row>
    <row r="1456" spans="1:50" x14ac:dyDescent="0.25">
      <c r="A1456" t="s">
        <v>5264</v>
      </c>
      <c r="B1456" t="s">
        <v>5215</v>
      </c>
      <c r="C1456">
        <v>0</v>
      </c>
      <c r="D1456">
        <v>0</v>
      </c>
      <c r="E1456" t="s">
        <v>5216</v>
      </c>
      <c r="H1456">
        <v>0</v>
      </c>
      <c r="I1456">
        <v>1</v>
      </c>
      <c r="J1456">
        <v>3039</v>
      </c>
      <c r="K1456">
        <v>0</v>
      </c>
      <c r="L1456">
        <v>0</v>
      </c>
      <c r="N1456">
        <v>1</v>
      </c>
      <c r="O1456">
        <v>1</v>
      </c>
      <c r="P1456">
        <v>1</v>
      </c>
      <c r="Q1456">
        <v>0</v>
      </c>
      <c r="U1456" t="s">
        <v>93</v>
      </c>
      <c r="V1456">
        <v>44</v>
      </c>
      <c r="X1456" t="s">
        <v>80</v>
      </c>
      <c r="Y1456">
        <v>0</v>
      </c>
      <c r="Z1456">
        <v>54.884999999999998</v>
      </c>
      <c r="AB1456" t="s">
        <v>74</v>
      </c>
      <c r="AD1456" t="s">
        <v>995</v>
      </c>
      <c r="AE1456">
        <v>0</v>
      </c>
      <c r="AF1456">
        <v>3</v>
      </c>
      <c r="AG1456">
        <v>1</v>
      </c>
      <c r="AH1456">
        <v>1.5</v>
      </c>
      <c r="AI1456">
        <v>256</v>
      </c>
      <c r="AJ1456">
        <v>256</v>
      </c>
      <c r="AK1456">
        <v>46</v>
      </c>
      <c r="AL1456" t="s">
        <v>1010</v>
      </c>
      <c r="AM1456">
        <v>2</v>
      </c>
      <c r="AN1456" t="s">
        <v>5215</v>
      </c>
      <c r="AO1456" t="s">
        <v>67</v>
      </c>
      <c r="AP1456" t="s">
        <v>997</v>
      </c>
      <c r="AQ1456">
        <v>15</v>
      </c>
      <c r="AT1456">
        <v>4.2</v>
      </c>
      <c r="AU1456">
        <v>8.1999999999999993</v>
      </c>
      <c r="AV1456" t="s">
        <v>5265</v>
      </c>
      <c r="AW1456" t="s">
        <v>5266</v>
      </c>
      <c r="AX1456" t="s">
        <v>5267</v>
      </c>
    </row>
    <row r="1457" spans="1:50" x14ac:dyDescent="0.25">
      <c r="A1457" t="s">
        <v>5268</v>
      </c>
      <c r="B1457" t="s">
        <v>5215</v>
      </c>
      <c r="C1457">
        <v>0</v>
      </c>
      <c r="D1457">
        <v>1</v>
      </c>
      <c r="E1457" t="s">
        <v>5216</v>
      </c>
      <c r="H1457">
        <v>0</v>
      </c>
      <c r="I1457">
        <v>0</v>
      </c>
      <c r="J1457">
        <v>161</v>
      </c>
      <c r="K1457">
        <v>161</v>
      </c>
      <c r="L1457">
        <v>0</v>
      </c>
      <c r="V1457">
        <v>48</v>
      </c>
      <c r="X1457" t="s">
        <v>80</v>
      </c>
      <c r="Y1457">
        <v>0</v>
      </c>
      <c r="Z1457">
        <v>62.595999999999997</v>
      </c>
      <c r="AB1457" t="s">
        <v>74</v>
      </c>
      <c r="AD1457" t="s">
        <v>995</v>
      </c>
      <c r="AE1457">
        <v>0</v>
      </c>
      <c r="AF1457">
        <v>3</v>
      </c>
      <c r="AG1457">
        <v>1</v>
      </c>
      <c r="AH1457">
        <v>1.5</v>
      </c>
      <c r="AI1457">
        <v>256</v>
      </c>
      <c r="AJ1457">
        <v>256</v>
      </c>
      <c r="AK1457">
        <v>60</v>
      </c>
      <c r="AL1457" t="s">
        <v>1010</v>
      </c>
      <c r="AM1457">
        <v>2</v>
      </c>
      <c r="AN1457" t="s">
        <v>5215</v>
      </c>
      <c r="AO1457" t="s">
        <v>67</v>
      </c>
      <c r="AP1457" t="s">
        <v>997</v>
      </c>
      <c r="AQ1457">
        <v>15</v>
      </c>
      <c r="AR1457">
        <v>44</v>
      </c>
      <c r="AS1457">
        <v>88</v>
      </c>
      <c r="AT1457">
        <v>4.2</v>
      </c>
      <c r="AU1457">
        <v>8</v>
      </c>
      <c r="AV1457" t="s">
        <v>5269</v>
      </c>
      <c r="AW1457" t="s">
        <v>5270</v>
      </c>
      <c r="AX1457" t="s">
        <v>5271</v>
      </c>
    </row>
    <row r="1458" spans="1:50" x14ac:dyDescent="0.25">
      <c r="A1458" t="s">
        <v>5272</v>
      </c>
      <c r="B1458" t="s">
        <v>5215</v>
      </c>
      <c r="C1458">
        <v>0</v>
      </c>
      <c r="D1458">
        <v>1</v>
      </c>
      <c r="E1458" t="s">
        <v>5216</v>
      </c>
      <c r="H1458">
        <v>1</v>
      </c>
      <c r="I1458">
        <v>1</v>
      </c>
      <c r="J1458">
        <v>2793</v>
      </c>
      <c r="K1458">
        <v>0</v>
      </c>
      <c r="L1458">
        <v>0</v>
      </c>
      <c r="N1458">
        <v>1</v>
      </c>
      <c r="O1458">
        <v>1</v>
      </c>
      <c r="P1458">
        <v>0</v>
      </c>
      <c r="Q1458">
        <v>0</v>
      </c>
      <c r="U1458" t="s">
        <v>93</v>
      </c>
      <c r="V1458">
        <v>72</v>
      </c>
      <c r="Y1458">
        <v>0</v>
      </c>
      <c r="Z1458">
        <v>49.895000000000003</v>
      </c>
      <c r="AB1458" t="s">
        <v>247</v>
      </c>
      <c r="AD1458" t="s">
        <v>995</v>
      </c>
      <c r="AE1458">
        <v>0</v>
      </c>
      <c r="AF1458">
        <v>4</v>
      </c>
      <c r="AG1458">
        <v>1</v>
      </c>
      <c r="AH1458">
        <v>1.5</v>
      </c>
      <c r="AI1458">
        <v>256</v>
      </c>
      <c r="AJ1458">
        <v>256</v>
      </c>
      <c r="AK1458">
        <v>60</v>
      </c>
      <c r="AL1458" t="s">
        <v>1034</v>
      </c>
      <c r="AM1458">
        <v>2</v>
      </c>
      <c r="AN1458" t="s">
        <v>5215</v>
      </c>
      <c r="AO1458" t="s">
        <v>67</v>
      </c>
      <c r="AP1458" t="s">
        <v>997</v>
      </c>
      <c r="AQ1458">
        <v>15</v>
      </c>
      <c r="AT1458">
        <v>4.2</v>
      </c>
      <c r="AU1458">
        <v>11</v>
      </c>
      <c r="AV1458" t="s">
        <v>5273</v>
      </c>
      <c r="AW1458" t="s">
        <v>5274</v>
      </c>
      <c r="AX1458" t="s">
        <v>5275</v>
      </c>
    </row>
    <row r="1459" spans="1:50" x14ac:dyDescent="0.25">
      <c r="A1459" t="s">
        <v>5276</v>
      </c>
      <c r="B1459" t="s">
        <v>5215</v>
      </c>
      <c r="C1459">
        <v>0</v>
      </c>
      <c r="D1459">
        <v>0</v>
      </c>
      <c r="E1459" t="s">
        <v>5241</v>
      </c>
      <c r="H1459">
        <v>0</v>
      </c>
      <c r="I1459">
        <v>1</v>
      </c>
      <c r="J1459">
        <v>2219</v>
      </c>
      <c r="K1459">
        <v>0</v>
      </c>
      <c r="L1459">
        <v>0</v>
      </c>
      <c r="V1459">
        <v>58</v>
      </c>
      <c r="X1459" t="s">
        <v>80</v>
      </c>
      <c r="Y1459">
        <v>0</v>
      </c>
      <c r="Z1459">
        <v>58.966999999999999</v>
      </c>
      <c r="AB1459" t="s">
        <v>74</v>
      </c>
      <c r="AD1459" t="s">
        <v>995</v>
      </c>
      <c r="AE1459">
        <v>0</v>
      </c>
      <c r="AF1459">
        <v>3</v>
      </c>
      <c r="AG1459">
        <v>1</v>
      </c>
      <c r="AH1459">
        <v>1.5</v>
      </c>
      <c r="AI1459">
        <v>256</v>
      </c>
      <c r="AJ1459">
        <v>256</v>
      </c>
      <c r="AK1459">
        <v>60</v>
      </c>
      <c r="AL1459" t="s">
        <v>75</v>
      </c>
      <c r="AM1459">
        <v>2</v>
      </c>
      <c r="AN1459" t="s">
        <v>5215</v>
      </c>
      <c r="AO1459" t="s">
        <v>67</v>
      </c>
      <c r="AP1459" t="s">
        <v>997</v>
      </c>
      <c r="AQ1459">
        <v>15</v>
      </c>
      <c r="AR1459">
        <v>28</v>
      </c>
      <c r="AS1459">
        <v>57</v>
      </c>
      <c r="AT1459">
        <v>4.2</v>
      </c>
      <c r="AU1459">
        <v>8.4</v>
      </c>
      <c r="AV1459" t="s">
        <v>5277</v>
      </c>
      <c r="AW1459" t="s">
        <v>5278</v>
      </c>
      <c r="AX1459" t="s">
        <v>5279</v>
      </c>
    </row>
    <row r="1460" spans="1:50" x14ac:dyDescent="0.25">
      <c r="A1460" t="s">
        <v>5280</v>
      </c>
      <c r="B1460" t="s">
        <v>5215</v>
      </c>
      <c r="C1460">
        <v>0</v>
      </c>
      <c r="D1460">
        <v>0</v>
      </c>
      <c r="E1460" t="s">
        <v>5216</v>
      </c>
      <c r="H1460">
        <v>0</v>
      </c>
      <c r="I1460">
        <v>0</v>
      </c>
      <c r="J1460">
        <v>2572</v>
      </c>
      <c r="K1460">
        <v>0</v>
      </c>
      <c r="L1460">
        <v>0</v>
      </c>
      <c r="N1460">
        <v>0</v>
      </c>
      <c r="O1460">
        <v>0</v>
      </c>
      <c r="P1460">
        <v>0</v>
      </c>
      <c r="Q1460">
        <v>1</v>
      </c>
      <c r="U1460" t="s">
        <v>53</v>
      </c>
      <c r="V1460">
        <v>56</v>
      </c>
      <c r="X1460" t="s">
        <v>80</v>
      </c>
      <c r="Y1460">
        <v>0</v>
      </c>
      <c r="Z1460">
        <v>65.771000000000001</v>
      </c>
      <c r="AB1460" t="s">
        <v>74</v>
      </c>
      <c r="AD1460" t="s">
        <v>995</v>
      </c>
      <c r="AE1460">
        <v>0</v>
      </c>
      <c r="AF1460">
        <v>4</v>
      </c>
      <c r="AG1460">
        <v>1</v>
      </c>
      <c r="AH1460">
        <v>1.5</v>
      </c>
      <c r="AI1460">
        <v>256</v>
      </c>
      <c r="AJ1460">
        <v>256</v>
      </c>
      <c r="AK1460">
        <v>60</v>
      </c>
      <c r="AL1460" t="s">
        <v>1010</v>
      </c>
      <c r="AM1460">
        <v>2</v>
      </c>
      <c r="AN1460" t="s">
        <v>5215</v>
      </c>
      <c r="AO1460" t="s">
        <v>67</v>
      </c>
      <c r="AP1460" t="s">
        <v>997</v>
      </c>
      <c r="AQ1460">
        <v>15</v>
      </c>
      <c r="AR1460">
        <v>46</v>
      </c>
      <c r="AS1460">
        <v>93</v>
      </c>
      <c r="AT1460">
        <v>4.2</v>
      </c>
      <c r="AU1460">
        <v>8</v>
      </c>
      <c r="AV1460" t="s">
        <v>5281</v>
      </c>
      <c r="AW1460" t="s">
        <v>5282</v>
      </c>
      <c r="AX1460" t="s">
        <v>5283</v>
      </c>
    </row>
    <row r="1461" spans="1:50" x14ac:dyDescent="0.25">
      <c r="A1461" t="s">
        <v>5284</v>
      </c>
      <c r="B1461" t="s">
        <v>5215</v>
      </c>
      <c r="C1461">
        <v>0</v>
      </c>
      <c r="D1461">
        <v>0</v>
      </c>
      <c r="E1461" t="s">
        <v>5241</v>
      </c>
      <c r="H1461">
        <v>1</v>
      </c>
      <c r="I1461">
        <v>1</v>
      </c>
      <c r="J1461">
        <v>2177</v>
      </c>
      <c r="K1461">
        <v>0</v>
      </c>
      <c r="L1461">
        <v>0</v>
      </c>
      <c r="N1461">
        <v>1</v>
      </c>
      <c r="O1461">
        <v>0</v>
      </c>
      <c r="P1461">
        <v>1</v>
      </c>
      <c r="Q1461">
        <v>1</v>
      </c>
      <c r="V1461">
        <v>33</v>
      </c>
      <c r="X1461" t="s">
        <v>80</v>
      </c>
      <c r="Y1461">
        <v>0</v>
      </c>
      <c r="Z1461">
        <v>63.503</v>
      </c>
      <c r="AB1461" t="s">
        <v>74</v>
      </c>
      <c r="AD1461" t="s">
        <v>995</v>
      </c>
      <c r="AE1461">
        <v>0</v>
      </c>
      <c r="AF1461">
        <v>3</v>
      </c>
      <c r="AG1461">
        <v>1</v>
      </c>
      <c r="AH1461">
        <v>1.5</v>
      </c>
      <c r="AI1461">
        <v>256</v>
      </c>
      <c r="AJ1461">
        <v>256</v>
      </c>
      <c r="AK1461">
        <v>60</v>
      </c>
      <c r="AL1461" t="s">
        <v>1010</v>
      </c>
      <c r="AM1461">
        <v>2.2999999999999998</v>
      </c>
      <c r="AN1461" t="s">
        <v>5215</v>
      </c>
      <c r="AO1461" t="s">
        <v>67</v>
      </c>
      <c r="AP1461" t="s">
        <v>997</v>
      </c>
      <c r="AQ1461">
        <v>15</v>
      </c>
      <c r="AR1461">
        <v>85</v>
      </c>
      <c r="AS1461">
        <v>171</v>
      </c>
      <c r="AT1461">
        <v>4.2</v>
      </c>
      <c r="AU1461">
        <v>8</v>
      </c>
      <c r="AV1461" t="s">
        <v>5285</v>
      </c>
      <c r="AW1461" t="s">
        <v>5286</v>
      </c>
      <c r="AX1461" t="s">
        <v>5287</v>
      </c>
    </row>
    <row r="1462" spans="1:50" x14ac:dyDescent="0.25">
      <c r="A1462" t="s">
        <v>5288</v>
      </c>
      <c r="B1462" t="s">
        <v>5215</v>
      </c>
      <c r="C1462">
        <v>0</v>
      </c>
      <c r="D1462">
        <v>0</v>
      </c>
      <c r="E1462" t="s">
        <v>5216</v>
      </c>
      <c r="H1462">
        <v>0</v>
      </c>
      <c r="I1462">
        <v>1</v>
      </c>
      <c r="J1462">
        <v>3209</v>
      </c>
      <c r="K1462">
        <v>0</v>
      </c>
      <c r="L1462">
        <v>0</v>
      </c>
      <c r="N1462">
        <v>1</v>
      </c>
      <c r="O1462">
        <v>1</v>
      </c>
      <c r="P1462">
        <v>0</v>
      </c>
      <c r="Q1462">
        <v>0</v>
      </c>
      <c r="U1462" t="s">
        <v>93</v>
      </c>
      <c r="V1462">
        <v>60</v>
      </c>
      <c r="X1462" t="s">
        <v>80</v>
      </c>
      <c r="Y1462">
        <v>0</v>
      </c>
      <c r="Z1462">
        <v>53.07</v>
      </c>
      <c r="AB1462" t="s">
        <v>74</v>
      </c>
      <c r="AD1462" t="s">
        <v>995</v>
      </c>
      <c r="AE1462">
        <v>0</v>
      </c>
      <c r="AF1462">
        <v>3</v>
      </c>
      <c r="AG1462">
        <v>1</v>
      </c>
      <c r="AH1462">
        <v>1.5</v>
      </c>
      <c r="AI1462">
        <v>256</v>
      </c>
      <c r="AJ1462">
        <v>256</v>
      </c>
      <c r="AK1462">
        <v>60</v>
      </c>
      <c r="AL1462" t="s">
        <v>1010</v>
      </c>
      <c r="AM1462">
        <v>2</v>
      </c>
      <c r="AN1462" t="s">
        <v>5215</v>
      </c>
      <c r="AO1462" t="s">
        <v>67</v>
      </c>
      <c r="AP1462" t="s">
        <v>997</v>
      </c>
      <c r="AQ1462">
        <v>15</v>
      </c>
      <c r="AT1462">
        <v>4.2</v>
      </c>
      <c r="AU1462">
        <v>8.1999999999999993</v>
      </c>
      <c r="AV1462" t="s">
        <v>5289</v>
      </c>
      <c r="AW1462" t="s">
        <v>5290</v>
      </c>
      <c r="AX1462" t="s">
        <v>5291</v>
      </c>
    </row>
    <row r="1463" spans="1:50" x14ac:dyDescent="0.25">
      <c r="A1463" t="s">
        <v>5292</v>
      </c>
      <c r="B1463" t="s">
        <v>5215</v>
      </c>
      <c r="C1463">
        <v>0</v>
      </c>
      <c r="D1463">
        <v>1</v>
      </c>
      <c r="E1463" t="s">
        <v>5216</v>
      </c>
      <c r="H1463">
        <v>1</v>
      </c>
      <c r="I1463">
        <v>0</v>
      </c>
      <c r="J1463">
        <v>1514</v>
      </c>
      <c r="K1463">
        <v>1514</v>
      </c>
      <c r="L1463">
        <v>1514</v>
      </c>
      <c r="N1463">
        <v>1</v>
      </c>
      <c r="O1463">
        <v>1</v>
      </c>
      <c r="P1463">
        <v>1</v>
      </c>
      <c r="Q1463">
        <v>0</v>
      </c>
      <c r="U1463" t="s">
        <v>93</v>
      </c>
      <c r="V1463">
        <v>33</v>
      </c>
      <c r="X1463" t="s">
        <v>80</v>
      </c>
      <c r="Y1463">
        <v>0</v>
      </c>
      <c r="Z1463">
        <v>72.120999999999995</v>
      </c>
      <c r="AB1463" t="s">
        <v>94</v>
      </c>
      <c r="AD1463" t="s">
        <v>995</v>
      </c>
      <c r="AE1463">
        <v>0</v>
      </c>
      <c r="AF1463">
        <v>4</v>
      </c>
      <c r="AG1463">
        <v>1</v>
      </c>
      <c r="AH1463">
        <v>1.5</v>
      </c>
      <c r="AI1463">
        <v>512</v>
      </c>
      <c r="AJ1463">
        <v>512</v>
      </c>
      <c r="AK1463">
        <v>64</v>
      </c>
      <c r="AL1463" t="s">
        <v>5293</v>
      </c>
      <c r="AM1463">
        <v>2</v>
      </c>
      <c r="AN1463" t="s">
        <v>5215</v>
      </c>
      <c r="AO1463" t="s">
        <v>67</v>
      </c>
      <c r="AP1463" t="s">
        <v>997</v>
      </c>
      <c r="AQ1463">
        <v>15</v>
      </c>
      <c r="AR1463">
        <v>68</v>
      </c>
      <c r="AS1463">
        <v>137</v>
      </c>
      <c r="AT1463">
        <v>4.2</v>
      </c>
      <c r="AU1463">
        <v>9.1</v>
      </c>
      <c r="AV1463" t="s">
        <v>5294</v>
      </c>
      <c r="AW1463" t="s">
        <v>5295</v>
      </c>
      <c r="AX1463" t="s">
        <v>5296</v>
      </c>
    </row>
    <row r="1464" spans="1:50" x14ac:dyDescent="0.25">
      <c r="A1464" t="s">
        <v>5297</v>
      </c>
      <c r="B1464" t="s">
        <v>5215</v>
      </c>
      <c r="C1464">
        <v>0</v>
      </c>
      <c r="D1464">
        <v>0</v>
      </c>
      <c r="E1464" t="s">
        <v>5216</v>
      </c>
      <c r="H1464">
        <v>0</v>
      </c>
      <c r="I1464">
        <v>1</v>
      </c>
      <c r="J1464">
        <v>2442</v>
      </c>
      <c r="K1464">
        <v>0</v>
      </c>
      <c r="L1464">
        <v>0</v>
      </c>
      <c r="V1464">
        <v>54</v>
      </c>
      <c r="X1464" t="s">
        <v>80</v>
      </c>
      <c r="Y1464">
        <v>0</v>
      </c>
      <c r="Z1464">
        <v>68.039000000000001</v>
      </c>
      <c r="AB1464" t="s">
        <v>74</v>
      </c>
      <c r="AD1464" t="s">
        <v>995</v>
      </c>
      <c r="AE1464">
        <v>0</v>
      </c>
      <c r="AF1464">
        <v>3</v>
      </c>
      <c r="AG1464">
        <v>1</v>
      </c>
      <c r="AH1464">
        <v>1.5</v>
      </c>
      <c r="AI1464">
        <v>256</v>
      </c>
      <c r="AJ1464">
        <v>256</v>
      </c>
      <c r="AK1464">
        <v>60</v>
      </c>
      <c r="AL1464" t="s">
        <v>1010</v>
      </c>
      <c r="AM1464">
        <v>2</v>
      </c>
      <c r="AN1464" t="s">
        <v>5215</v>
      </c>
      <c r="AO1464" t="s">
        <v>67</v>
      </c>
      <c r="AP1464" t="s">
        <v>997</v>
      </c>
      <c r="AQ1464">
        <v>15</v>
      </c>
      <c r="AR1464">
        <v>24</v>
      </c>
      <c r="AS1464">
        <v>49</v>
      </c>
      <c r="AT1464">
        <v>4.2</v>
      </c>
      <c r="AU1464">
        <v>8</v>
      </c>
      <c r="AV1464" t="s">
        <v>5298</v>
      </c>
      <c r="AW1464" t="s">
        <v>5299</v>
      </c>
      <c r="AX1464" t="s">
        <v>5300</v>
      </c>
    </row>
    <row r="1465" spans="1:50" x14ac:dyDescent="0.25">
      <c r="A1465" t="s">
        <v>5301</v>
      </c>
      <c r="B1465" t="s">
        <v>5215</v>
      </c>
      <c r="C1465">
        <v>0</v>
      </c>
      <c r="D1465">
        <v>0</v>
      </c>
      <c r="E1465" t="s">
        <v>5216</v>
      </c>
      <c r="H1465">
        <v>0</v>
      </c>
      <c r="I1465">
        <v>0</v>
      </c>
      <c r="J1465">
        <v>492</v>
      </c>
      <c r="K1465">
        <v>0</v>
      </c>
      <c r="L1465">
        <v>0</v>
      </c>
      <c r="N1465">
        <v>0</v>
      </c>
      <c r="O1465">
        <v>0</v>
      </c>
      <c r="P1465">
        <v>0</v>
      </c>
      <c r="Q1465">
        <v>1</v>
      </c>
      <c r="U1465" t="s">
        <v>53</v>
      </c>
      <c r="V1465">
        <v>38</v>
      </c>
      <c r="X1465" t="s">
        <v>80</v>
      </c>
      <c r="Y1465">
        <v>0</v>
      </c>
      <c r="Z1465">
        <v>74.388999999999996</v>
      </c>
      <c r="AB1465" t="s">
        <v>94</v>
      </c>
      <c r="AD1465" t="s">
        <v>995</v>
      </c>
      <c r="AE1465">
        <v>0</v>
      </c>
      <c r="AF1465">
        <v>3</v>
      </c>
      <c r="AG1465">
        <v>1</v>
      </c>
      <c r="AH1465">
        <v>1.5</v>
      </c>
      <c r="AI1465">
        <v>256</v>
      </c>
      <c r="AJ1465">
        <v>256</v>
      </c>
      <c r="AK1465">
        <v>60</v>
      </c>
      <c r="AL1465" t="s">
        <v>1010</v>
      </c>
      <c r="AM1465">
        <v>2</v>
      </c>
      <c r="AN1465" t="s">
        <v>5215</v>
      </c>
      <c r="AO1465" t="s">
        <v>67</v>
      </c>
      <c r="AP1465" t="s">
        <v>997</v>
      </c>
      <c r="AQ1465">
        <v>15</v>
      </c>
      <c r="AR1465">
        <v>28</v>
      </c>
      <c r="AS1465">
        <v>56</v>
      </c>
      <c r="AT1465">
        <v>4.2</v>
      </c>
      <c r="AU1465">
        <v>8</v>
      </c>
      <c r="AV1465" t="s">
        <v>5302</v>
      </c>
      <c r="AW1465" t="s">
        <v>5303</v>
      </c>
      <c r="AX1465" t="s">
        <v>5304</v>
      </c>
    </row>
    <row r="1466" spans="1:50" x14ac:dyDescent="0.25">
      <c r="A1466" t="s">
        <v>5305</v>
      </c>
      <c r="B1466" t="s">
        <v>5215</v>
      </c>
      <c r="C1466">
        <v>0</v>
      </c>
      <c r="D1466">
        <v>0</v>
      </c>
      <c r="E1466" t="s">
        <v>5216</v>
      </c>
      <c r="H1466">
        <v>0</v>
      </c>
      <c r="I1466">
        <v>0</v>
      </c>
      <c r="J1466">
        <v>3130</v>
      </c>
      <c r="K1466">
        <v>0</v>
      </c>
      <c r="L1466">
        <v>0</v>
      </c>
      <c r="N1466">
        <v>1</v>
      </c>
      <c r="O1466">
        <v>1</v>
      </c>
      <c r="P1466">
        <v>1</v>
      </c>
      <c r="Q1466">
        <v>0</v>
      </c>
      <c r="U1466" t="s">
        <v>93</v>
      </c>
      <c r="V1466">
        <v>48</v>
      </c>
      <c r="X1466" t="s">
        <v>80</v>
      </c>
      <c r="Y1466">
        <v>0</v>
      </c>
      <c r="Z1466">
        <v>56.698999999999998</v>
      </c>
      <c r="AB1466" t="s">
        <v>74</v>
      </c>
      <c r="AD1466" t="s">
        <v>995</v>
      </c>
      <c r="AE1466">
        <v>0</v>
      </c>
      <c r="AF1466">
        <v>3</v>
      </c>
      <c r="AG1466">
        <v>1</v>
      </c>
      <c r="AH1466">
        <v>1.5</v>
      </c>
      <c r="AI1466">
        <v>256</v>
      </c>
      <c r="AJ1466">
        <v>256</v>
      </c>
      <c r="AK1466">
        <v>60</v>
      </c>
      <c r="AL1466" t="s">
        <v>1010</v>
      </c>
      <c r="AM1466">
        <v>2</v>
      </c>
      <c r="AN1466" t="s">
        <v>5215</v>
      </c>
      <c r="AO1466" t="s">
        <v>67</v>
      </c>
      <c r="AP1466" t="s">
        <v>997</v>
      </c>
      <c r="AQ1466">
        <v>15</v>
      </c>
      <c r="AT1466">
        <v>4.2</v>
      </c>
      <c r="AU1466">
        <v>8.1999999999999993</v>
      </c>
      <c r="AV1466" t="s">
        <v>5306</v>
      </c>
      <c r="AW1466" t="s">
        <v>5307</v>
      </c>
      <c r="AX1466" t="s">
        <v>5308</v>
      </c>
    </row>
    <row r="1467" spans="1:50" x14ac:dyDescent="0.25">
      <c r="A1467" t="s">
        <v>5309</v>
      </c>
      <c r="B1467" t="s">
        <v>5215</v>
      </c>
      <c r="C1467">
        <v>0</v>
      </c>
      <c r="D1467">
        <v>0</v>
      </c>
      <c r="E1467" t="s">
        <v>5216</v>
      </c>
      <c r="H1467">
        <v>0</v>
      </c>
      <c r="I1467">
        <v>0</v>
      </c>
      <c r="J1467">
        <v>1996</v>
      </c>
      <c r="K1467">
        <v>1996</v>
      </c>
      <c r="L1467">
        <v>0</v>
      </c>
      <c r="N1467">
        <v>1</v>
      </c>
      <c r="O1467">
        <v>1</v>
      </c>
      <c r="P1467">
        <v>1</v>
      </c>
      <c r="Q1467">
        <v>0</v>
      </c>
      <c r="U1467" t="s">
        <v>93</v>
      </c>
      <c r="V1467">
        <v>45</v>
      </c>
      <c r="X1467" t="s">
        <v>80</v>
      </c>
      <c r="Y1467">
        <v>0</v>
      </c>
      <c r="Z1467">
        <v>56.698999999999998</v>
      </c>
      <c r="AB1467" t="s">
        <v>74</v>
      </c>
      <c r="AD1467" t="s">
        <v>995</v>
      </c>
      <c r="AE1467">
        <v>0</v>
      </c>
      <c r="AF1467">
        <v>3</v>
      </c>
      <c r="AG1467">
        <v>1</v>
      </c>
      <c r="AH1467">
        <v>1.5</v>
      </c>
      <c r="AI1467">
        <v>256</v>
      </c>
      <c r="AJ1467">
        <v>256</v>
      </c>
      <c r="AK1467">
        <v>60</v>
      </c>
      <c r="AL1467" t="s">
        <v>1010</v>
      </c>
      <c r="AM1467">
        <v>2</v>
      </c>
      <c r="AN1467" t="s">
        <v>5215</v>
      </c>
      <c r="AO1467" t="s">
        <v>67</v>
      </c>
      <c r="AP1467" t="s">
        <v>997</v>
      </c>
      <c r="AQ1467">
        <v>15</v>
      </c>
      <c r="AT1467">
        <v>4.2</v>
      </c>
      <c r="AU1467">
        <v>8.1999999999999993</v>
      </c>
      <c r="AV1467" t="s">
        <v>5310</v>
      </c>
      <c r="AW1467" t="s">
        <v>5311</v>
      </c>
      <c r="AX1467" t="s">
        <v>5312</v>
      </c>
    </row>
    <row r="1468" spans="1:50" x14ac:dyDescent="0.25">
      <c r="A1468" t="s">
        <v>5313</v>
      </c>
      <c r="B1468" t="s">
        <v>5215</v>
      </c>
      <c r="C1468">
        <v>0</v>
      </c>
      <c r="D1468">
        <v>0</v>
      </c>
      <c r="E1468" t="s">
        <v>5216</v>
      </c>
      <c r="H1468">
        <v>0</v>
      </c>
      <c r="I1468">
        <v>1</v>
      </c>
      <c r="J1468">
        <v>1037</v>
      </c>
      <c r="K1468">
        <v>1037</v>
      </c>
      <c r="L1468">
        <v>1037</v>
      </c>
      <c r="V1468">
        <v>60</v>
      </c>
      <c r="X1468" t="s">
        <v>80</v>
      </c>
      <c r="Y1468">
        <v>0</v>
      </c>
      <c r="Z1468">
        <v>58.06</v>
      </c>
      <c r="AB1468" t="s">
        <v>74</v>
      </c>
      <c r="AD1468" t="s">
        <v>995</v>
      </c>
      <c r="AE1468">
        <v>0</v>
      </c>
      <c r="AF1468">
        <v>3</v>
      </c>
      <c r="AG1468">
        <v>1</v>
      </c>
      <c r="AH1468">
        <v>1.5</v>
      </c>
      <c r="AI1468">
        <v>256</v>
      </c>
      <c r="AJ1468">
        <v>256</v>
      </c>
      <c r="AK1468">
        <v>60</v>
      </c>
      <c r="AL1468" t="s">
        <v>75</v>
      </c>
      <c r="AM1468">
        <v>2</v>
      </c>
      <c r="AN1468" t="s">
        <v>5215</v>
      </c>
      <c r="AO1468" t="s">
        <v>67</v>
      </c>
      <c r="AP1468" t="s">
        <v>997</v>
      </c>
      <c r="AQ1468">
        <v>15</v>
      </c>
      <c r="AR1468">
        <v>19</v>
      </c>
      <c r="AS1468">
        <v>38</v>
      </c>
      <c r="AT1468">
        <v>4.2</v>
      </c>
      <c r="AU1468">
        <v>8.4</v>
      </c>
      <c r="AV1468" t="s">
        <v>5314</v>
      </c>
      <c r="AW1468" t="s">
        <v>5315</v>
      </c>
      <c r="AX1468" t="s">
        <v>5316</v>
      </c>
    </row>
    <row r="1469" spans="1:50" x14ac:dyDescent="0.25">
      <c r="A1469" t="s">
        <v>5317</v>
      </c>
      <c r="B1469" t="s">
        <v>5215</v>
      </c>
      <c r="C1469">
        <v>0</v>
      </c>
      <c r="D1469">
        <v>1</v>
      </c>
      <c r="E1469" t="s">
        <v>5216</v>
      </c>
      <c r="H1469">
        <v>0</v>
      </c>
      <c r="I1469">
        <v>1</v>
      </c>
      <c r="J1469">
        <v>574</v>
      </c>
      <c r="K1469">
        <v>574</v>
      </c>
      <c r="L1469">
        <v>574</v>
      </c>
      <c r="N1469">
        <v>1</v>
      </c>
      <c r="O1469">
        <v>1</v>
      </c>
      <c r="P1469">
        <v>1</v>
      </c>
      <c r="Q1469">
        <v>0</v>
      </c>
      <c r="U1469" t="s">
        <v>93</v>
      </c>
      <c r="V1469">
        <v>40</v>
      </c>
      <c r="X1469" t="s">
        <v>80</v>
      </c>
      <c r="Y1469">
        <v>0</v>
      </c>
      <c r="Z1469">
        <v>53.524000000000001</v>
      </c>
      <c r="AB1469" t="s">
        <v>74</v>
      </c>
      <c r="AD1469" t="s">
        <v>995</v>
      </c>
      <c r="AE1469">
        <v>0</v>
      </c>
      <c r="AF1469">
        <v>3</v>
      </c>
      <c r="AG1469">
        <v>1</v>
      </c>
      <c r="AH1469">
        <v>1.5</v>
      </c>
      <c r="AI1469">
        <v>256</v>
      </c>
      <c r="AJ1469">
        <v>256</v>
      </c>
      <c r="AK1469">
        <v>60</v>
      </c>
      <c r="AL1469" t="s">
        <v>1010</v>
      </c>
      <c r="AM1469">
        <v>2</v>
      </c>
      <c r="AN1469" t="s">
        <v>5215</v>
      </c>
      <c r="AO1469" t="s">
        <v>67</v>
      </c>
      <c r="AP1469" t="s">
        <v>997</v>
      </c>
      <c r="AQ1469">
        <v>15</v>
      </c>
      <c r="AT1469">
        <v>4.2</v>
      </c>
      <c r="AU1469">
        <v>11</v>
      </c>
      <c r="AV1469" t="s">
        <v>5318</v>
      </c>
      <c r="AW1469" t="s">
        <v>5319</v>
      </c>
      <c r="AX1469" t="s">
        <v>5320</v>
      </c>
    </row>
    <row r="1470" spans="1:50" x14ac:dyDescent="0.25">
      <c r="A1470" t="s">
        <v>5321</v>
      </c>
      <c r="B1470" t="s">
        <v>5215</v>
      </c>
      <c r="C1470">
        <v>0</v>
      </c>
      <c r="D1470">
        <v>0</v>
      </c>
      <c r="E1470" t="s">
        <v>5322</v>
      </c>
      <c r="H1470">
        <v>0</v>
      </c>
      <c r="I1470">
        <v>1</v>
      </c>
      <c r="J1470">
        <v>210</v>
      </c>
      <c r="K1470">
        <v>210</v>
      </c>
      <c r="L1470">
        <v>210</v>
      </c>
      <c r="N1470">
        <v>0</v>
      </c>
      <c r="O1470">
        <v>0</v>
      </c>
      <c r="P1470">
        <v>0</v>
      </c>
      <c r="Q1470">
        <v>1</v>
      </c>
      <c r="U1470" t="s">
        <v>53</v>
      </c>
      <c r="V1470">
        <v>56</v>
      </c>
      <c r="X1470" t="s">
        <v>80</v>
      </c>
      <c r="Y1470">
        <v>0</v>
      </c>
      <c r="Z1470">
        <v>49.895000000000003</v>
      </c>
      <c r="AB1470" t="s">
        <v>247</v>
      </c>
      <c r="AD1470" t="s">
        <v>995</v>
      </c>
      <c r="AE1470">
        <v>0</v>
      </c>
      <c r="AF1470">
        <v>3</v>
      </c>
      <c r="AG1470">
        <v>1</v>
      </c>
      <c r="AH1470">
        <v>1.5</v>
      </c>
      <c r="AI1470">
        <v>256</v>
      </c>
      <c r="AJ1470">
        <v>256</v>
      </c>
      <c r="AK1470">
        <v>60</v>
      </c>
      <c r="AL1470" t="s">
        <v>1010</v>
      </c>
      <c r="AM1470">
        <v>2</v>
      </c>
      <c r="AN1470" t="s">
        <v>5215</v>
      </c>
      <c r="AO1470" t="s">
        <v>67</v>
      </c>
      <c r="AP1470" t="s">
        <v>997</v>
      </c>
      <c r="AQ1470">
        <v>15</v>
      </c>
      <c r="AR1470">
        <v>34</v>
      </c>
      <c r="AS1470">
        <v>69</v>
      </c>
      <c r="AT1470">
        <v>4.2</v>
      </c>
      <c r="AU1470">
        <v>8</v>
      </c>
      <c r="AV1470" t="s">
        <v>5323</v>
      </c>
      <c r="AW1470" t="s">
        <v>5251</v>
      </c>
      <c r="AX1470" t="s">
        <v>5324</v>
      </c>
    </row>
    <row r="1471" spans="1:50" x14ac:dyDescent="0.25">
      <c r="A1471" t="s">
        <v>5325</v>
      </c>
      <c r="B1471" t="s">
        <v>5215</v>
      </c>
      <c r="C1471">
        <v>0</v>
      </c>
      <c r="D1471">
        <v>0</v>
      </c>
      <c r="E1471" t="s">
        <v>5241</v>
      </c>
      <c r="H1471">
        <v>0</v>
      </c>
      <c r="I1471">
        <v>0</v>
      </c>
      <c r="J1471">
        <v>2159</v>
      </c>
      <c r="K1471">
        <v>0</v>
      </c>
      <c r="L1471">
        <v>0</v>
      </c>
      <c r="V1471">
        <v>49</v>
      </c>
      <c r="X1471" t="s">
        <v>80</v>
      </c>
      <c r="Y1471">
        <v>0</v>
      </c>
      <c r="Z1471">
        <v>61.234999999999999</v>
      </c>
      <c r="AB1471" t="s">
        <v>74</v>
      </c>
      <c r="AD1471" t="s">
        <v>995</v>
      </c>
      <c r="AE1471">
        <v>0</v>
      </c>
      <c r="AF1471">
        <v>3</v>
      </c>
      <c r="AG1471">
        <v>1</v>
      </c>
      <c r="AH1471">
        <v>1.5</v>
      </c>
      <c r="AI1471">
        <v>256</v>
      </c>
      <c r="AJ1471">
        <v>256</v>
      </c>
      <c r="AK1471">
        <v>60</v>
      </c>
      <c r="AL1471" t="s">
        <v>75</v>
      </c>
      <c r="AM1471">
        <v>2</v>
      </c>
      <c r="AN1471" t="s">
        <v>5215</v>
      </c>
      <c r="AO1471" t="s">
        <v>67</v>
      </c>
      <c r="AP1471" t="s">
        <v>997</v>
      </c>
      <c r="AQ1471">
        <v>15</v>
      </c>
      <c r="AR1471">
        <v>13</v>
      </c>
      <c r="AS1471">
        <v>27</v>
      </c>
      <c r="AT1471">
        <v>4.2</v>
      </c>
      <c r="AU1471">
        <v>8.4</v>
      </c>
      <c r="AV1471" t="s">
        <v>5326</v>
      </c>
      <c r="AW1471" t="s">
        <v>5327</v>
      </c>
      <c r="AX1471" t="s">
        <v>5328</v>
      </c>
    </row>
    <row r="1472" spans="1:50" x14ac:dyDescent="0.25">
      <c r="A1472" t="s">
        <v>5329</v>
      </c>
      <c r="B1472" t="s">
        <v>5215</v>
      </c>
      <c r="C1472">
        <v>0</v>
      </c>
      <c r="D1472">
        <v>0</v>
      </c>
      <c r="E1472" t="s">
        <v>5216</v>
      </c>
      <c r="H1472">
        <v>0</v>
      </c>
      <c r="I1472">
        <v>1</v>
      </c>
      <c r="J1472">
        <v>1004</v>
      </c>
      <c r="K1472">
        <v>1004</v>
      </c>
      <c r="L1472">
        <v>1004</v>
      </c>
      <c r="N1472">
        <v>1</v>
      </c>
      <c r="O1472">
        <v>1</v>
      </c>
      <c r="P1472">
        <v>0</v>
      </c>
      <c r="Q1472">
        <v>0</v>
      </c>
      <c r="U1472" t="s">
        <v>93</v>
      </c>
      <c r="V1472">
        <v>56</v>
      </c>
      <c r="X1472" t="s">
        <v>73</v>
      </c>
      <c r="Y1472">
        <v>0</v>
      </c>
      <c r="Z1472">
        <v>49.895000000000003</v>
      </c>
      <c r="AB1472" t="s">
        <v>247</v>
      </c>
      <c r="AD1472" t="s">
        <v>995</v>
      </c>
      <c r="AE1472">
        <v>0</v>
      </c>
      <c r="AF1472">
        <v>3</v>
      </c>
      <c r="AG1472">
        <v>1</v>
      </c>
      <c r="AH1472">
        <v>1.5</v>
      </c>
      <c r="AI1472">
        <v>256</v>
      </c>
      <c r="AJ1472">
        <v>256</v>
      </c>
      <c r="AK1472">
        <v>60</v>
      </c>
      <c r="AL1472" t="s">
        <v>1010</v>
      </c>
      <c r="AM1472">
        <v>2</v>
      </c>
      <c r="AN1472" t="s">
        <v>5215</v>
      </c>
      <c r="AO1472" t="s">
        <v>67</v>
      </c>
      <c r="AP1472" t="s">
        <v>997</v>
      </c>
      <c r="AQ1472">
        <v>15</v>
      </c>
      <c r="AT1472">
        <v>4.2</v>
      </c>
      <c r="AU1472">
        <v>8.1999999999999993</v>
      </c>
      <c r="AV1472" t="s">
        <v>5330</v>
      </c>
      <c r="AW1472" t="s">
        <v>5331</v>
      </c>
      <c r="AX1472" t="s">
        <v>5332</v>
      </c>
    </row>
    <row r="1473" spans="1:50" x14ac:dyDescent="0.25">
      <c r="A1473" t="s">
        <v>5333</v>
      </c>
      <c r="B1473" t="s">
        <v>5215</v>
      </c>
      <c r="C1473">
        <v>0</v>
      </c>
      <c r="D1473">
        <v>0</v>
      </c>
      <c r="E1473" t="s">
        <v>5334</v>
      </c>
      <c r="H1473">
        <v>0</v>
      </c>
      <c r="I1473">
        <v>1</v>
      </c>
      <c r="J1473">
        <v>1691</v>
      </c>
      <c r="K1473">
        <v>0</v>
      </c>
      <c r="L1473">
        <v>0</v>
      </c>
      <c r="N1473">
        <v>0</v>
      </c>
      <c r="O1473">
        <v>0</v>
      </c>
      <c r="P1473">
        <v>0</v>
      </c>
      <c r="V1473">
        <v>59</v>
      </c>
      <c r="X1473" t="s">
        <v>80</v>
      </c>
      <c r="Y1473">
        <v>0</v>
      </c>
      <c r="Z1473">
        <v>77.111000000000004</v>
      </c>
      <c r="AB1473" t="s">
        <v>94</v>
      </c>
      <c r="AD1473" t="s">
        <v>995</v>
      </c>
      <c r="AE1473">
        <v>0</v>
      </c>
      <c r="AF1473">
        <v>3</v>
      </c>
      <c r="AG1473">
        <v>1</v>
      </c>
      <c r="AH1473">
        <v>1.5</v>
      </c>
      <c r="AI1473">
        <v>256</v>
      </c>
      <c r="AJ1473">
        <v>256</v>
      </c>
      <c r="AK1473">
        <v>60</v>
      </c>
      <c r="AL1473" t="s">
        <v>75</v>
      </c>
      <c r="AM1473">
        <v>2</v>
      </c>
      <c r="AN1473" t="s">
        <v>5215</v>
      </c>
      <c r="AO1473" t="s">
        <v>67</v>
      </c>
      <c r="AP1473" t="s">
        <v>997</v>
      </c>
      <c r="AQ1473">
        <v>15</v>
      </c>
      <c r="AR1473">
        <v>10</v>
      </c>
      <c r="AS1473">
        <v>21</v>
      </c>
      <c r="AT1473">
        <v>4.2</v>
      </c>
      <c r="AU1473">
        <v>8.4</v>
      </c>
      <c r="AV1473" t="s">
        <v>5335</v>
      </c>
      <c r="AW1473" t="s">
        <v>5336</v>
      </c>
      <c r="AX1473" t="s">
        <v>5337</v>
      </c>
    </row>
    <row r="1474" spans="1:50" x14ac:dyDescent="0.25">
      <c r="A1474" t="s">
        <v>5338</v>
      </c>
      <c r="B1474" t="s">
        <v>5215</v>
      </c>
      <c r="C1474">
        <v>0</v>
      </c>
      <c r="D1474">
        <v>1</v>
      </c>
      <c r="E1474" t="s">
        <v>5216</v>
      </c>
      <c r="H1474">
        <v>0</v>
      </c>
      <c r="I1474">
        <v>1</v>
      </c>
      <c r="J1474">
        <v>2674</v>
      </c>
      <c r="K1474">
        <v>0</v>
      </c>
      <c r="L1474">
        <v>0</v>
      </c>
      <c r="N1474">
        <v>1</v>
      </c>
      <c r="O1474">
        <v>1</v>
      </c>
      <c r="P1474">
        <v>1</v>
      </c>
      <c r="Q1474">
        <v>0</v>
      </c>
      <c r="U1474" t="s">
        <v>93</v>
      </c>
      <c r="V1474">
        <v>50</v>
      </c>
      <c r="X1474" t="s">
        <v>111</v>
      </c>
      <c r="Y1474">
        <v>0</v>
      </c>
      <c r="Z1474">
        <v>72.575000000000003</v>
      </c>
      <c r="AB1474" t="s">
        <v>94</v>
      </c>
      <c r="AD1474" t="s">
        <v>995</v>
      </c>
      <c r="AE1474">
        <v>0</v>
      </c>
      <c r="AF1474">
        <v>3</v>
      </c>
      <c r="AG1474">
        <v>1</v>
      </c>
      <c r="AH1474">
        <v>1.5</v>
      </c>
      <c r="AI1474">
        <v>256</v>
      </c>
      <c r="AJ1474">
        <v>256</v>
      </c>
      <c r="AK1474">
        <v>60</v>
      </c>
      <c r="AL1474" t="s">
        <v>5339</v>
      </c>
      <c r="AM1474">
        <v>2</v>
      </c>
      <c r="AN1474" t="s">
        <v>5215</v>
      </c>
      <c r="AO1474" t="s">
        <v>67</v>
      </c>
      <c r="AP1474" t="s">
        <v>997</v>
      </c>
      <c r="AQ1474">
        <v>15</v>
      </c>
      <c r="AR1474">
        <v>46</v>
      </c>
      <c r="AS1474">
        <v>93</v>
      </c>
      <c r="AT1474">
        <v>4.2</v>
      </c>
      <c r="AU1474">
        <v>8</v>
      </c>
      <c r="AV1474" t="s">
        <v>5340</v>
      </c>
      <c r="AW1474" t="s">
        <v>5341</v>
      </c>
      <c r="AX1474" t="s">
        <v>5342</v>
      </c>
    </row>
    <row r="1475" spans="1:50" x14ac:dyDescent="0.25">
      <c r="A1475" t="s">
        <v>5343</v>
      </c>
      <c r="B1475" t="s">
        <v>5215</v>
      </c>
      <c r="C1475">
        <v>0</v>
      </c>
      <c r="D1475">
        <v>0</v>
      </c>
      <c r="E1475" t="s">
        <v>5216</v>
      </c>
      <c r="H1475">
        <v>0</v>
      </c>
      <c r="I1475">
        <v>1</v>
      </c>
      <c r="J1475">
        <v>940</v>
      </c>
      <c r="K1475">
        <v>0</v>
      </c>
      <c r="L1475">
        <v>0</v>
      </c>
      <c r="N1475">
        <v>1</v>
      </c>
      <c r="O1475">
        <v>1</v>
      </c>
      <c r="P1475">
        <v>0</v>
      </c>
      <c r="V1475">
        <v>59</v>
      </c>
      <c r="X1475" t="s">
        <v>80</v>
      </c>
      <c r="Y1475">
        <v>0</v>
      </c>
      <c r="Z1475">
        <v>63.503</v>
      </c>
      <c r="AB1475" t="s">
        <v>74</v>
      </c>
      <c r="AD1475" t="s">
        <v>995</v>
      </c>
      <c r="AE1475">
        <v>0</v>
      </c>
      <c r="AF1475">
        <v>3</v>
      </c>
      <c r="AG1475">
        <v>1</v>
      </c>
      <c r="AH1475">
        <v>1.5</v>
      </c>
      <c r="AI1475">
        <v>256</v>
      </c>
      <c r="AJ1475">
        <v>256</v>
      </c>
      <c r="AK1475">
        <v>60</v>
      </c>
      <c r="AL1475" t="s">
        <v>1010</v>
      </c>
      <c r="AM1475">
        <v>2</v>
      </c>
      <c r="AN1475" t="s">
        <v>5215</v>
      </c>
      <c r="AO1475" t="s">
        <v>67</v>
      </c>
      <c r="AP1475" t="s">
        <v>997</v>
      </c>
      <c r="AQ1475">
        <v>15</v>
      </c>
      <c r="AT1475">
        <v>4.2</v>
      </c>
      <c r="AU1475">
        <v>8.1999999999999993</v>
      </c>
      <c r="AV1475" t="s">
        <v>5344</v>
      </c>
      <c r="AW1475" t="s">
        <v>5345</v>
      </c>
      <c r="AX1475" t="s">
        <v>5346</v>
      </c>
    </row>
    <row r="1476" spans="1:50" x14ac:dyDescent="0.25">
      <c r="A1476" t="s">
        <v>5347</v>
      </c>
      <c r="B1476" t="s">
        <v>5215</v>
      </c>
      <c r="C1476">
        <v>0</v>
      </c>
      <c r="D1476">
        <v>0</v>
      </c>
      <c r="E1476" t="s">
        <v>5216</v>
      </c>
      <c r="H1476">
        <v>1</v>
      </c>
      <c r="I1476">
        <v>0</v>
      </c>
      <c r="J1476">
        <v>2627</v>
      </c>
      <c r="K1476">
        <v>0</v>
      </c>
      <c r="L1476">
        <v>0</v>
      </c>
      <c r="N1476">
        <v>0</v>
      </c>
      <c r="O1476">
        <v>0</v>
      </c>
      <c r="P1476">
        <v>0</v>
      </c>
      <c r="Q1476">
        <v>0</v>
      </c>
      <c r="U1476" t="s">
        <v>65</v>
      </c>
      <c r="V1476">
        <v>35</v>
      </c>
      <c r="X1476" t="s">
        <v>80</v>
      </c>
      <c r="Y1476">
        <v>0</v>
      </c>
      <c r="Z1476">
        <v>56.698999999999998</v>
      </c>
      <c r="AB1476" t="s">
        <v>74</v>
      </c>
      <c r="AD1476" t="s">
        <v>995</v>
      </c>
      <c r="AE1476">
        <v>0</v>
      </c>
      <c r="AF1476">
        <v>5</v>
      </c>
      <c r="AG1476">
        <v>1</v>
      </c>
      <c r="AH1476">
        <v>1.5</v>
      </c>
      <c r="AI1476">
        <v>256</v>
      </c>
      <c r="AJ1476">
        <v>256</v>
      </c>
      <c r="AK1476">
        <v>60</v>
      </c>
      <c r="AL1476" t="s">
        <v>1010</v>
      </c>
      <c r="AM1476">
        <v>2</v>
      </c>
      <c r="AN1476" t="s">
        <v>5215</v>
      </c>
      <c r="AO1476" t="s">
        <v>67</v>
      </c>
      <c r="AP1476" t="s">
        <v>997</v>
      </c>
      <c r="AQ1476">
        <v>15</v>
      </c>
      <c r="AR1476">
        <v>22</v>
      </c>
      <c r="AS1476">
        <v>44</v>
      </c>
      <c r="AT1476">
        <v>4.2</v>
      </c>
      <c r="AU1476">
        <v>8</v>
      </c>
      <c r="AV1476" t="s">
        <v>5348</v>
      </c>
      <c r="AW1476" t="s">
        <v>5349</v>
      </c>
      <c r="AX1476" t="s">
        <v>5350</v>
      </c>
    </row>
    <row r="1477" spans="1:50" x14ac:dyDescent="0.25">
      <c r="A1477" t="s">
        <v>5351</v>
      </c>
      <c r="B1477" t="s">
        <v>5215</v>
      </c>
      <c r="C1477">
        <v>0</v>
      </c>
      <c r="D1477">
        <v>0</v>
      </c>
      <c r="E1477" t="s">
        <v>5241</v>
      </c>
      <c r="H1477">
        <v>1</v>
      </c>
      <c r="I1477">
        <v>0</v>
      </c>
      <c r="J1477">
        <v>2053</v>
      </c>
      <c r="K1477">
        <v>0</v>
      </c>
      <c r="L1477">
        <v>0</v>
      </c>
      <c r="N1477">
        <v>1</v>
      </c>
      <c r="O1477">
        <v>1</v>
      </c>
      <c r="P1477">
        <v>1</v>
      </c>
      <c r="Q1477">
        <v>1</v>
      </c>
      <c r="U1477" t="s">
        <v>72</v>
      </c>
      <c r="V1477">
        <v>43</v>
      </c>
      <c r="Y1477">
        <v>0</v>
      </c>
      <c r="Z1477">
        <v>74.843000000000004</v>
      </c>
      <c r="AB1477" t="s">
        <v>94</v>
      </c>
      <c r="AD1477" t="s">
        <v>995</v>
      </c>
      <c r="AE1477">
        <v>0</v>
      </c>
      <c r="AF1477">
        <v>3</v>
      </c>
      <c r="AG1477">
        <v>1</v>
      </c>
      <c r="AH1477">
        <v>1.5</v>
      </c>
      <c r="AI1477">
        <v>256</v>
      </c>
      <c r="AJ1477">
        <v>256</v>
      </c>
      <c r="AK1477">
        <v>60</v>
      </c>
      <c r="AL1477" t="s">
        <v>1010</v>
      </c>
      <c r="AM1477">
        <v>2</v>
      </c>
      <c r="AN1477" t="s">
        <v>5215</v>
      </c>
      <c r="AO1477" t="s">
        <v>67</v>
      </c>
      <c r="AP1477" t="s">
        <v>997</v>
      </c>
      <c r="AQ1477">
        <v>15</v>
      </c>
      <c r="AR1477">
        <v>64</v>
      </c>
      <c r="AS1477">
        <v>129</v>
      </c>
      <c r="AT1477">
        <v>4.2</v>
      </c>
      <c r="AU1477">
        <v>8</v>
      </c>
      <c r="AV1477" t="s">
        <v>5352</v>
      </c>
      <c r="AW1477" t="s">
        <v>5353</v>
      </c>
      <c r="AX1477" t="s">
        <v>5354</v>
      </c>
    </row>
    <row r="1478" spans="1:50" x14ac:dyDescent="0.25">
      <c r="A1478" t="s">
        <v>5355</v>
      </c>
      <c r="B1478" t="s">
        <v>5215</v>
      </c>
      <c r="C1478">
        <v>0</v>
      </c>
      <c r="D1478">
        <v>0</v>
      </c>
      <c r="E1478" t="s">
        <v>5216</v>
      </c>
      <c r="H1478">
        <v>0</v>
      </c>
      <c r="I1478">
        <v>1</v>
      </c>
      <c r="J1478">
        <v>574</v>
      </c>
      <c r="K1478">
        <v>574</v>
      </c>
      <c r="L1478">
        <v>574</v>
      </c>
      <c r="N1478">
        <v>0</v>
      </c>
      <c r="O1478">
        <v>0</v>
      </c>
      <c r="P1478">
        <v>0</v>
      </c>
      <c r="Q1478">
        <v>0</v>
      </c>
      <c r="U1478" t="s">
        <v>65</v>
      </c>
      <c r="V1478">
        <v>52</v>
      </c>
      <c r="X1478" t="s">
        <v>80</v>
      </c>
      <c r="Y1478">
        <v>0</v>
      </c>
      <c r="Z1478">
        <v>71.668000000000006</v>
      </c>
      <c r="AB1478" t="s">
        <v>94</v>
      </c>
      <c r="AD1478" t="s">
        <v>995</v>
      </c>
      <c r="AE1478">
        <v>0</v>
      </c>
      <c r="AF1478">
        <v>3</v>
      </c>
      <c r="AG1478">
        <v>1</v>
      </c>
      <c r="AH1478">
        <v>1.5</v>
      </c>
      <c r="AI1478">
        <v>256</v>
      </c>
      <c r="AJ1478">
        <v>256</v>
      </c>
      <c r="AK1478">
        <v>60</v>
      </c>
      <c r="AL1478" t="s">
        <v>1010</v>
      </c>
      <c r="AM1478">
        <v>2</v>
      </c>
      <c r="AN1478" t="s">
        <v>5215</v>
      </c>
      <c r="AO1478" t="s">
        <v>67</v>
      </c>
      <c r="AP1478" t="s">
        <v>997</v>
      </c>
      <c r="AQ1478">
        <v>15</v>
      </c>
      <c r="AT1478">
        <v>4.2</v>
      </c>
      <c r="AU1478">
        <v>11</v>
      </c>
      <c r="AV1478" t="s">
        <v>5356</v>
      </c>
      <c r="AW1478" t="s">
        <v>5357</v>
      </c>
      <c r="AX1478" t="s">
        <v>5358</v>
      </c>
    </row>
    <row r="1479" spans="1:50" x14ac:dyDescent="0.25">
      <c r="A1479" t="s">
        <v>5359</v>
      </c>
      <c r="B1479" t="s">
        <v>5215</v>
      </c>
      <c r="C1479">
        <v>0</v>
      </c>
      <c r="D1479">
        <v>0</v>
      </c>
      <c r="E1479" t="s">
        <v>5241</v>
      </c>
      <c r="H1479">
        <v>1</v>
      </c>
      <c r="I1479">
        <v>0</v>
      </c>
      <c r="J1479">
        <v>1169</v>
      </c>
      <c r="K1479">
        <v>1169</v>
      </c>
      <c r="L1479">
        <v>1169</v>
      </c>
      <c r="V1479">
        <v>63</v>
      </c>
      <c r="X1479" t="s">
        <v>80</v>
      </c>
      <c r="Y1479">
        <v>0</v>
      </c>
      <c r="Z1479">
        <v>64.41</v>
      </c>
      <c r="AB1479" t="s">
        <v>74</v>
      </c>
      <c r="AD1479" t="s">
        <v>995</v>
      </c>
      <c r="AE1479">
        <v>0</v>
      </c>
      <c r="AF1479">
        <v>3</v>
      </c>
      <c r="AG1479">
        <v>1</v>
      </c>
      <c r="AH1479">
        <v>1.5</v>
      </c>
      <c r="AI1479">
        <v>256</v>
      </c>
      <c r="AJ1479">
        <v>256</v>
      </c>
      <c r="AK1479">
        <v>60</v>
      </c>
      <c r="AL1479" t="s">
        <v>75</v>
      </c>
      <c r="AM1479">
        <v>2</v>
      </c>
      <c r="AN1479" t="s">
        <v>5215</v>
      </c>
      <c r="AO1479" t="s">
        <v>67</v>
      </c>
      <c r="AP1479" t="s">
        <v>997</v>
      </c>
      <c r="AQ1479">
        <v>15</v>
      </c>
      <c r="AR1479">
        <v>13</v>
      </c>
      <c r="AS1479">
        <v>26</v>
      </c>
      <c r="AT1479">
        <v>4.2</v>
      </c>
      <c r="AU1479">
        <v>8.4</v>
      </c>
      <c r="AV1479" t="s">
        <v>5360</v>
      </c>
      <c r="AW1479" t="s">
        <v>5361</v>
      </c>
      <c r="AX1479" t="s">
        <v>5362</v>
      </c>
    </row>
    <row r="1480" spans="1:50" x14ac:dyDescent="0.25">
      <c r="A1480" t="s">
        <v>5363</v>
      </c>
      <c r="B1480" t="s">
        <v>5215</v>
      </c>
      <c r="C1480">
        <v>0</v>
      </c>
      <c r="D1480">
        <v>0</v>
      </c>
      <c r="E1480" t="s">
        <v>5216</v>
      </c>
      <c r="H1480">
        <v>0</v>
      </c>
      <c r="I1480">
        <v>0</v>
      </c>
      <c r="J1480">
        <v>3594</v>
      </c>
      <c r="K1480">
        <v>0</v>
      </c>
      <c r="L1480">
        <v>0</v>
      </c>
      <c r="N1480">
        <v>1</v>
      </c>
      <c r="O1480">
        <v>1</v>
      </c>
      <c r="P1480">
        <v>1</v>
      </c>
      <c r="Q1480">
        <v>0</v>
      </c>
      <c r="U1480" t="s">
        <v>93</v>
      </c>
      <c r="V1480">
        <v>44</v>
      </c>
      <c r="X1480" t="s">
        <v>80</v>
      </c>
      <c r="Y1480">
        <v>0</v>
      </c>
      <c r="Z1480">
        <v>68.039000000000001</v>
      </c>
      <c r="AB1480" t="s">
        <v>74</v>
      </c>
      <c r="AD1480" t="s">
        <v>995</v>
      </c>
      <c r="AE1480">
        <v>0</v>
      </c>
      <c r="AF1480">
        <v>3</v>
      </c>
      <c r="AG1480">
        <v>1</v>
      </c>
      <c r="AH1480">
        <v>1.5</v>
      </c>
      <c r="AI1480">
        <v>256</v>
      </c>
      <c r="AJ1480">
        <v>256</v>
      </c>
      <c r="AK1480">
        <v>60</v>
      </c>
      <c r="AL1480" t="s">
        <v>1010</v>
      </c>
      <c r="AM1480">
        <v>2</v>
      </c>
      <c r="AN1480" t="s">
        <v>5215</v>
      </c>
      <c r="AO1480" t="s">
        <v>67</v>
      </c>
      <c r="AP1480" t="s">
        <v>997</v>
      </c>
      <c r="AQ1480">
        <v>15</v>
      </c>
      <c r="AT1480">
        <v>4.2</v>
      </c>
      <c r="AU1480">
        <v>11</v>
      </c>
      <c r="AV1480" t="s">
        <v>5364</v>
      </c>
      <c r="AW1480" t="s">
        <v>5365</v>
      </c>
      <c r="AX1480" t="s">
        <v>5366</v>
      </c>
    </row>
    <row r="1481" spans="1:50" x14ac:dyDescent="0.25">
      <c r="A1481" t="s">
        <v>5367</v>
      </c>
      <c r="B1481" t="s">
        <v>5215</v>
      </c>
      <c r="C1481">
        <v>0</v>
      </c>
      <c r="D1481">
        <v>0</v>
      </c>
      <c r="E1481" t="s">
        <v>5241</v>
      </c>
      <c r="H1481">
        <v>0</v>
      </c>
      <c r="I1481">
        <v>0</v>
      </c>
      <c r="J1481">
        <v>2418</v>
      </c>
      <c r="K1481">
        <v>0</v>
      </c>
      <c r="L1481">
        <v>0</v>
      </c>
      <c r="N1481">
        <v>0</v>
      </c>
      <c r="O1481">
        <v>0</v>
      </c>
      <c r="P1481">
        <v>0</v>
      </c>
      <c r="V1481">
        <v>51</v>
      </c>
      <c r="X1481" t="s">
        <v>111</v>
      </c>
      <c r="Y1481">
        <v>0</v>
      </c>
      <c r="Z1481">
        <v>51.256</v>
      </c>
      <c r="AB1481" t="s">
        <v>74</v>
      </c>
      <c r="AD1481" t="s">
        <v>995</v>
      </c>
      <c r="AE1481">
        <v>0</v>
      </c>
      <c r="AF1481">
        <v>6</v>
      </c>
      <c r="AG1481">
        <v>1</v>
      </c>
      <c r="AH1481">
        <v>1.5</v>
      </c>
      <c r="AI1481">
        <v>256</v>
      </c>
      <c r="AJ1481">
        <v>256</v>
      </c>
      <c r="AK1481">
        <v>60</v>
      </c>
      <c r="AL1481" t="s">
        <v>1010</v>
      </c>
      <c r="AM1481">
        <v>2</v>
      </c>
      <c r="AN1481" t="s">
        <v>5215</v>
      </c>
      <c r="AO1481" t="s">
        <v>67</v>
      </c>
      <c r="AP1481" t="s">
        <v>997</v>
      </c>
      <c r="AQ1481">
        <v>15</v>
      </c>
      <c r="AR1481">
        <v>64</v>
      </c>
      <c r="AS1481">
        <v>129</v>
      </c>
      <c r="AT1481">
        <v>4.2</v>
      </c>
      <c r="AU1481">
        <v>8</v>
      </c>
      <c r="AV1481" t="s">
        <v>5368</v>
      </c>
      <c r="AW1481" t="s">
        <v>5369</v>
      </c>
      <c r="AX1481" t="s">
        <v>5370</v>
      </c>
    </row>
    <row r="1482" spans="1:50" x14ac:dyDescent="0.25">
      <c r="A1482" t="s">
        <v>5371</v>
      </c>
      <c r="B1482" t="s">
        <v>5215</v>
      </c>
      <c r="C1482">
        <v>0</v>
      </c>
      <c r="D1482">
        <v>0</v>
      </c>
      <c r="E1482" t="s">
        <v>5216</v>
      </c>
      <c r="H1482">
        <v>1</v>
      </c>
      <c r="I1482">
        <v>0</v>
      </c>
      <c r="J1482">
        <v>273</v>
      </c>
      <c r="K1482">
        <v>273</v>
      </c>
      <c r="L1482">
        <v>0</v>
      </c>
      <c r="N1482">
        <v>0</v>
      </c>
      <c r="O1482">
        <v>0</v>
      </c>
      <c r="P1482">
        <v>0</v>
      </c>
      <c r="Q1482">
        <v>0</v>
      </c>
      <c r="U1482" t="s">
        <v>65</v>
      </c>
      <c r="V1482">
        <v>40</v>
      </c>
      <c r="X1482" t="s">
        <v>80</v>
      </c>
      <c r="Y1482">
        <v>0</v>
      </c>
      <c r="Z1482">
        <v>58.06</v>
      </c>
      <c r="AB1482" t="s">
        <v>74</v>
      </c>
      <c r="AD1482" t="s">
        <v>995</v>
      </c>
      <c r="AE1482">
        <v>0</v>
      </c>
      <c r="AF1482">
        <v>3</v>
      </c>
      <c r="AG1482">
        <v>1</v>
      </c>
      <c r="AH1482">
        <v>1.5</v>
      </c>
      <c r="AI1482">
        <v>256</v>
      </c>
      <c r="AJ1482">
        <v>256</v>
      </c>
      <c r="AK1482">
        <v>60</v>
      </c>
      <c r="AL1482" t="s">
        <v>1010</v>
      </c>
      <c r="AM1482">
        <v>2.2000000000000002</v>
      </c>
      <c r="AN1482" t="s">
        <v>5215</v>
      </c>
      <c r="AO1482" t="s">
        <v>67</v>
      </c>
      <c r="AP1482" t="s">
        <v>997</v>
      </c>
      <c r="AQ1482">
        <v>15</v>
      </c>
      <c r="AT1482">
        <v>4.2</v>
      </c>
      <c r="AU1482">
        <v>8.1999999999999993</v>
      </c>
      <c r="AV1482" t="s">
        <v>5372</v>
      </c>
      <c r="AW1482" t="s">
        <v>5373</v>
      </c>
      <c r="AX1482" t="s">
        <v>5374</v>
      </c>
    </row>
    <row r="1483" spans="1:50" x14ac:dyDescent="0.25">
      <c r="A1483" t="s">
        <v>5375</v>
      </c>
      <c r="B1483" t="s">
        <v>5215</v>
      </c>
      <c r="C1483">
        <v>0</v>
      </c>
      <c r="D1483">
        <v>0</v>
      </c>
      <c r="E1483" t="s">
        <v>5216</v>
      </c>
      <c r="H1483">
        <v>0</v>
      </c>
      <c r="I1483">
        <v>0</v>
      </c>
      <c r="J1483">
        <v>3167</v>
      </c>
      <c r="K1483">
        <v>0</v>
      </c>
      <c r="L1483">
        <v>0</v>
      </c>
      <c r="N1483">
        <v>0</v>
      </c>
      <c r="O1483">
        <v>0</v>
      </c>
      <c r="P1483">
        <v>0</v>
      </c>
      <c r="Q1483">
        <v>0</v>
      </c>
      <c r="U1483" t="s">
        <v>65</v>
      </c>
      <c r="V1483">
        <v>62</v>
      </c>
      <c r="X1483" t="s">
        <v>111</v>
      </c>
      <c r="Y1483">
        <v>0</v>
      </c>
      <c r="Z1483">
        <v>54.430999999999997</v>
      </c>
      <c r="AB1483" t="s">
        <v>74</v>
      </c>
      <c r="AD1483" t="s">
        <v>995</v>
      </c>
      <c r="AE1483">
        <v>0</v>
      </c>
      <c r="AF1483">
        <v>3</v>
      </c>
      <c r="AG1483">
        <v>1</v>
      </c>
      <c r="AH1483">
        <v>1.5</v>
      </c>
      <c r="AI1483">
        <v>256</v>
      </c>
      <c r="AJ1483">
        <v>256</v>
      </c>
      <c r="AK1483">
        <v>60</v>
      </c>
      <c r="AL1483" t="s">
        <v>1010</v>
      </c>
      <c r="AM1483">
        <v>2</v>
      </c>
      <c r="AN1483" t="s">
        <v>5215</v>
      </c>
      <c r="AO1483" t="s">
        <v>67</v>
      </c>
      <c r="AP1483" t="s">
        <v>997</v>
      </c>
      <c r="AQ1483">
        <v>15</v>
      </c>
      <c r="AT1483">
        <v>4.2</v>
      </c>
      <c r="AU1483">
        <v>11</v>
      </c>
      <c r="AV1483" t="s">
        <v>5376</v>
      </c>
      <c r="AW1483" t="s">
        <v>5377</v>
      </c>
      <c r="AX1483" t="s">
        <v>5378</v>
      </c>
    </row>
    <row r="1484" spans="1:50" x14ac:dyDescent="0.25">
      <c r="A1484" t="s">
        <v>5379</v>
      </c>
      <c r="B1484" t="s">
        <v>5215</v>
      </c>
      <c r="C1484">
        <v>0</v>
      </c>
      <c r="D1484">
        <v>0</v>
      </c>
      <c r="E1484" t="s">
        <v>5216</v>
      </c>
      <c r="H1484">
        <v>0</v>
      </c>
      <c r="I1484">
        <v>0</v>
      </c>
      <c r="J1484">
        <v>2068</v>
      </c>
      <c r="K1484">
        <v>2068</v>
      </c>
      <c r="L1484">
        <v>2068</v>
      </c>
      <c r="N1484">
        <v>1</v>
      </c>
      <c r="O1484">
        <v>1</v>
      </c>
      <c r="P1484">
        <v>1</v>
      </c>
      <c r="Q1484">
        <v>0</v>
      </c>
      <c r="U1484" t="s">
        <v>93</v>
      </c>
      <c r="V1484">
        <v>49</v>
      </c>
      <c r="X1484" t="s">
        <v>80</v>
      </c>
      <c r="Y1484">
        <v>0</v>
      </c>
      <c r="Z1484">
        <v>72.575000000000003</v>
      </c>
      <c r="AB1484" t="s">
        <v>94</v>
      </c>
      <c r="AD1484" t="s">
        <v>995</v>
      </c>
      <c r="AE1484">
        <v>0</v>
      </c>
      <c r="AF1484">
        <v>3</v>
      </c>
      <c r="AG1484">
        <v>1</v>
      </c>
      <c r="AH1484">
        <v>1.5</v>
      </c>
      <c r="AI1484">
        <v>256</v>
      </c>
      <c r="AJ1484">
        <v>256</v>
      </c>
      <c r="AK1484">
        <v>60</v>
      </c>
      <c r="AL1484" t="s">
        <v>1010</v>
      </c>
      <c r="AM1484">
        <v>2</v>
      </c>
      <c r="AN1484" t="s">
        <v>5215</v>
      </c>
      <c r="AO1484" t="s">
        <v>67</v>
      </c>
      <c r="AP1484" t="s">
        <v>997</v>
      </c>
      <c r="AQ1484">
        <v>15</v>
      </c>
      <c r="AT1484">
        <v>4.2</v>
      </c>
      <c r="AU1484">
        <v>8.1999999999999993</v>
      </c>
      <c r="AV1484" t="s">
        <v>5380</v>
      </c>
      <c r="AW1484" t="s">
        <v>5381</v>
      </c>
      <c r="AX1484" t="s">
        <v>5382</v>
      </c>
    </row>
    <row r="1485" spans="1:50" x14ac:dyDescent="0.25">
      <c r="A1485" t="s">
        <v>5383</v>
      </c>
      <c r="B1485" t="s">
        <v>5215</v>
      </c>
      <c r="C1485">
        <v>0</v>
      </c>
      <c r="D1485">
        <v>0</v>
      </c>
      <c r="E1485" t="s">
        <v>5216</v>
      </c>
      <c r="H1485">
        <v>0</v>
      </c>
      <c r="I1485">
        <v>0</v>
      </c>
      <c r="J1485">
        <v>603</v>
      </c>
      <c r="K1485">
        <v>0</v>
      </c>
      <c r="L1485">
        <v>0</v>
      </c>
      <c r="V1485">
        <v>51</v>
      </c>
      <c r="X1485" t="s">
        <v>80</v>
      </c>
      <c r="Y1485">
        <v>0</v>
      </c>
      <c r="Z1485">
        <v>58.06</v>
      </c>
      <c r="AB1485" t="s">
        <v>74</v>
      </c>
      <c r="AD1485" t="s">
        <v>995</v>
      </c>
      <c r="AE1485">
        <v>0</v>
      </c>
      <c r="AF1485">
        <v>3</v>
      </c>
      <c r="AG1485">
        <v>1</v>
      </c>
      <c r="AH1485">
        <v>1.5</v>
      </c>
      <c r="AI1485">
        <v>256</v>
      </c>
      <c r="AJ1485">
        <v>256</v>
      </c>
      <c r="AK1485">
        <v>60</v>
      </c>
      <c r="AL1485" t="s">
        <v>1010</v>
      </c>
      <c r="AM1485">
        <v>2</v>
      </c>
      <c r="AN1485" t="s">
        <v>5215</v>
      </c>
      <c r="AO1485" t="s">
        <v>67</v>
      </c>
      <c r="AP1485" t="s">
        <v>997</v>
      </c>
      <c r="AQ1485">
        <v>15</v>
      </c>
      <c r="AR1485">
        <v>22</v>
      </c>
      <c r="AS1485">
        <v>44</v>
      </c>
      <c r="AT1485">
        <v>4.2</v>
      </c>
      <c r="AU1485">
        <v>8</v>
      </c>
      <c r="AV1485" t="s">
        <v>5384</v>
      </c>
      <c r="AW1485" t="s">
        <v>5385</v>
      </c>
      <c r="AX1485" t="s">
        <v>5386</v>
      </c>
    </row>
    <row r="1486" spans="1:50" x14ac:dyDescent="0.25">
      <c r="A1486" t="s">
        <v>5387</v>
      </c>
      <c r="B1486" t="s">
        <v>5215</v>
      </c>
      <c r="C1486">
        <v>0</v>
      </c>
      <c r="D1486">
        <v>0</v>
      </c>
      <c r="E1486" t="s">
        <v>5216</v>
      </c>
      <c r="H1486">
        <v>1</v>
      </c>
      <c r="I1486">
        <v>0</v>
      </c>
      <c r="J1486">
        <v>2236</v>
      </c>
      <c r="K1486">
        <v>2236</v>
      </c>
      <c r="L1486">
        <v>2236</v>
      </c>
      <c r="N1486">
        <v>1</v>
      </c>
      <c r="O1486">
        <v>1</v>
      </c>
      <c r="P1486">
        <v>1</v>
      </c>
      <c r="Q1486">
        <v>0</v>
      </c>
      <c r="U1486" t="s">
        <v>93</v>
      </c>
      <c r="V1486">
        <v>41</v>
      </c>
      <c r="X1486" t="s">
        <v>80</v>
      </c>
      <c r="Y1486">
        <v>0</v>
      </c>
      <c r="Z1486">
        <v>68.039000000000001</v>
      </c>
      <c r="AB1486" t="s">
        <v>74</v>
      </c>
      <c r="AD1486" t="s">
        <v>995</v>
      </c>
      <c r="AE1486">
        <v>0</v>
      </c>
      <c r="AF1486">
        <v>3</v>
      </c>
      <c r="AG1486">
        <v>1</v>
      </c>
      <c r="AH1486">
        <v>1.5</v>
      </c>
      <c r="AI1486">
        <v>256</v>
      </c>
      <c r="AJ1486">
        <v>256</v>
      </c>
      <c r="AK1486">
        <v>60</v>
      </c>
      <c r="AL1486" t="s">
        <v>1010</v>
      </c>
      <c r="AM1486">
        <v>2</v>
      </c>
      <c r="AN1486" t="s">
        <v>5215</v>
      </c>
      <c r="AO1486" t="s">
        <v>67</v>
      </c>
      <c r="AP1486" t="s">
        <v>997</v>
      </c>
      <c r="AQ1486">
        <v>15</v>
      </c>
      <c r="AT1486">
        <v>4.2</v>
      </c>
      <c r="AU1486">
        <v>8.1999999999999993</v>
      </c>
      <c r="AV1486" t="s">
        <v>5388</v>
      </c>
      <c r="AW1486" t="s">
        <v>5389</v>
      </c>
      <c r="AX1486" t="s">
        <v>5390</v>
      </c>
    </row>
    <row r="1487" spans="1:50" x14ac:dyDescent="0.25">
      <c r="A1487" t="s">
        <v>5391</v>
      </c>
      <c r="B1487" t="s">
        <v>5215</v>
      </c>
      <c r="C1487">
        <v>0</v>
      </c>
      <c r="D1487">
        <v>0</v>
      </c>
      <c r="E1487" t="s">
        <v>5216</v>
      </c>
      <c r="H1487">
        <v>0</v>
      </c>
      <c r="I1487">
        <v>1</v>
      </c>
      <c r="J1487">
        <v>2836</v>
      </c>
      <c r="K1487">
        <v>0</v>
      </c>
      <c r="L1487">
        <v>0</v>
      </c>
      <c r="N1487">
        <v>1</v>
      </c>
      <c r="O1487">
        <v>1</v>
      </c>
      <c r="P1487">
        <v>0</v>
      </c>
      <c r="Q1487">
        <v>0</v>
      </c>
      <c r="U1487" t="s">
        <v>93</v>
      </c>
      <c r="V1487">
        <v>52</v>
      </c>
      <c r="X1487" t="s">
        <v>80</v>
      </c>
      <c r="Y1487">
        <v>0</v>
      </c>
      <c r="Z1487">
        <v>77.563999999999993</v>
      </c>
      <c r="AB1487" t="s">
        <v>94</v>
      </c>
      <c r="AD1487" t="s">
        <v>995</v>
      </c>
      <c r="AE1487">
        <v>0</v>
      </c>
      <c r="AF1487">
        <v>3</v>
      </c>
      <c r="AG1487">
        <v>1</v>
      </c>
      <c r="AH1487">
        <v>1.5</v>
      </c>
      <c r="AI1487">
        <v>512</v>
      </c>
      <c r="AJ1487">
        <v>512</v>
      </c>
      <c r="AK1487">
        <v>64</v>
      </c>
      <c r="AL1487" t="s">
        <v>5293</v>
      </c>
      <c r="AM1487">
        <v>2.2000000000000002</v>
      </c>
      <c r="AN1487" t="s">
        <v>5215</v>
      </c>
      <c r="AO1487" t="s">
        <v>67</v>
      </c>
      <c r="AP1487" t="s">
        <v>997</v>
      </c>
      <c r="AQ1487">
        <v>15</v>
      </c>
      <c r="AR1487">
        <v>68</v>
      </c>
      <c r="AS1487">
        <v>136</v>
      </c>
      <c r="AT1487">
        <v>4.2</v>
      </c>
      <c r="AU1487">
        <v>9.1</v>
      </c>
      <c r="AV1487" t="s">
        <v>5392</v>
      </c>
      <c r="AW1487" t="s">
        <v>5393</v>
      </c>
      <c r="AX1487" t="s">
        <v>5394</v>
      </c>
    </row>
    <row r="1488" spans="1:50" x14ac:dyDescent="0.25">
      <c r="A1488" t="s">
        <v>5395</v>
      </c>
      <c r="B1488" t="s">
        <v>5215</v>
      </c>
      <c r="C1488">
        <v>0</v>
      </c>
      <c r="D1488">
        <v>0</v>
      </c>
      <c r="E1488" t="s">
        <v>5216</v>
      </c>
      <c r="H1488">
        <v>0</v>
      </c>
      <c r="I1488">
        <v>0</v>
      </c>
      <c r="J1488">
        <v>1277</v>
      </c>
      <c r="K1488">
        <v>1277</v>
      </c>
      <c r="L1488">
        <v>1277</v>
      </c>
      <c r="N1488">
        <v>1</v>
      </c>
      <c r="O1488">
        <v>1</v>
      </c>
      <c r="P1488">
        <v>0</v>
      </c>
      <c r="Q1488">
        <v>1</v>
      </c>
      <c r="U1488" t="s">
        <v>72</v>
      </c>
      <c r="V1488">
        <v>31</v>
      </c>
      <c r="X1488" t="s">
        <v>80</v>
      </c>
      <c r="Y1488">
        <v>0</v>
      </c>
      <c r="Z1488">
        <v>86.183000000000007</v>
      </c>
      <c r="AB1488" t="s">
        <v>118</v>
      </c>
      <c r="AD1488" t="s">
        <v>995</v>
      </c>
      <c r="AE1488">
        <v>0</v>
      </c>
      <c r="AF1488">
        <v>3</v>
      </c>
      <c r="AG1488">
        <v>1</v>
      </c>
      <c r="AH1488">
        <v>1.5</v>
      </c>
      <c r="AI1488">
        <v>256</v>
      </c>
      <c r="AJ1488">
        <v>256</v>
      </c>
      <c r="AK1488">
        <v>60</v>
      </c>
      <c r="AL1488" t="s">
        <v>1010</v>
      </c>
      <c r="AM1488">
        <v>2</v>
      </c>
      <c r="AN1488" t="s">
        <v>5215</v>
      </c>
      <c r="AO1488" t="s">
        <v>67</v>
      </c>
      <c r="AP1488" t="s">
        <v>997</v>
      </c>
      <c r="AQ1488">
        <v>15</v>
      </c>
      <c r="AT1488">
        <v>4.2</v>
      </c>
      <c r="AU1488">
        <v>8.1999999999999993</v>
      </c>
      <c r="AV1488" t="s">
        <v>5396</v>
      </c>
      <c r="AW1488" t="s">
        <v>5238</v>
      </c>
      <c r="AX1488" t="s">
        <v>5397</v>
      </c>
    </row>
    <row r="1489" spans="1:50" x14ac:dyDescent="0.25">
      <c r="A1489" t="s">
        <v>5398</v>
      </c>
      <c r="B1489" t="s">
        <v>5215</v>
      </c>
      <c r="C1489">
        <v>0</v>
      </c>
      <c r="D1489">
        <v>0</v>
      </c>
      <c r="E1489" t="s">
        <v>5241</v>
      </c>
      <c r="H1489">
        <v>0</v>
      </c>
      <c r="I1489">
        <v>0</v>
      </c>
      <c r="J1489">
        <v>2088</v>
      </c>
      <c r="K1489">
        <v>0</v>
      </c>
      <c r="L1489">
        <v>0</v>
      </c>
      <c r="N1489">
        <v>0</v>
      </c>
      <c r="O1489">
        <v>0</v>
      </c>
      <c r="P1489">
        <v>0</v>
      </c>
      <c r="Q1489">
        <v>0</v>
      </c>
      <c r="U1489" t="s">
        <v>65</v>
      </c>
      <c r="V1489">
        <v>41</v>
      </c>
      <c r="X1489" t="s">
        <v>80</v>
      </c>
      <c r="Y1489">
        <v>0</v>
      </c>
      <c r="Z1489">
        <v>58.966999999999999</v>
      </c>
      <c r="AB1489" t="s">
        <v>74</v>
      </c>
      <c r="AD1489" t="s">
        <v>995</v>
      </c>
      <c r="AE1489">
        <v>0</v>
      </c>
      <c r="AF1489">
        <v>3</v>
      </c>
      <c r="AG1489">
        <v>1</v>
      </c>
      <c r="AH1489">
        <v>1.5</v>
      </c>
      <c r="AI1489">
        <v>256</v>
      </c>
      <c r="AJ1489">
        <v>256</v>
      </c>
      <c r="AK1489">
        <v>60</v>
      </c>
      <c r="AL1489" t="s">
        <v>1010</v>
      </c>
      <c r="AM1489">
        <v>2</v>
      </c>
      <c r="AN1489" t="s">
        <v>5215</v>
      </c>
      <c r="AO1489" t="s">
        <v>67</v>
      </c>
      <c r="AP1489" t="s">
        <v>997</v>
      </c>
      <c r="AQ1489">
        <v>15</v>
      </c>
      <c r="AR1489">
        <v>98</v>
      </c>
      <c r="AS1489">
        <v>196</v>
      </c>
      <c r="AT1489">
        <v>4.2</v>
      </c>
      <c r="AU1489">
        <v>8</v>
      </c>
      <c r="AV1489" t="s">
        <v>5399</v>
      </c>
      <c r="AW1489" t="s">
        <v>5400</v>
      </c>
      <c r="AX1489" t="s">
        <v>5401</v>
      </c>
    </row>
    <row r="1490" spans="1:50" x14ac:dyDescent="0.25">
      <c r="A1490" t="s">
        <v>5402</v>
      </c>
      <c r="B1490" t="s">
        <v>5215</v>
      </c>
      <c r="C1490">
        <v>0</v>
      </c>
      <c r="D1490">
        <v>0</v>
      </c>
      <c r="E1490" t="s">
        <v>5216</v>
      </c>
      <c r="H1490">
        <v>0</v>
      </c>
      <c r="I1490">
        <v>1</v>
      </c>
      <c r="J1490">
        <v>175</v>
      </c>
      <c r="K1490">
        <v>175</v>
      </c>
      <c r="L1490">
        <v>0</v>
      </c>
      <c r="N1490">
        <v>0</v>
      </c>
      <c r="O1490">
        <v>0</v>
      </c>
      <c r="P1490">
        <v>0</v>
      </c>
      <c r="Q1490">
        <v>1</v>
      </c>
      <c r="U1490" t="s">
        <v>53</v>
      </c>
      <c r="V1490">
        <v>50</v>
      </c>
      <c r="X1490" t="s">
        <v>73</v>
      </c>
      <c r="Y1490">
        <v>0</v>
      </c>
      <c r="Z1490">
        <v>74.843000000000004</v>
      </c>
      <c r="AB1490" t="s">
        <v>94</v>
      </c>
      <c r="AD1490" t="s">
        <v>995</v>
      </c>
      <c r="AE1490">
        <v>0</v>
      </c>
      <c r="AF1490">
        <v>3</v>
      </c>
      <c r="AG1490">
        <v>1</v>
      </c>
      <c r="AH1490">
        <v>1.5</v>
      </c>
      <c r="AI1490">
        <v>256</v>
      </c>
      <c r="AJ1490">
        <v>256</v>
      </c>
      <c r="AK1490">
        <v>60</v>
      </c>
      <c r="AL1490" t="s">
        <v>75</v>
      </c>
      <c r="AM1490">
        <v>2.2999999999999998</v>
      </c>
      <c r="AN1490" t="s">
        <v>5215</v>
      </c>
      <c r="AO1490" t="s">
        <v>67</v>
      </c>
      <c r="AP1490" t="s">
        <v>997</v>
      </c>
      <c r="AQ1490">
        <v>15</v>
      </c>
      <c r="AT1490">
        <v>4.2</v>
      </c>
      <c r="AU1490">
        <v>8.1999999999999993</v>
      </c>
      <c r="AV1490" t="s">
        <v>5403</v>
      </c>
      <c r="AW1490" t="s">
        <v>5404</v>
      </c>
      <c r="AX1490" t="s">
        <v>5405</v>
      </c>
    </row>
    <row r="1491" spans="1:50" x14ac:dyDescent="0.25">
      <c r="A1491" t="s">
        <v>5406</v>
      </c>
      <c r="B1491" t="s">
        <v>5215</v>
      </c>
      <c r="C1491">
        <v>0</v>
      </c>
      <c r="D1491">
        <v>1</v>
      </c>
      <c r="E1491" t="s">
        <v>5241</v>
      </c>
      <c r="H1491">
        <v>0</v>
      </c>
      <c r="I1491">
        <v>0</v>
      </c>
      <c r="J1491">
        <v>982</v>
      </c>
      <c r="K1491">
        <v>0</v>
      </c>
      <c r="L1491">
        <v>0</v>
      </c>
      <c r="N1491">
        <v>1</v>
      </c>
      <c r="O1491">
        <v>1</v>
      </c>
      <c r="P1491">
        <v>1</v>
      </c>
      <c r="Q1491">
        <v>0</v>
      </c>
      <c r="U1491" t="s">
        <v>93</v>
      </c>
      <c r="V1491">
        <v>36</v>
      </c>
      <c r="X1491" t="s">
        <v>80</v>
      </c>
      <c r="Y1491">
        <v>0</v>
      </c>
      <c r="Z1491">
        <v>52.162999999999997</v>
      </c>
      <c r="AB1491" t="s">
        <v>74</v>
      </c>
      <c r="AD1491" t="s">
        <v>995</v>
      </c>
      <c r="AE1491">
        <v>0</v>
      </c>
      <c r="AF1491">
        <v>3</v>
      </c>
      <c r="AG1491">
        <v>1</v>
      </c>
      <c r="AH1491">
        <v>1.5</v>
      </c>
      <c r="AI1491">
        <v>256</v>
      </c>
      <c r="AJ1491">
        <v>256</v>
      </c>
      <c r="AK1491">
        <v>60</v>
      </c>
      <c r="AL1491" t="s">
        <v>1010</v>
      </c>
      <c r="AM1491">
        <v>2</v>
      </c>
      <c r="AN1491" t="s">
        <v>5215</v>
      </c>
      <c r="AO1491" t="s">
        <v>67</v>
      </c>
      <c r="AP1491" t="s">
        <v>997</v>
      </c>
      <c r="AQ1491">
        <v>15</v>
      </c>
      <c r="AR1491">
        <v>26</v>
      </c>
      <c r="AS1491">
        <v>52</v>
      </c>
      <c r="AT1491">
        <v>4.2</v>
      </c>
      <c r="AU1491">
        <v>8</v>
      </c>
      <c r="AV1491" t="s">
        <v>5407</v>
      </c>
      <c r="AW1491" t="s">
        <v>5408</v>
      </c>
      <c r="AX1491" t="s">
        <v>5409</v>
      </c>
    </row>
    <row r="1492" spans="1:50" x14ac:dyDescent="0.25">
      <c r="A1492" t="s">
        <v>5410</v>
      </c>
      <c r="B1492" t="s">
        <v>5215</v>
      </c>
      <c r="C1492">
        <v>0</v>
      </c>
      <c r="D1492">
        <v>0</v>
      </c>
      <c r="E1492" t="s">
        <v>5322</v>
      </c>
      <c r="H1492">
        <v>0</v>
      </c>
      <c r="I1492">
        <v>0</v>
      </c>
      <c r="J1492">
        <v>634</v>
      </c>
      <c r="K1492">
        <v>634</v>
      </c>
      <c r="L1492">
        <v>634</v>
      </c>
      <c r="V1492">
        <v>40</v>
      </c>
      <c r="X1492" t="s">
        <v>55</v>
      </c>
      <c r="Y1492">
        <v>0</v>
      </c>
      <c r="Z1492">
        <v>65.771000000000001</v>
      </c>
      <c r="AB1492" t="s">
        <v>74</v>
      </c>
      <c r="AD1492" t="s">
        <v>995</v>
      </c>
      <c r="AE1492">
        <v>0</v>
      </c>
      <c r="AF1492">
        <v>3</v>
      </c>
      <c r="AG1492">
        <v>1</v>
      </c>
      <c r="AH1492">
        <v>1.5</v>
      </c>
      <c r="AI1492">
        <v>256</v>
      </c>
      <c r="AJ1492">
        <v>256</v>
      </c>
      <c r="AK1492">
        <v>60</v>
      </c>
      <c r="AL1492" t="s">
        <v>75</v>
      </c>
      <c r="AM1492">
        <v>2</v>
      </c>
      <c r="AN1492" t="s">
        <v>5215</v>
      </c>
      <c r="AO1492" t="s">
        <v>67</v>
      </c>
      <c r="AP1492" t="s">
        <v>997</v>
      </c>
      <c r="AQ1492">
        <v>15</v>
      </c>
      <c r="AR1492">
        <v>18</v>
      </c>
      <c r="AS1492">
        <v>37</v>
      </c>
      <c r="AT1492">
        <v>4.2</v>
      </c>
      <c r="AU1492">
        <v>8.4</v>
      </c>
      <c r="AV1492" t="s">
        <v>5411</v>
      </c>
      <c r="AW1492" t="s">
        <v>5412</v>
      </c>
      <c r="AX1492" t="s">
        <v>5413</v>
      </c>
    </row>
    <row r="1493" spans="1:50" x14ac:dyDescent="0.25">
      <c r="A1493" t="s">
        <v>5414</v>
      </c>
      <c r="B1493" t="s">
        <v>5215</v>
      </c>
      <c r="C1493">
        <v>0</v>
      </c>
      <c r="D1493">
        <v>0</v>
      </c>
      <c r="E1493" t="s">
        <v>5216</v>
      </c>
      <c r="H1493">
        <v>0</v>
      </c>
      <c r="I1493">
        <v>1</v>
      </c>
      <c r="J1493">
        <v>2892</v>
      </c>
      <c r="K1493">
        <v>0</v>
      </c>
      <c r="L1493">
        <v>0</v>
      </c>
      <c r="N1493">
        <v>1</v>
      </c>
      <c r="O1493">
        <v>1</v>
      </c>
      <c r="P1493">
        <v>1</v>
      </c>
      <c r="Q1493">
        <v>0</v>
      </c>
      <c r="U1493" t="s">
        <v>93</v>
      </c>
      <c r="V1493">
        <v>62</v>
      </c>
      <c r="X1493" t="s">
        <v>80</v>
      </c>
      <c r="Y1493">
        <v>0</v>
      </c>
      <c r="Z1493">
        <v>72.575000000000003</v>
      </c>
      <c r="AB1493" t="s">
        <v>94</v>
      </c>
      <c r="AD1493" t="s">
        <v>995</v>
      </c>
      <c r="AE1493">
        <v>0</v>
      </c>
      <c r="AF1493">
        <v>3</v>
      </c>
      <c r="AG1493">
        <v>1</v>
      </c>
      <c r="AH1493">
        <v>1.5</v>
      </c>
      <c r="AI1493">
        <v>256</v>
      </c>
      <c r="AJ1493">
        <v>256</v>
      </c>
      <c r="AK1493">
        <v>60</v>
      </c>
      <c r="AL1493" t="s">
        <v>1034</v>
      </c>
      <c r="AM1493">
        <v>2.2000000000000002</v>
      </c>
      <c r="AN1493" t="s">
        <v>5215</v>
      </c>
      <c r="AO1493" t="s">
        <v>67</v>
      </c>
      <c r="AP1493" t="s">
        <v>997</v>
      </c>
      <c r="AQ1493">
        <v>15</v>
      </c>
      <c r="AT1493">
        <v>4.2</v>
      </c>
      <c r="AU1493">
        <v>8.1999999999999993</v>
      </c>
      <c r="AV1493" t="s">
        <v>5415</v>
      </c>
      <c r="AW1493" t="s">
        <v>5416</v>
      </c>
      <c r="AX1493" t="s">
        <v>5417</v>
      </c>
    </row>
    <row r="1494" spans="1:50" x14ac:dyDescent="0.25">
      <c r="A1494" t="s">
        <v>5418</v>
      </c>
      <c r="B1494" t="s">
        <v>5215</v>
      </c>
      <c r="C1494">
        <v>0</v>
      </c>
      <c r="D1494">
        <v>0</v>
      </c>
      <c r="E1494" t="s">
        <v>5241</v>
      </c>
      <c r="H1494">
        <v>0</v>
      </c>
      <c r="I1494">
        <v>1</v>
      </c>
      <c r="J1494">
        <v>1281</v>
      </c>
      <c r="K1494">
        <v>0</v>
      </c>
      <c r="L1494">
        <v>0</v>
      </c>
      <c r="V1494">
        <v>47</v>
      </c>
      <c r="X1494" t="s">
        <v>80</v>
      </c>
      <c r="Y1494">
        <v>0</v>
      </c>
      <c r="Z1494">
        <v>72.575000000000003</v>
      </c>
      <c r="AB1494" t="s">
        <v>94</v>
      </c>
      <c r="AD1494" t="s">
        <v>995</v>
      </c>
      <c r="AE1494">
        <v>0</v>
      </c>
      <c r="AF1494">
        <v>3</v>
      </c>
      <c r="AG1494">
        <v>1</v>
      </c>
      <c r="AH1494">
        <v>1.5</v>
      </c>
      <c r="AI1494">
        <v>256</v>
      </c>
      <c r="AJ1494">
        <v>256</v>
      </c>
      <c r="AK1494">
        <v>60</v>
      </c>
      <c r="AL1494" t="s">
        <v>75</v>
      </c>
      <c r="AM1494">
        <v>2.2000000000000002</v>
      </c>
      <c r="AN1494" t="s">
        <v>5215</v>
      </c>
      <c r="AO1494" t="s">
        <v>67</v>
      </c>
      <c r="AP1494" t="s">
        <v>997</v>
      </c>
      <c r="AQ1494">
        <v>15</v>
      </c>
      <c r="AR1494">
        <v>11</v>
      </c>
      <c r="AS1494">
        <v>22</v>
      </c>
      <c r="AT1494">
        <v>4.2</v>
      </c>
      <c r="AU1494">
        <v>8.4</v>
      </c>
      <c r="AV1494" t="s">
        <v>5419</v>
      </c>
      <c r="AW1494" t="s">
        <v>5420</v>
      </c>
      <c r="AX1494" t="s">
        <v>5421</v>
      </c>
    </row>
    <row r="1495" spans="1:50" x14ac:dyDescent="0.25">
      <c r="A1495" t="s">
        <v>5422</v>
      </c>
      <c r="B1495" t="s">
        <v>5215</v>
      </c>
      <c r="C1495">
        <v>0</v>
      </c>
      <c r="D1495">
        <v>0</v>
      </c>
      <c r="E1495" t="s">
        <v>5216</v>
      </c>
      <c r="H1495">
        <v>0</v>
      </c>
      <c r="I1495">
        <v>0</v>
      </c>
      <c r="J1495">
        <v>1843</v>
      </c>
      <c r="K1495">
        <v>0</v>
      </c>
      <c r="L1495">
        <v>0</v>
      </c>
      <c r="V1495">
        <v>58</v>
      </c>
      <c r="X1495" t="s">
        <v>80</v>
      </c>
      <c r="Y1495">
        <v>0</v>
      </c>
      <c r="Z1495">
        <v>56.698999999999998</v>
      </c>
      <c r="AB1495" t="s">
        <v>74</v>
      </c>
      <c r="AD1495" t="s">
        <v>995</v>
      </c>
      <c r="AE1495">
        <v>0</v>
      </c>
      <c r="AF1495">
        <v>3</v>
      </c>
      <c r="AG1495">
        <v>1</v>
      </c>
      <c r="AH1495">
        <v>1.5</v>
      </c>
      <c r="AI1495">
        <v>256</v>
      </c>
      <c r="AJ1495">
        <v>256</v>
      </c>
      <c r="AK1495">
        <v>60</v>
      </c>
      <c r="AL1495" t="s">
        <v>75</v>
      </c>
      <c r="AM1495">
        <v>2</v>
      </c>
      <c r="AN1495" t="s">
        <v>5215</v>
      </c>
      <c r="AO1495" t="s">
        <v>67</v>
      </c>
      <c r="AP1495" t="s">
        <v>997</v>
      </c>
      <c r="AQ1495">
        <v>15</v>
      </c>
      <c r="AR1495">
        <v>19</v>
      </c>
      <c r="AS1495">
        <v>38</v>
      </c>
      <c r="AT1495">
        <v>4.2</v>
      </c>
      <c r="AU1495">
        <v>8.4</v>
      </c>
      <c r="AV1495" t="s">
        <v>5423</v>
      </c>
      <c r="AW1495" t="s">
        <v>5424</v>
      </c>
      <c r="AX1495" t="s">
        <v>5425</v>
      </c>
    </row>
    <row r="1496" spans="1:50" x14ac:dyDescent="0.25">
      <c r="A1496" t="s">
        <v>5426</v>
      </c>
      <c r="B1496" t="s">
        <v>5215</v>
      </c>
      <c r="C1496">
        <v>0</v>
      </c>
      <c r="D1496">
        <v>0</v>
      </c>
      <c r="E1496" t="s">
        <v>5241</v>
      </c>
      <c r="H1496">
        <v>0</v>
      </c>
      <c r="I1496">
        <v>1</v>
      </c>
      <c r="J1496">
        <v>344</v>
      </c>
      <c r="K1496">
        <v>0</v>
      </c>
      <c r="L1496">
        <v>0</v>
      </c>
      <c r="V1496">
        <v>40</v>
      </c>
      <c r="X1496" t="s">
        <v>80</v>
      </c>
      <c r="Y1496">
        <v>0</v>
      </c>
      <c r="Z1496">
        <v>61.234999999999999</v>
      </c>
      <c r="AB1496" t="s">
        <v>74</v>
      </c>
      <c r="AD1496" t="s">
        <v>995</v>
      </c>
      <c r="AE1496">
        <v>0</v>
      </c>
      <c r="AF1496">
        <v>3</v>
      </c>
      <c r="AG1496">
        <v>1</v>
      </c>
      <c r="AH1496">
        <v>1.5</v>
      </c>
      <c r="AI1496">
        <v>256</v>
      </c>
      <c r="AJ1496">
        <v>256</v>
      </c>
      <c r="AK1496">
        <v>60</v>
      </c>
      <c r="AL1496" t="s">
        <v>75</v>
      </c>
      <c r="AM1496">
        <v>2</v>
      </c>
      <c r="AN1496" t="s">
        <v>5215</v>
      </c>
      <c r="AO1496" t="s">
        <v>67</v>
      </c>
      <c r="AP1496" t="s">
        <v>997</v>
      </c>
      <c r="AQ1496">
        <v>15</v>
      </c>
      <c r="AR1496">
        <v>26</v>
      </c>
      <c r="AS1496">
        <v>52</v>
      </c>
      <c r="AT1496">
        <v>4.2</v>
      </c>
      <c r="AU1496">
        <v>8.4</v>
      </c>
      <c r="AV1496" t="s">
        <v>5427</v>
      </c>
      <c r="AW1496" t="s">
        <v>5428</v>
      </c>
      <c r="AX1496" t="s">
        <v>5429</v>
      </c>
    </row>
    <row r="1497" spans="1:50" x14ac:dyDescent="0.25">
      <c r="A1497" t="s">
        <v>5430</v>
      </c>
      <c r="B1497" t="s">
        <v>5215</v>
      </c>
      <c r="C1497">
        <v>0</v>
      </c>
      <c r="D1497">
        <v>0</v>
      </c>
      <c r="E1497" t="s">
        <v>5216</v>
      </c>
      <c r="H1497">
        <v>0</v>
      </c>
      <c r="I1497">
        <v>1</v>
      </c>
      <c r="J1497">
        <v>101</v>
      </c>
      <c r="K1497">
        <v>101</v>
      </c>
      <c r="L1497">
        <v>0</v>
      </c>
      <c r="N1497">
        <v>0</v>
      </c>
      <c r="O1497">
        <v>0</v>
      </c>
      <c r="P1497">
        <v>0</v>
      </c>
      <c r="Q1497">
        <v>0</v>
      </c>
      <c r="U1497" t="s">
        <v>65</v>
      </c>
      <c r="V1497">
        <v>50</v>
      </c>
      <c r="X1497" t="s">
        <v>80</v>
      </c>
      <c r="Y1497">
        <v>0</v>
      </c>
      <c r="Z1497">
        <v>51.71</v>
      </c>
      <c r="AB1497" t="s">
        <v>74</v>
      </c>
      <c r="AD1497" t="s">
        <v>995</v>
      </c>
      <c r="AE1497">
        <v>0</v>
      </c>
      <c r="AF1497">
        <v>3</v>
      </c>
      <c r="AG1497">
        <v>1</v>
      </c>
      <c r="AH1497">
        <v>1.5</v>
      </c>
      <c r="AI1497">
        <v>256</v>
      </c>
      <c r="AJ1497">
        <v>256</v>
      </c>
      <c r="AK1497">
        <v>60</v>
      </c>
      <c r="AL1497" t="s">
        <v>1010</v>
      </c>
      <c r="AM1497">
        <v>2</v>
      </c>
      <c r="AN1497" t="s">
        <v>5215</v>
      </c>
      <c r="AO1497" t="s">
        <v>67</v>
      </c>
      <c r="AP1497" t="s">
        <v>997</v>
      </c>
      <c r="AQ1497">
        <v>15</v>
      </c>
      <c r="AR1497">
        <v>60</v>
      </c>
      <c r="AS1497">
        <v>120</v>
      </c>
      <c r="AT1497">
        <v>4.2</v>
      </c>
      <c r="AU1497">
        <v>8</v>
      </c>
      <c r="AV1497" t="s">
        <v>5431</v>
      </c>
      <c r="AW1497" t="s">
        <v>5432</v>
      </c>
      <c r="AX1497" t="s">
        <v>5433</v>
      </c>
    </row>
    <row r="1498" spans="1:50" x14ac:dyDescent="0.25">
      <c r="A1498" t="s">
        <v>5434</v>
      </c>
      <c r="B1498" t="s">
        <v>5215</v>
      </c>
      <c r="C1498">
        <v>0</v>
      </c>
      <c r="D1498">
        <v>0</v>
      </c>
      <c r="E1498" t="s">
        <v>5216</v>
      </c>
      <c r="H1498">
        <v>0</v>
      </c>
      <c r="I1498">
        <v>0</v>
      </c>
      <c r="J1498">
        <v>2935</v>
      </c>
      <c r="K1498">
        <v>0</v>
      </c>
      <c r="L1498">
        <v>0</v>
      </c>
      <c r="N1498">
        <v>1</v>
      </c>
      <c r="O1498">
        <v>1</v>
      </c>
      <c r="P1498">
        <v>1</v>
      </c>
      <c r="Q1498">
        <v>0</v>
      </c>
      <c r="U1498" t="s">
        <v>93</v>
      </c>
      <c r="V1498">
        <v>45</v>
      </c>
      <c r="Y1498">
        <v>0</v>
      </c>
      <c r="Z1498">
        <v>68.039000000000001</v>
      </c>
      <c r="AB1498" t="s">
        <v>74</v>
      </c>
      <c r="AD1498" t="s">
        <v>995</v>
      </c>
      <c r="AE1498">
        <v>0</v>
      </c>
      <c r="AF1498">
        <v>3</v>
      </c>
      <c r="AG1498">
        <v>1</v>
      </c>
      <c r="AH1498">
        <v>1.5</v>
      </c>
      <c r="AI1498">
        <v>256</v>
      </c>
      <c r="AJ1498">
        <v>256</v>
      </c>
      <c r="AK1498">
        <v>60</v>
      </c>
      <c r="AL1498" t="s">
        <v>1010</v>
      </c>
      <c r="AM1498">
        <v>2</v>
      </c>
      <c r="AN1498" t="s">
        <v>5215</v>
      </c>
      <c r="AO1498" t="s">
        <v>67</v>
      </c>
      <c r="AP1498" t="s">
        <v>997</v>
      </c>
      <c r="AQ1498">
        <v>15</v>
      </c>
      <c r="AT1498">
        <v>4.2</v>
      </c>
      <c r="AU1498">
        <v>8.1999999999999993</v>
      </c>
      <c r="AV1498" t="s">
        <v>5435</v>
      </c>
      <c r="AW1498" t="s">
        <v>5436</v>
      </c>
      <c r="AX1498" t="s">
        <v>5437</v>
      </c>
    </row>
    <row r="1499" spans="1:50" x14ac:dyDescent="0.25">
      <c r="A1499" t="s">
        <v>5438</v>
      </c>
      <c r="B1499" t="s">
        <v>5215</v>
      </c>
      <c r="C1499">
        <v>0</v>
      </c>
      <c r="D1499">
        <v>0</v>
      </c>
      <c r="E1499" t="s">
        <v>5216</v>
      </c>
      <c r="H1499">
        <v>0</v>
      </c>
      <c r="I1499">
        <v>1</v>
      </c>
      <c r="J1499">
        <v>3369</v>
      </c>
      <c r="K1499">
        <v>0</v>
      </c>
      <c r="L1499">
        <v>0</v>
      </c>
      <c r="N1499">
        <v>0</v>
      </c>
      <c r="O1499">
        <v>0</v>
      </c>
      <c r="P1499">
        <v>0</v>
      </c>
      <c r="Q1499">
        <v>0</v>
      </c>
      <c r="U1499" t="s">
        <v>65</v>
      </c>
      <c r="V1499">
        <v>29</v>
      </c>
      <c r="X1499" t="s">
        <v>73</v>
      </c>
      <c r="Y1499">
        <v>0</v>
      </c>
      <c r="Z1499">
        <v>58.06</v>
      </c>
      <c r="AB1499" t="s">
        <v>74</v>
      </c>
      <c r="AD1499" t="s">
        <v>995</v>
      </c>
      <c r="AE1499">
        <v>0</v>
      </c>
      <c r="AF1499">
        <v>3</v>
      </c>
      <c r="AG1499">
        <v>1</v>
      </c>
      <c r="AH1499">
        <v>1.5</v>
      </c>
      <c r="AI1499">
        <v>256</v>
      </c>
      <c r="AJ1499">
        <v>256</v>
      </c>
      <c r="AK1499">
        <v>60</v>
      </c>
      <c r="AL1499" t="s">
        <v>1010</v>
      </c>
      <c r="AM1499">
        <v>2.1</v>
      </c>
      <c r="AN1499" t="s">
        <v>5215</v>
      </c>
      <c r="AO1499" t="s">
        <v>67</v>
      </c>
      <c r="AP1499" t="s">
        <v>997</v>
      </c>
      <c r="AQ1499">
        <v>15</v>
      </c>
      <c r="AT1499">
        <v>4.2</v>
      </c>
      <c r="AU1499">
        <v>11</v>
      </c>
      <c r="AV1499" t="s">
        <v>5439</v>
      </c>
      <c r="AW1499" t="s">
        <v>5440</v>
      </c>
      <c r="AX1499" t="s">
        <v>5441</v>
      </c>
    </row>
    <row r="1500" spans="1:50" x14ac:dyDescent="0.25">
      <c r="A1500" t="s">
        <v>5442</v>
      </c>
      <c r="B1500" t="s">
        <v>5215</v>
      </c>
      <c r="C1500">
        <v>0</v>
      </c>
      <c r="D1500">
        <v>0</v>
      </c>
      <c r="E1500" t="s">
        <v>5241</v>
      </c>
      <c r="H1500">
        <v>0</v>
      </c>
      <c r="I1500">
        <v>1</v>
      </c>
      <c r="J1500">
        <v>352</v>
      </c>
      <c r="K1500">
        <v>352</v>
      </c>
      <c r="L1500">
        <v>0</v>
      </c>
      <c r="V1500">
        <v>47</v>
      </c>
      <c r="X1500" t="s">
        <v>80</v>
      </c>
      <c r="Y1500">
        <v>0</v>
      </c>
      <c r="Z1500">
        <v>54.430999999999997</v>
      </c>
      <c r="AB1500" t="s">
        <v>74</v>
      </c>
      <c r="AD1500" t="s">
        <v>995</v>
      </c>
      <c r="AE1500">
        <v>0</v>
      </c>
      <c r="AF1500">
        <v>3</v>
      </c>
      <c r="AG1500">
        <v>1</v>
      </c>
      <c r="AH1500">
        <v>1.5</v>
      </c>
      <c r="AI1500">
        <v>256</v>
      </c>
      <c r="AJ1500">
        <v>256</v>
      </c>
      <c r="AK1500">
        <v>60</v>
      </c>
      <c r="AL1500" t="s">
        <v>75</v>
      </c>
      <c r="AM1500">
        <v>2</v>
      </c>
      <c r="AN1500" t="s">
        <v>5215</v>
      </c>
      <c r="AO1500" t="s">
        <v>67</v>
      </c>
      <c r="AP1500" t="s">
        <v>997</v>
      </c>
      <c r="AQ1500">
        <v>15</v>
      </c>
      <c r="AR1500">
        <v>17</v>
      </c>
      <c r="AS1500">
        <v>35</v>
      </c>
      <c r="AT1500">
        <v>4.2</v>
      </c>
      <c r="AU1500">
        <v>8.4</v>
      </c>
      <c r="AV1500" t="s">
        <v>5443</v>
      </c>
      <c r="AW1500" t="s">
        <v>5444</v>
      </c>
      <c r="AX1500" t="s">
        <v>5445</v>
      </c>
    </row>
    <row r="1501" spans="1:50" x14ac:dyDescent="0.25">
      <c r="A1501" t="s">
        <v>5446</v>
      </c>
      <c r="B1501" t="s">
        <v>5215</v>
      </c>
      <c r="C1501">
        <v>0</v>
      </c>
      <c r="D1501">
        <v>0</v>
      </c>
      <c r="E1501" t="s">
        <v>5216</v>
      </c>
      <c r="H1501">
        <v>1</v>
      </c>
      <c r="I1501">
        <v>0</v>
      </c>
      <c r="J1501">
        <v>2583</v>
      </c>
      <c r="K1501">
        <v>0</v>
      </c>
      <c r="L1501">
        <v>0</v>
      </c>
      <c r="N1501">
        <v>0</v>
      </c>
      <c r="O1501">
        <v>0</v>
      </c>
      <c r="P1501">
        <v>0</v>
      </c>
      <c r="Q1501">
        <v>0</v>
      </c>
      <c r="U1501" t="s">
        <v>65</v>
      </c>
      <c r="V1501">
        <v>38</v>
      </c>
      <c r="X1501" t="s">
        <v>80</v>
      </c>
      <c r="Y1501">
        <v>0</v>
      </c>
      <c r="Z1501">
        <v>46.265999999999998</v>
      </c>
      <c r="AB1501" t="s">
        <v>247</v>
      </c>
      <c r="AD1501" t="s">
        <v>995</v>
      </c>
      <c r="AE1501">
        <v>0</v>
      </c>
      <c r="AF1501">
        <v>3</v>
      </c>
      <c r="AG1501">
        <v>1</v>
      </c>
      <c r="AH1501">
        <v>1.5</v>
      </c>
      <c r="AI1501">
        <v>256</v>
      </c>
      <c r="AJ1501">
        <v>256</v>
      </c>
      <c r="AK1501">
        <v>60</v>
      </c>
      <c r="AL1501" t="s">
        <v>1010</v>
      </c>
      <c r="AM1501">
        <v>2</v>
      </c>
      <c r="AN1501" t="s">
        <v>5215</v>
      </c>
      <c r="AO1501" t="s">
        <v>67</v>
      </c>
      <c r="AP1501" t="s">
        <v>997</v>
      </c>
      <c r="AQ1501">
        <v>15</v>
      </c>
      <c r="AT1501">
        <v>4.2</v>
      </c>
      <c r="AU1501">
        <v>8.1999999999999993</v>
      </c>
      <c r="AV1501" t="s">
        <v>5447</v>
      </c>
      <c r="AW1501" t="s">
        <v>5448</v>
      </c>
      <c r="AX1501" t="s">
        <v>5449</v>
      </c>
    </row>
    <row r="1502" spans="1:50" x14ac:dyDescent="0.25">
      <c r="A1502" t="s">
        <v>5450</v>
      </c>
      <c r="B1502" t="s">
        <v>5215</v>
      </c>
      <c r="C1502">
        <v>0</v>
      </c>
      <c r="D1502">
        <v>0</v>
      </c>
      <c r="E1502" t="s">
        <v>5241</v>
      </c>
      <c r="H1502">
        <v>0</v>
      </c>
      <c r="I1502">
        <v>0</v>
      </c>
      <c r="J1502">
        <v>2853</v>
      </c>
      <c r="K1502">
        <v>0</v>
      </c>
      <c r="L1502">
        <v>0</v>
      </c>
      <c r="N1502">
        <v>1</v>
      </c>
      <c r="O1502">
        <v>1</v>
      </c>
      <c r="P1502">
        <v>0</v>
      </c>
      <c r="Q1502">
        <v>1</v>
      </c>
      <c r="U1502" t="s">
        <v>72</v>
      </c>
      <c r="V1502">
        <v>37</v>
      </c>
      <c r="X1502" t="s">
        <v>80</v>
      </c>
      <c r="Y1502">
        <v>0</v>
      </c>
      <c r="Z1502">
        <v>62.595999999999997</v>
      </c>
      <c r="AB1502" t="s">
        <v>74</v>
      </c>
      <c r="AD1502" t="s">
        <v>995</v>
      </c>
      <c r="AE1502">
        <v>0</v>
      </c>
      <c r="AF1502">
        <v>3</v>
      </c>
      <c r="AG1502">
        <v>1</v>
      </c>
      <c r="AH1502">
        <v>1.5</v>
      </c>
      <c r="AI1502">
        <v>256</v>
      </c>
      <c r="AJ1502">
        <v>256</v>
      </c>
      <c r="AK1502">
        <v>60</v>
      </c>
      <c r="AL1502" t="s">
        <v>1010</v>
      </c>
      <c r="AM1502">
        <v>2</v>
      </c>
      <c r="AN1502" t="s">
        <v>5215</v>
      </c>
      <c r="AO1502" t="s">
        <v>67</v>
      </c>
      <c r="AP1502" t="s">
        <v>997</v>
      </c>
      <c r="AQ1502">
        <v>15</v>
      </c>
      <c r="AT1502">
        <v>4.2</v>
      </c>
      <c r="AU1502">
        <v>8.1999999999999993</v>
      </c>
      <c r="AV1502" t="s">
        <v>5451</v>
      </c>
      <c r="AW1502" t="s">
        <v>5452</v>
      </c>
      <c r="AX1502" t="s">
        <v>5453</v>
      </c>
    </row>
    <row r="1503" spans="1:50" x14ac:dyDescent="0.25">
      <c r="A1503" t="s">
        <v>5454</v>
      </c>
      <c r="B1503" t="s">
        <v>5215</v>
      </c>
      <c r="C1503">
        <v>0</v>
      </c>
      <c r="D1503">
        <v>0</v>
      </c>
      <c r="E1503" t="s">
        <v>5334</v>
      </c>
      <c r="H1503">
        <v>0</v>
      </c>
      <c r="I1503">
        <v>1</v>
      </c>
      <c r="J1503">
        <v>705</v>
      </c>
      <c r="K1503">
        <v>705</v>
      </c>
      <c r="L1503">
        <v>705</v>
      </c>
      <c r="V1503">
        <v>32</v>
      </c>
      <c r="X1503" t="s">
        <v>80</v>
      </c>
      <c r="Y1503">
        <v>0</v>
      </c>
      <c r="Z1503">
        <v>68.492000000000004</v>
      </c>
      <c r="AB1503" t="s">
        <v>94</v>
      </c>
      <c r="AD1503" t="s">
        <v>995</v>
      </c>
      <c r="AE1503">
        <v>0</v>
      </c>
      <c r="AF1503">
        <v>3</v>
      </c>
      <c r="AG1503">
        <v>1</v>
      </c>
      <c r="AH1503">
        <v>1.5</v>
      </c>
      <c r="AI1503">
        <v>256</v>
      </c>
      <c r="AJ1503">
        <v>256</v>
      </c>
      <c r="AK1503">
        <v>60</v>
      </c>
      <c r="AL1503" t="s">
        <v>75</v>
      </c>
      <c r="AM1503">
        <v>2</v>
      </c>
      <c r="AN1503" t="s">
        <v>5215</v>
      </c>
      <c r="AO1503" t="s">
        <v>67</v>
      </c>
      <c r="AP1503" t="s">
        <v>997</v>
      </c>
      <c r="AQ1503">
        <v>15</v>
      </c>
      <c r="AR1503">
        <v>15</v>
      </c>
      <c r="AS1503">
        <v>31</v>
      </c>
      <c r="AT1503">
        <v>4.2</v>
      </c>
      <c r="AU1503">
        <v>8.4</v>
      </c>
      <c r="AV1503" t="s">
        <v>5455</v>
      </c>
      <c r="AW1503" t="s">
        <v>5456</v>
      </c>
      <c r="AX1503" t="s">
        <v>5457</v>
      </c>
    </row>
    <row r="1504" spans="1:50" x14ac:dyDescent="0.25">
      <c r="A1504" t="s">
        <v>5458</v>
      </c>
      <c r="B1504" t="s">
        <v>5215</v>
      </c>
      <c r="C1504">
        <v>0</v>
      </c>
      <c r="D1504">
        <v>0</v>
      </c>
      <c r="E1504" t="s">
        <v>5216</v>
      </c>
      <c r="H1504">
        <v>0</v>
      </c>
      <c r="I1504">
        <v>1</v>
      </c>
      <c r="J1504">
        <v>1448</v>
      </c>
      <c r="K1504">
        <v>0</v>
      </c>
      <c r="L1504">
        <v>0</v>
      </c>
      <c r="N1504">
        <v>1</v>
      </c>
      <c r="O1504">
        <v>0</v>
      </c>
      <c r="P1504">
        <v>1</v>
      </c>
      <c r="Q1504">
        <v>0</v>
      </c>
      <c r="U1504" t="s">
        <v>93</v>
      </c>
      <c r="V1504">
        <v>55</v>
      </c>
      <c r="X1504" t="s">
        <v>80</v>
      </c>
      <c r="Y1504">
        <v>0</v>
      </c>
      <c r="Z1504">
        <v>55.792000000000002</v>
      </c>
      <c r="AB1504" t="s">
        <v>74</v>
      </c>
      <c r="AD1504" t="s">
        <v>995</v>
      </c>
      <c r="AE1504">
        <v>0</v>
      </c>
      <c r="AF1504">
        <v>3</v>
      </c>
      <c r="AG1504">
        <v>1</v>
      </c>
      <c r="AH1504">
        <v>1.5</v>
      </c>
      <c r="AI1504">
        <v>256</v>
      </c>
      <c r="AJ1504">
        <v>256</v>
      </c>
      <c r="AK1504">
        <v>60</v>
      </c>
      <c r="AL1504" t="s">
        <v>1010</v>
      </c>
      <c r="AM1504">
        <v>2</v>
      </c>
      <c r="AN1504" t="s">
        <v>5215</v>
      </c>
      <c r="AO1504" t="s">
        <v>67</v>
      </c>
      <c r="AP1504" t="s">
        <v>997</v>
      </c>
      <c r="AQ1504">
        <v>15</v>
      </c>
      <c r="AR1504">
        <v>34</v>
      </c>
      <c r="AS1504">
        <v>68</v>
      </c>
      <c r="AT1504">
        <v>4.2</v>
      </c>
      <c r="AU1504">
        <v>8</v>
      </c>
      <c r="AV1504" t="s">
        <v>5459</v>
      </c>
      <c r="AW1504" t="s">
        <v>5460</v>
      </c>
      <c r="AX1504" t="s">
        <v>5461</v>
      </c>
    </row>
    <row r="1505" spans="1:50" x14ac:dyDescent="0.25">
      <c r="A1505" t="s">
        <v>5462</v>
      </c>
      <c r="B1505" t="s">
        <v>5215</v>
      </c>
      <c r="C1505">
        <v>0</v>
      </c>
      <c r="D1505">
        <v>0</v>
      </c>
      <c r="E1505" t="s">
        <v>5216</v>
      </c>
      <c r="H1505">
        <v>0</v>
      </c>
      <c r="I1505">
        <v>0</v>
      </c>
      <c r="J1505">
        <v>667</v>
      </c>
      <c r="K1505">
        <v>0</v>
      </c>
      <c r="L1505">
        <v>0</v>
      </c>
      <c r="N1505">
        <v>1</v>
      </c>
      <c r="O1505">
        <v>1</v>
      </c>
      <c r="P1505">
        <v>1</v>
      </c>
      <c r="Q1505">
        <v>1</v>
      </c>
      <c r="U1505" t="s">
        <v>72</v>
      </c>
      <c r="V1505">
        <v>48</v>
      </c>
      <c r="X1505" t="s">
        <v>80</v>
      </c>
      <c r="Y1505">
        <v>0</v>
      </c>
      <c r="Z1505">
        <v>85.275000000000006</v>
      </c>
      <c r="AB1505" t="s">
        <v>118</v>
      </c>
      <c r="AD1505" t="s">
        <v>995</v>
      </c>
      <c r="AE1505">
        <v>0</v>
      </c>
      <c r="AF1505">
        <v>4</v>
      </c>
      <c r="AG1505">
        <v>1</v>
      </c>
      <c r="AH1505">
        <v>1.5</v>
      </c>
      <c r="AI1505">
        <v>256</v>
      </c>
      <c r="AJ1505">
        <v>256</v>
      </c>
      <c r="AK1505">
        <v>60</v>
      </c>
      <c r="AL1505" t="s">
        <v>1010</v>
      </c>
      <c r="AM1505">
        <v>2</v>
      </c>
      <c r="AN1505" t="s">
        <v>5215</v>
      </c>
      <c r="AO1505" t="s">
        <v>67</v>
      </c>
      <c r="AP1505" t="s">
        <v>997</v>
      </c>
      <c r="AQ1505">
        <v>15</v>
      </c>
      <c r="AR1505">
        <v>32</v>
      </c>
      <c r="AS1505">
        <v>64</v>
      </c>
      <c r="AT1505">
        <v>4.2</v>
      </c>
      <c r="AU1505">
        <v>8</v>
      </c>
      <c r="AV1505" t="s">
        <v>5463</v>
      </c>
      <c r="AW1505" t="s">
        <v>5464</v>
      </c>
      <c r="AX1505" t="s">
        <v>5465</v>
      </c>
    </row>
    <row r="1506" spans="1:50" x14ac:dyDescent="0.25">
      <c r="A1506" t="s">
        <v>5466</v>
      </c>
      <c r="B1506" t="s">
        <v>5215</v>
      </c>
      <c r="C1506">
        <v>0</v>
      </c>
      <c r="D1506">
        <v>0</v>
      </c>
      <c r="E1506" t="s">
        <v>5216</v>
      </c>
      <c r="H1506">
        <v>0</v>
      </c>
      <c r="I1506">
        <v>1</v>
      </c>
      <c r="J1506">
        <v>1234</v>
      </c>
      <c r="K1506">
        <v>1234</v>
      </c>
      <c r="L1506">
        <v>0</v>
      </c>
      <c r="N1506">
        <v>0</v>
      </c>
      <c r="O1506">
        <v>0</v>
      </c>
      <c r="P1506">
        <v>0</v>
      </c>
      <c r="Q1506">
        <v>0</v>
      </c>
      <c r="U1506" t="s">
        <v>65</v>
      </c>
      <c r="V1506">
        <v>48</v>
      </c>
      <c r="Y1506">
        <v>0</v>
      </c>
      <c r="Z1506">
        <v>58.966999999999999</v>
      </c>
      <c r="AB1506" t="s">
        <v>74</v>
      </c>
      <c r="AD1506" t="s">
        <v>995</v>
      </c>
      <c r="AE1506">
        <v>0</v>
      </c>
      <c r="AF1506">
        <v>3</v>
      </c>
      <c r="AG1506">
        <v>1</v>
      </c>
      <c r="AH1506">
        <v>1.5</v>
      </c>
      <c r="AI1506">
        <v>256</v>
      </c>
      <c r="AJ1506">
        <v>256</v>
      </c>
      <c r="AK1506">
        <v>60</v>
      </c>
      <c r="AL1506" t="s">
        <v>75</v>
      </c>
      <c r="AM1506">
        <v>2</v>
      </c>
      <c r="AN1506" t="s">
        <v>5215</v>
      </c>
      <c r="AO1506" t="s">
        <v>67</v>
      </c>
      <c r="AP1506" t="s">
        <v>997</v>
      </c>
      <c r="AQ1506">
        <v>15</v>
      </c>
      <c r="AT1506">
        <v>4.2</v>
      </c>
      <c r="AU1506">
        <v>11</v>
      </c>
      <c r="AV1506" t="s">
        <v>5467</v>
      </c>
      <c r="AW1506" t="s">
        <v>5468</v>
      </c>
      <c r="AX1506" t="s">
        <v>5469</v>
      </c>
    </row>
    <row r="1507" spans="1:50" x14ac:dyDescent="0.25">
      <c r="A1507" t="s">
        <v>5470</v>
      </c>
      <c r="B1507" t="s">
        <v>5215</v>
      </c>
      <c r="C1507">
        <v>0</v>
      </c>
      <c r="D1507">
        <v>0</v>
      </c>
      <c r="E1507" t="s">
        <v>5216</v>
      </c>
      <c r="H1507">
        <v>0</v>
      </c>
      <c r="I1507">
        <v>0</v>
      </c>
      <c r="J1507">
        <v>1639</v>
      </c>
      <c r="K1507">
        <v>1639</v>
      </c>
      <c r="L1507">
        <v>1639</v>
      </c>
      <c r="N1507">
        <v>1</v>
      </c>
      <c r="O1507">
        <v>1</v>
      </c>
      <c r="P1507">
        <v>1</v>
      </c>
      <c r="Q1507">
        <v>1</v>
      </c>
      <c r="U1507" t="s">
        <v>72</v>
      </c>
      <c r="V1507">
        <v>37</v>
      </c>
      <c r="X1507" t="s">
        <v>80</v>
      </c>
      <c r="Y1507">
        <v>0</v>
      </c>
      <c r="Z1507">
        <v>65.771000000000001</v>
      </c>
      <c r="AB1507" t="s">
        <v>74</v>
      </c>
      <c r="AD1507" t="s">
        <v>995</v>
      </c>
      <c r="AE1507">
        <v>0</v>
      </c>
      <c r="AF1507">
        <v>3</v>
      </c>
      <c r="AG1507">
        <v>1</v>
      </c>
      <c r="AH1507">
        <v>1.5</v>
      </c>
      <c r="AI1507">
        <v>256</v>
      </c>
      <c r="AJ1507">
        <v>256</v>
      </c>
      <c r="AK1507">
        <v>60</v>
      </c>
      <c r="AL1507" t="s">
        <v>75</v>
      </c>
      <c r="AM1507">
        <v>2</v>
      </c>
      <c r="AN1507" t="s">
        <v>5215</v>
      </c>
      <c r="AO1507" t="s">
        <v>67</v>
      </c>
      <c r="AP1507" t="s">
        <v>997</v>
      </c>
      <c r="AQ1507">
        <v>15</v>
      </c>
      <c r="AT1507">
        <v>4.2</v>
      </c>
      <c r="AU1507">
        <v>8.1999999999999993</v>
      </c>
      <c r="AV1507" t="s">
        <v>5471</v>
      </c>
      <c r="AW1507" t="s">
        <v>5472</v>
      </c>
      <c r="AX1507" t="s">
        <v>5473</v>
      </c>
    </row>
    <row r="1509" spans="1:50" x14ac:dyDescent="0.25">
      <c r="H1509">
        <f>SUM(H1:H1507) / (1506 - COUNTBLANK(H1:H1507))</f>
        <v>0.29510395707578807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8A815-06B7-4AF4-92F1-482F5038680C}">
  <dimension ref="A1:H11"/>
  <sheetViews>
    <sheetView workbookViewId="0"/>
  </sheetViews>
  <sheetFormatPr defaultRowHeight="15" x14ac:dyDescent="0.25"/>
  <cols>
    <col min="1" max="1" width="14.42578125" customWidth="1"/>
    <col min="2" max="2" width="10.140625" customWidth="1"/>
    <col min="3" max="3" width="10" customWidth="1"/>
    <col min="4" max="4" width="10.42578125" customWidth="1"/>
    <col min="5" max="5" width="15.28515625" customWidth="1"/>
    <col min="6" max="6" width="10.7109375" customWidth="1"/>
  </cols>
  <sheetData>
    <row r="1" spans="1:8" x14ac:dyDescent="0.25">
      <c r="B1" t="s">
        <v>5597</v>
      </c>
      <c r="C1" t="s">
        <v>5588</v>
      </c>
      <c r="D1" t="s">
        <v>5587</v>
      </c>
    </row>
    <row r="2" spans="1:8" x14ac:dyDescent="0.25">
      <c r="A2" t="s">
        <v>5591</v>
      </c>
      <c r="B2">
        <f>1506 - SUM(C2:D2)</f>
        <v>937</v>
      </c>
      <c r="C2">
        <f>SUM(dataset_info!D:D)</f>
        <v>539</v>
      </c>
      <c r="D2">
        <f>SUM(dataset_info!C:C)</f>
        <v>30</v>
      </c>
      <c r="E2">
        <f t="shared" ref="E2" si="0">SUM(B2:D2)</f>
        <v>1506</v>
      </c>
    </row>
    <row r="4" spans="1:8" x14ac:dyDescent="0.25">
      <c r="B4" t="s">
        <v>5596</v>
      </c>
      <c r="C4" t="s">
        <v>5589</v>
      </c>
      <c r="D4" t="s">
        <v>5590</v>
      </c>
    </row>
    <row r="5" spans="1:8" x14ac:dyDescent="0.25">
      <c r="A5" t="s">
        <v>5591</v>
      </c>
      <c r="B5">
        <f>COUNTBLANK(dataset_info!W2:W1507)</f>
        <v>408</v>
      </c>
      <c r="C5" cm="1">
        <f t="array" ref="C5">SUMPRODUCT(--(ISNUMBER(SEARCH("pre", dataset_info!W:W)) + ISNUMBER(SEARCH("peri", dataset_info!W:W)) &gt; 0))</f>
        <v>678</v>
      </c>
      <c r="D5" cm="1">
        <f t="array" ref="D5">SUMPRODUCT(--ISNUMBER(SEARCH("post", dataset_info!W2:W1507)))</f>
        <v>420</v>
      </c>
      <c r="E5">
        <f>SUM(C5:D5)</f>
        <v>1098</v>
      </c>
    </row>
    <row r="7" spans="1:8" x14ac:dyDescent="0.25">
      <c r="B7" t="s">
        <v>5596</v>
      </c>
      <c r="C7" t="s">
        <v>5592</v>
      </c>
      <c r="D7" t="s">
        <v>5593</v>
      </c>
      <c r="E7" t="s">
        <v>5594</v>
      </c>
      <c r="F7" t="s">
        <v>5595</v>
      </c>
    </row>
    <row r="8" spans="1:8" x14ac:dyDescent="0.25">
      <c r="A8" t="s">
        <v>5591</v>
      </c>
      <c r="B8">
        <f>COUNTBLANK(dataset_info!AC2:AC1507)</f>
        <v>1446</v>
      </c>
      <c r="C8" cm="1">
        <f t="array" ref="C8">SUMPRODUCT(--ISNUMBER(SEARCH("a", dataset_info!AC2:AC1507)))</f>
        <v>3</v>
      </c>
      <c r="D8" cm="1">
        <f t="array" ref="D8">SUMPRODUCT(--ISNUMBER(SEARCH("b", dataset_info!AC2:AC1507)))</f>
        <v>14</v>
      </c>
      <c r="E8" cm="1">
        <f t="array" ref="E8">SUMPRODUCT(--ISNUMBER(SEARCH("c", dataset_info!AC2:AC1507)))</f>
        <v>31</v>
      </c>
      <c r="F8" cm="1">
        <f t="array" ref="F8">SUMPRODUCT(--ISNUMBER(SEARCH("d", dataset_info!AC2:AC1507)))</f>
        <v>12</v>
      </c>
      <c r="G8">
        <f>SUM(C8:F8)</f>
        <v>60</v>
      </c>
      <c r="H8" s="2">
        <f>B8/G8</f>
        <v>24.1</v>
      </c>
    </row>
    <row r="10" spans="1:8" x14ac:dyDescent="0.25">
      <c r="B10">
        <v>3</v>
      </c>
      <c r="C10">
        <v>4</v>
      </c>
      <c r="D10">
        <v>5</v>
      </c>
      <c r="E10">
        <v>6</v>
      </c>
    </row>
    <row r="11" spans="1:8" x14ac:dyDescent="0.25">
      <c r="A11" t="s">
        <v>5591</v>
      </c>
      <c r="B11">
        <f>COUNTIF(dataset_info!$AF:$AF, "=3")</f>
        <v>205</v>
      </c>
      <c r="C11">
        <f>COUNTIF(dataset_info!$AF:$AF, "=4")</f>
        <v>179</v>
      </c>
      <c r="D11">
        <f>COUNTIF(dataset_info!$AF:$AF, "=5")</f>
        <v>137</v>
      </c>
      <c r="E11">
        <f>COUNTIF(dataset_info!$AF:$AF, "=6")</f>
        <v>985</v>
      </c>
      <c r="F11">
        <f>SUM(B11:E11)</f>
        <v>1506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7"/>
  <sheetViews>
    <sheetView workbookViewId="0"/>
  </sheetViews>
  <sheetFormatPr defaultRowHeight="15" x14ac:dyDescent="0.25"/>
  <sheetData>
    <row r="1" spans="1:4" x14ac:dyDescent="0.25">
      <c r="A1" s="1" t="s">
        <v>5474</v>
      </c>
      <c r="B1" s="1" t="s">
        <v>5475</v>
      </c>
      <c r="C1" s="1" t="s">
        <v>5476</v>
      </c>
      <c r="D1" s="1" t="s">
        <v>5477</v>
      </c>
    </row>
    <row r="2" spans="1:4" x14ac:dyDescent="0.25">
      <c r="A2" t="s">
        <v>0</v>
      </c>
      <c r="B2" t="s">
        <v>5478</v>
      </c>
      <c r="C2" t="s">
        <v>5479</v>
      </c>
    </row>
    <row r="3" spans="1:4" x14ac:dyDescent="0.25">
      <c r="A3" t="s">
        <v>1</v>
      </c>
      <c r="B3" t="s">
        <v>5480</v>
      </c>
      <c r="C3" t="s">
        <v>5481</v>
      </c>
    </row>
    <row r="4" spans="1:4" x14ac:dyDescent="0.25">
      <c r="C4" t="s">
        <v>5482</v>
      </c>
    </row>
    <row r="5" spans="1:4" x14ac:dyDescent="0.25">
      <c r="C5" t="s">
        <v>5483</v>
      </c>
    </row>
    <row r="6" spans="1:4" x14ac:dyDescent="0.25">
      <c r="C6" t="s">
        <v>5215</v>
      </c>
    </row>
    <row r="7" spans="1:4" x14ac:dyDescent="0.25">
      <c r="A7" t="s">
        <v>2</v>
      </c>
      <c r="B7" t="s">
        <v>5484</v>
      </c>
      <c r="C7" t="s">
        <v>5485</v>
      </c>
    </row>
    <row r="8" spans="1:4" x14ac:dyDescent="0.25">
      <c r="A8" t="s">
        <v>5486</v>
      </c>
      <c r="B8" t="s">
        <v>5487</v>
      </c>
      <c r="C8" t="s">
        <v>5485</v>
      </c>
    </row>
    <row r="9" spans="1:4" x14ac:dyDescent="0.25">
      <c r="A9" t="s">
        <v>4</v>
      </c>
      <c r="B9" t="s">
        <v>5488</v>
      </c>
      <c r="C9" t="s">
        <v>5216</v>
      </c>
    </row>
    <row r="10" spans="1:4" x14ac:dyDescent="0.25">
      <c r="C10" t="s">
        <v>5489</v>
      </c>
    </row>
    <row r="11" spans="1:4" x14ac:dyDescent="0.25">
      <c r="C11" t="s">
        <v>1703</v>
      </c>
    </row>
    <row r="12" spans="1:4" x14ac:dyDescent="0.25">
      <c r="C12" t="s">
        <v>5334</v>
      </c>
    </row>
    <row r="13" spans="1:4" x14ac:dyDescent="0.25">
      <c r="C13" t="s">
        <v>5490</v>
      </c>
    </row>
    <row r="14" spans="1:4" x14ac:dyDescent="0.25">
      <c r="C14" t="s">
        <v>5491</v>
      </c>
    </row>
    <row r="15" spans="1:4" x14ac:dyDescent="0.25">
      <c r="C15" t="s">
        <v>5492</v>
      </c>
    </row>
    <row r="16" spans="1:4" x14ac:dyDescent="0.25">
      <c r="C16" t="s">
        <v>5493</v>
      </c>
    </row>
    <row r="17" spans="1:3" x14ac:dyDescent="0.25">
      <c r="C17" t="s">
        <v>5494</v>
      </c>
    </row>
    <row r="18" spans="1:3" x14ac:dyDescent="0.25">
      <c r="C18" t="s">
        <v>5495</v>
      </c>
    </row>
    <row r="19" spans="1:3" x14ac:dyDescent="0.25">
      <c r="C19" t="s">
        <v>5496</v>
      </c>
    </row>
    <row r="20" spans="1:3" x14ac:dyDescent="0.25">
      <c r="C20" t="s">
        <v>5497</v>
      </c>
    </row>
    <row r="21" spans="1:3" x14ac:dyDescent="0.25">
      <c r="C21" t="s">
        <v>5498</v>
      </c>
    </row>
    <row r="22" spans="1:3" x14ac:dyDescent="0.25">
      <c r="C22" t="s">
        <v>5499</v>
      </c>
    </row>
    <row r="23" spans="1:3" x14ac:dyDescent="0.25">
      <c r="A23" t="s">
        <v>5</v>
      </c>
      <c r="B23" t="s">
        <v>5500</v>
      </c>
      <c r="C23" t="s">
        <v>5485</v>
      </c>
    </row>
    <row r="24" spans="1:3" x14ac:dyDescent="0.25">
      <c r="A24" t="s">
        <v>6</v>
      </c>
      <c r="B24" t="s">
        <v>5501</v>
      </c>
      <c r="C24" t="s">
        <v>5485</v>
      </c>
    </row>
    <row r="25" spans="1:3" x14ac:dyDescent="0.25">
      <c r="A25" t="s">
        <v>7</v>
      </c>
      <c r="B25" t="s">
        <v>5502</v>
      </c>
      <c r="C25" t="s">
        <v>5485</v>
      </c>
    </row>
    <row r="26" spans="1:3" x14ac:dyDescent="0.25">
      <c r="A26" t="s">
        <v>8</v>
      </c>
      <c r="B26" t="s">
        <v>5503</v>
      </c>
      <c r="C26" t="s">
        <v>5485</v>
      </c>
    </row>
    <row r="27" spans="1:3" x14ac:dyDescent="0.25">
      <c r="A27" t="s">
        <v>9</v>
      </c>
      <c r="B27" t="s">
        <v>5504</v>
      </c>
      <c r="C27" t="s">
        <v>5505</v>
      </c>
    </row>
    <row r="28" spans="1:3" x14ac:dyDescent="0.25">
      <c r="A28" t="s">
        <v>10</v>
      </c>
      <c r="B28" t="s">
        <v>5506</v>
      </c>
      <c r="C28" t="s">
        <v>5507</v>
      </c>
    </row>
    <row r="29" spans="1:3" x14ac:dyDescent="0.25">
      <c r="C29" t="s">
        <v>5508</v>
      </c>
    </row>
    <row r="30" spans="1:3" x14ac:dyDescent="0.25">
      <c r="C30" t="s">
        <v>5509</v>
      </c>
    </row>
    <row r="31" spans="1:3" x14ac:dyDescent="0.25">
      <c r="A31" t="s">
        <v>12</v>
      </c>
      <c r="B31" t="s">
        <v>5510</v>
      </c>
      <c r="C31" t="s">
        <v>5511</v>
      </c>
    </row>
    <row r="32" spans="1:3" x14ac:dyDescent="0.25">
      <c r="C32" t="s">
        <v>5512</v>
      </c>
    </row>
    <row r="33" spans="1:4" x14ac:dyDescent="0.25">
      <c r="C33" t="s">
        <v>5509</v>
      </c>
    </row>
    <row r="34" spans="1:4" x14ac:dyDescent="0.25">
      <c r="A34" t="s">
        <v>11</v>
      </c>
      <c r="B34" t="s">
        <v>5513</v>
      </c>
      <c r="C34" t="s">
        <v>5514</v>
      </c>
    </row>
    <row r="35" spans="1:4" x14ac:dyDescent="0.25">
      <c r="C35" t="s">
        <v>5515</v>
      </c>
    </row>
    <row r="36" spans="1:4" x14ac:dyDescent="0.25">
      <c r="C36" t="s">
        <v>5509</v>
      </c>
    </row>
    <row r="37" spans="1:4" x14ac:dyDescent="0.25">
      <c r="A37" t="s">
        <v>13</v>
      </c>
      <c r="B37" t="s">
        <v>5516</v>
      </c>
      <c r="C37" t="s">
        <v>5517</v>
      </c>
    </row>
    <row r="38" spans="1:4" x14ac:dyDescent="0.25">
      <c r="A38" t="s">
        <v>14</v>
      </c>
      <c r="B38" t="s">
        <v>5518</v>
      </c>
      <c r="C38" t="s">
        <v>5517</v>
      </c>
    </row>
    <row r="39" spans="1:4" x14ac:dyDescent="0.25">
      <c r="A39" t="s">
        <v>15</v>
      </c>
      <c r="B39" t="s">
        <v>5519</v>
      </c>
      <c r="C39" t="s">
        <v>5517</v>
      </c>
    </row>
    <row r="40" spans="1:4" x14ac:dyDescent="0.25">
      <c r="A40" t="s">
        <v>16</v>
      </c>
      <c r="B40" t="s">
        <v>5520</v>
      </c>
      <c r="C40" t="s">
        <v>5517</v>
      </c>
    </row>
    <row r="41" spans="1:4" x14ac:dyDescent="0.25">
      <c r="A41" t="s">
        <v>17</v>
      </c>
      <c r="B41" t="s">
        <v>5521</v>
      </c>
      <c r="C41" t="s">
        <v>5522</v>
      </c>
    </row>
    <row r="42" spans="1:4" x14ac:dyDescent="0.25">
      <c r="A42" t="s">
        <v>5523</v>
      </c>
      <c r="B42" t="s">
        <v>5524</v>
      </c>
      <c r="C42" t="s">
        <v>5525</v>
      </c>
    </row>
    <row r="43" spans="1:4" x14ac:dyDescent="0.25">
      <c r="A43" t="s">
        <v>19</v>
      </c>
      <c r="B43" t="s">
        <v>5526</v>
      </c>
      <c r="C43" t="s">
        <v>5527</v>
      </c>
    </row>
    <row r="44" spans="1:4" x14ac:dyDescent="0.25">
      <c r="A44" t="s">
        <v>20</v>
      </c>
      <c r="B44" t="s">
        <v>5528</v>
      </c>
      <c r="C44" t="s">
        <v>93</v>
      </c>
      <c r="D44" t="s">
        <v>5529</v>
      </c>
    </row>
    <row r="45" spans="1:4" x14ac:dyDescent="0.25">
      <c r="C45" t="s">
        <v>1687</v>
      </c>
    </row>
    <row r="46" spans="1:4" x14ac:dyDescent="0.25">
      <c r="C46" t="s">
        <v>1735</v>
      </c>
    </row>
    <row r="47" spans="1:4" x14ac:dyDescent="0.25">
      <c r="C47" t="s">
        <v>72</v>
      </c>
    </row>
    <row r="48" spans="1:4" x14ac:dyDescent="0.25">
      <c r="C48" t="s">
        <v>53</v>
      </c>
    </row>
    <row r="49" spans="1:3" x14ac:dyDescent="0.25">
      <c r="C49" t="s">
        <v>65</v>
      </c>
    </row>
    <row r="50" spans="1:3" x14ac:dyDescent="0.25">
      <c r="A50" t="s">
        <v>21</v>
      </c>
      <c r="B50" t="s">
        <v>5530</v>
      </c>
      <c r="C50" t="s">
        <v>5531</v>
      </c>
    </row>
    <row r="51" spans="1:3" x14ac:dyDescent="0.25">
      <c r="A51" t="s">
        <v>22</v>
      </c>
      <c r="B51" t="s">
        <v>5532</v>
      </c>
      <c r="C51" t="s">
        <v>5533</v>
      </c>
    </row>
    <row r="52" spans="1:3" x14ac:dyDescent="0.25">
      <c r="A52" t="s">
        <v>23</v>
      </c>
      <c r="B52" t="s">
        <v>5534</v>
      </c>
      <c r="C52" t="s">
        <v>5535</v>
      </c>
    </row>
    <row r="53" spans="1:3" x14ac:dyDescent="0.25">
      <c r="C53" t="s">
        <v>5536</v>
      </c>
    </row>
    <row r="54" spans="1:3" x14ac:dyDescent="0.25">
      <c r="C54" t="s">
        <v>5537</v>
      </c>
    </row>
    <row r="55" spans="1:3" x14ac:dyDescent="0.25">
      <c r="C55" t="s">
        <v>5538</v>
      </c>
    </row>
    <row r="56" spans="1:3" x14ac:dyDescent="0.25">
      <c r="C56" t="s">
        <v>5539</v>
      </c>
    </row>
    <row r="57" spans="1:3" x14ac:dyDescent="0.25">
      <c r="C57" t="s">
        <v>5540</v>
      </c>
    </row>
    <row r="58" spans="1:3" x14ac:dyDescent="0.25">
      <c r="C58" t="s">
        <v>5541</v>
      </c>
    </row>
    <row r="59" spans="1:3" x14ac:dyDescent="0.25">
      <c r="C59" t="s">
        <v>5542</v>
      </c>
    </row>
    <row r="60" spans="1:3" x14ac:dyDescent="0.25">
      <c r="C60" t="s">
        <v>426</v>
      </c>
    </row>
    <row r="61" spans="1:3" x14ac:dyDescent="0.25">
      <c r="C61" t="s">
        <v>321</v>
      </c>
    </row>
    <row r="62" spans="1:3" x14ac:dyDescent="0.25">
      <c r="A62" t="s">
        <v>24</v>
      </c>
      <c r="B62" t="s">
        <v>5543</v>
      </c>
      <c r="C62" t="s">
        <v>5544</v>
      </c>
    </row>
    <row r="63" spans="1:3" x14ac:dyDescent="0.25">
      <c r="A63" t="s">
        <v>25</v>
      </c>
      <c r="B63" t="s">
        <v>5545</v>
      </c>
      <c r="C63" t="s">
        <v>5546</v>
      </c>
    </row>
    <row r="64" spans="1:3" x14ac:dyDescent="0.25">
      <c r="A64" t="s">
        <v>26</v>
      </c>
      <c r="B64" t="s">
        <v>5547</v>
      </c>
      <c r="C64" t="s">
        <v>5548</v>
      </c>
    </row>
    <row r="65" spans="1:4" x14ac:dyDescent="0.25">
      <c r="A65" t="s">
        <v>27</v>
      </c>
      <c r="B65" t="s">
        <v>5549</v>
      </c>
      <c r="C65" t="s">
        <v>247</v>
      </c>
    </row>
    <row r="66" spans="1:4" x14ac:dyDescent="0.25">
      <c r="C66" t="s">
        <v>74</v>
      </c>
    </row>
    <row r="67" spans="1:4" x14ac:dyDescent="0.25">
      <c r="C67" t="s">
        <v>94</v>
      </c>
    </row>
    <row r="68" spans="1:4" x14ac:dyDescent="0.25">
      <c r="C68" t="s">
        <v>5550</v>
      </c>
    </row>
    <row r="69" spans="1:4" x14ac:dyDescent="0.25">
      <c r="C69" t="s">
        <v>5551</v>
      </c>
    </row>
    <row r="70" spans="1:4" x14ac:dyDescent="0.25">
      <c r="C70" t="s">
        <v>5552</v>
      </c>
    </row>
    <row r="71" spans="1:4" x14ac:dyDescent="0.25">
      <c r="A71" t="s">
        <v>28</v>
      </c>
      <c r="C71" t="s">
        <v>213</v>
      </c>
      <c r="D71" t="s">
        <v>5553</v>
      </c>
    </row>
    <row r="72" spans="1:4" x14ac:dyDescent="0.25">
      <c r="C72" t="s">
        <v>152</v>
      </c>
      <c r="D72" t="s">
        <v>5554</v>
      </c>
    </row>
    <row r="73" spans="1:4" x14ac:dyDescent="0.25">
      <c r="C73" t="s">
        <v>102</v>
      </c>
      <c r="D73" t="s">
        <v>5555</v>
      </c>
    </row>
    <row r="74" spans="1:4" x14ac:dyDescent="0.25">
      <c r="C74" t="s">
        <v>112</v>
      </c>
      <c r="D74" t="s">
        <v>5556</v>
      </c>
    </row>
    <row r="75" spans="1:4" x14ac:dyDescent="0.25">
      <c r="A75" t="s">
        <v>29</v>
      </c>
      <c r="B75" t="s">
        <v>5557</v>
      </c>
      <c r="C75" t="s">
        <v>5558</v>
      </c>
    </row>
    <row r="76" spans="1:4" x14ac:dyDescent="0.25">
      <c r="A76" t="s">
        <v>30</v>
      </c>
      <c r="B76" t="s">
        <v>5559</v>
      </c>
      <c r="C76" t="s">
        <v>5560</v>
      </c>
    </row>
    <row r="77" spans="1:4" x14ac:dyDescent="0.25">
      <c r="A77" t="s">
        <v>31</v>
      </c>
      <c r="B77" t="s">
        <v>5561</v>
      </c>
      <c r="C77" t="s">
        <v>5562</v>
      </c>
    </row>
    <row r="78" spans="1:4" x14ac:dyDescent="0.25">
      <c r="A78" t="s">
        <v>32</v>
      </c>
      <c r="B78" t="s">
        <v>5563</v>
      </c>
      <c r="C78" t="s">
        <v>5544</v>
      </c>
    </row>
    <row r="79" spans="1:4" x14ac:dyDescent="0.25">
      <c r="A79" t="s">
        <v>33</v>
      </c>
      <c r="B79" t="s">
        <v>5564</v>
      </c>
      <c r="C79" t="s">
        <v>5565</v>
      </c>
    </row>
    <row r="80" spans="1:4" x14ac:dyDescent="0.25">
      <c r="A80" t="s">
        <v>34</v>
      </c>
      <c r="B80" t="s">
        <v>5566</v>
      </c>
    </row>
    <row r="81" spans="1:3" x14ac:dyDescent="0.25">
      <c r="A81" t="s">
        <v>35</v>
      </c>
      <c r="B81" t="s">
        <v>5567</v>
      </c>
    </row>
    <row r="82" spans="1:3" x14ac:dyDescent="0.25">
      <c r="A82" t="s">
        <v>36</v>
      </c>
      <c r="B82" t="s">
        <v>5568</v>
      </c>
    </row>
    <row r="83" spans="1:3" x14ac:dyDescent="0.25">
      <c r="A83" t="s">
        <v>37</v>
      </c>
      <c r="B83" t="s">
        <v>5569</v>
      </c>
    </row>
    <row r="84" spans="1:3" x14ac:dyDescent="0.25">
      <c r="A84" t="s">
        <v>38</v>
      </c>
      <c r="B84" t="s">
        <v>5570</v>
      </c>
      <c r="C84" t="s">
        <v>5571</v>
      </c>
    </row>
    <row r="85" spans="1:3" x14ac:dyDescent="0.25">
      <c r="A85" t="s">
        <v>39</v>
      </c>
      <c r="B85" t="s">
        <v>5572</v>
      </c>
    </row>
    <row r="86" spans="1:3" x14ac:dyDescent="0.25">
      <c r="A86" t="s">
        <v>40</v>
      </c>
      <c r="B86" t="s">
        <v>5573</v>
      </c>
      <c r="C86" t="s">
        <v>67</v>
      </c>
    </row>
    <row r="87" spans="1:3" x14ac:dyDescent="0.25">
      <c r="C87" t="s">
        <v>1155</v>
      </c>
    </row>
    <row r="88" spans="1:3" x14ac:dyDescent="0.25">
      <c r="C88" t="s">
        <v>59</v>
      </c>
    </row>
    <row r="89" spans="1:3" x14ac:dyDescent="0.25">
      <c r="A89" t="s">
        <v>41</v>
      </c>
      <c r="B89" t="s">
        <v>5574</v>
      </c>
      <c r="C89" t="s">
        <v>5575</v>
      </c>
    </row>
    <row r="90" spans="1:3" x14ac:dyDescent="0.25">
      <c r="A90" t="s">
        <v>42</v>
      </c>
      <c r="B90" t="s">
        <v>5576</v>
      </c>
    </row>
    <row r="91" spans="1:3" x14ac:dyDescent="0.25">
      <c r="A91" t="s">
        <v>43</v>
      </c>
      <c r="B91" t="s">
        <v>5577</v>
      </c>
    </row>
    <row r="92" spans="1:3" x14ac:dyDescent="0.25">
      <c r="A92" t="s">
        <v>44</v>
      </c>
      <c r="B92" t="s">
        <v>5578</v>
      </c>
    </row>
    <row r="93" spans="1:3" x14ac:dyDescent="0.25">
      <c r="A93" t="s">
        <v>45</v>
      </c>
      <c r="B93" t="s">
        <v>5579</v>
      </c>
      <c r="C93" t="s">
        <v>5580</v>
      </c>
    </row>
    <row r="94" spans="1:3" x14ac:dyDescent="0.25">
      <c r="A94" t="s">
        <v>46</v>
      </c>
      <c r="B94" t="s">
        <v>5581</v>
      </c>
      <c r="C94" t="s">
        <v>5580</v>
      </c>
    </row>
    <row r="95" spans="1:3" x14ac:dyDescent="0.25">
      <c r="A95" t="s">
        <v>47</v>
      </c>
      <c r="B95" t="s">
        <v>5582</v>
      </c>
      <c r="C95" t="s">
        <v>5583</v>
      </c>
    </row>
    <row r="96" spans="1:3" x14ac:dyDescent="0.25">
      <c r="A96" t="s">
        <v>48</v>
      </c>
      <c r="B96" t="s">
        <v>5584</v>
      </c>
      <c r="C96" t="s">
        <v>5585</v>
      </c>
    </row>
    <row r="97" spans="1:2" x14ac:dyDescent="0.25">
      <c r="A97" t="s">
        <v>49</v>
      </c>
      <c r="B97" t="s">
        <v>5586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dataset_info</vt:lpstr>
      <vt:lpstr>analysis</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Stoughton, Thomas</cp:lastModifiedBy>
  <dcterms:created xsi:type="dcterms:W3CDTF">2025-02-20T13:20:26Z</dcterms:created>
  <dcterms:modified xsi:type="dcterms:W3CDTF">2025-06-25T17:53:28Z</dcterms:modified>
</cp:coreProperties>
</file>